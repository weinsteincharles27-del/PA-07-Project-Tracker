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this forecast’s 2024 backtest, when the district share was set by the same rule (last election of the same type).</t>
        </r>
      </text>
    </comment>
  </commentList>
</comments>
</file>

<file path=xl/sharedStrings.xml><?xml version="1.0" encoding="utf-8"?>
<sst xmlns="http://schemas.openxmlformats.org/spreadsheetml/2006/main" count="9837" uniqueCount="722">
  <si>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</si>
  <si>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</si>
  <si>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</si>
  <si>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</si>
  <si>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</si>
  <si>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</si>
  <si>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District House votes cast, 2026 (input)</t>
  </si>
  <si>
    <t xml:space="preserve">← default: 2022 votes × registration growth, summed over precincts (row 26)</t>
  </si>
  <si>
    <t xml:space="preserve">HOW THE DEFAULTS ARE BUILT (all current-district precincts, Carbon and Polk included)</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</si>
  <si>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</si>
  <si>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</si>
  <si>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</si>
  <si>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</si>
  <si>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</si>
  <si>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</si>
  <si>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</si>
  <si>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</si>
  <si>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</si>
  <si>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</si>
  <si>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</si>
  <si>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include Carbon (PA-09 race) and Polk (PA-08)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</si>
  <si>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</si>
  <si>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</si>
  <si>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</si>
  <si>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</si>
  <si>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</si>
  <si>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House votes in today’s district</t>
  </si>
  <si>
    <t xml:space="preserve">Registration growth, 2022 general → 2026 primary rolls</t>
  </si>
  <si>
    <t xml:space="preserve">District-level check: 2022 votes × growth</t>
  </si>
  <si>
    <t xml:space="preserve">Rule applied precinct by precinct and summed (default votes cast)</t>
  </si>
  <si>
    <t xml:space="preserve">Precinct/municipal growth rates differ slightly, so the summed total differs a little from the district-level check.</t>
  </si>
  <si>
    <t xml:space="preserve">WHAT WENT WRONG WITH THE BACKTESTS — AND HOW IT WAS FIXED</t>
  </si>
  <si>
    <t xml:space="preserve">Problem 1 — the district baseline left out Carbon and Polk.</t>
  </si>
  <si>
    <t xml:space="preserve">The old 2024 backtest set the district Democratic share to the 2020 result, 51.4%. That figure dropped Carbon County and Polk Township because they voted in PA-09 and PA-08 in 2020. Both lean Republican, so the baseline overstated the Democratic share by about 2 points (51.4% vs 49.6% with them counted), moving roughly 8,000 votes from Mackenzie to Wild in the backtest.</t>
  </si>
  <si>
    <t xml:space="preserve">Problem 2 — turnout was frozen at 2020 levels.</t>
  </si>
  <si>
    <t xml:space="preserve">Each place was given its 2020 House votes. About 3% more people voted in 2024, so both columns shrank. For Democrats the two errors offset (+4% and −3%); for Republicans they stacked (−4% and −3%), which is why only the Republican vote looked badly under-counted (about −7%).</t>
  </si>
  <si>
    <t xml:space="preserve">Fix 1 — a complete, registration-adjusted baseline.</t>
  </si>
  <si>
    <t xml:space="preserve">The district share now comes from every current-district precinct (Carbon and Polk included), averaged over the last two elections so one unusual year (like 2018) does not dominate, and moved by k × the change in registration since then. k is measured from precinct-level changes in earlier elections only (k = 0.48 for the 2024 backtest, 0.42 for 2026) — it is not tuned to the 2024 result. Backtest baseline: 49.1% vs actual 49.4%.</t>
  </si>
  <si>
    <t xml:space="preserve">Fix 2 — turnout grows with the voter roll.</t>
  </si>
  <si>
    <t xml:space="preserve">Votes cast = the last same-type election’s House votes × that place’s registration growth since then. In the backtests this rule missed 2024 total votes by -1.6% at district level (vs about −3% before). For 2026 it gives about 312,192 votes, inside the expected 300,000–320,000 range. Turnout is still a rule, not a model: there is only one random forest, on the results.</t>
  </si>
  <si>
    <t xml:space="preserve">Result.</t>
  </si>
  <si>
    <t xml:space="preserve">The Republican vote in the backtests is now within about 1% of the actual count for every forecast, the Democratic vote within about 1%, and the district-wide share miss fell from about 2 points to under half a point. Row-level (pattern) errors are unchanged because the random forests themselves were not changed.</t>
  </si>
  <si>
    <t xml:space="preserve">Forecast</t>
  </si>
  <si>
    <t xml:space="preserve">Backtest version</t>
  </si>
  <si>
    <t xml:space="preserve">District Dem share miss (pts)</t>
  </si>
  <si>
    <t xml:space="preserve">Democratic votes miss</t>
  </si>
  <si>
    <t xml:space="preserve">Republican votes miss</t>
  </si>
  <si>
    <t xml:space="preserve">Total votes miss</t>
  </si>
  <si>
    <t xml:space="preserve">Forecast A</t>
  </si>
  <si>
    <t xml:space="preserve">Before fix (2020 level without Carbon/Polk; 2020 turnout)</t>
  </si>
  <si>
    <t xml:space="preserve">After fix (registration-adjusted baseline; turnout × registration growth)</t>
  </si>
  <si>
    <t xml:space="preserve">Forecast B</t>
  </si>
  <si>
    <t xml:space="preserve">Forecast C</t>
  </si>
  <si>
    <t xml:space="preserve">DISTRICT TOTALS BY FORECAST (live from each forecast tab)</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</si>
  <si>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</si>
  <si>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</si>
  <si>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</si>
  <si>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</si>
  <si>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</si>
  <si>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</si>
  <si>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</si>
  <si>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</si>
  <si>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Full random forest</t>
  </si>
  <si>
    <t xml:space="preserve">SHAP-selected forest</t>
  </si>
  <si>
    <t xml:space="preserve">SHAP family-reweighted forest</t>
  </si>
  <si>
    <t xml:space="preserve">ERROR TERMS — FIXED 2024 BACKTEST OF EACH FORECAST (same weights as the forecast)</t>
  </si>
  <si>
    <t xml:space="preserve">Rows scored</t>
  </si>
  <si>
    <t xml:space="preserve">Avg miss per row, Dem share (pts)</t>
  </si>
  <si>
    <t xml:space="preserve">RMS miss per row, Dem share (pts)</t>
  </si>
  <si>
    <t xml:space="preserve">District-wide miss (pts)</t>
  </si>
  <si>
    <t xml:space="preserve">Pattern RMS miss (pts)</t>
  </si>
  <si>
    <t xml:space="preserve">Rows within 3 pts</t>
  </si>
  <si>
    <t xml:space="preserve">Avg miss per row, Dem votes</t>
  </si>
  <si>
    <t xml:space="preserve">Votes cast miss (turnout rule)</t>
  </si>
  <si>
    <t xml:space="preserve">PRECINCT COMPARISON (Brooks share by forecast, live)</t>
  </si>
  <si>
    <t xml:space="preserve">County</t>
  </si>
  <si>
    <t xml:space="preserve">Municipality</t>
  </si>
  <si>
    <t xml:space="preserve">Precinct</t>
  </si>
  <si>
    <t xml:space="preserve">Spread (max − min, pts)</t>
  </si>
  <si>
    <t xml:space="preserve">Error term A (± pts)</t>
  </si>
  <si>
    <t xml:space="preserve">Error term B (± pts)</t>
  </si>
  <si>
    <t xml:space="preserve">Error term C (± pts)</t>
  </si>
  <si>
    <t xml:space="preserve">Votes cast</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</si>
  <si>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</si>
  <si>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</si>
  <si>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</si>
  <si>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Votes cast in each row = its 2022 House votes × its registration growth since 2022, scaled to the district votes-cast input. Brooks votes = votes cast × forecast Brooks share. Change the district share or votes cast on the Scenario &amp; Comparison tab.</t>
  </si>
  <si>
    <t xml:space="preserve">Model / scenario</t>
  </si>
  <si>
    <t xml:space="preserve">Random forest on results — Forecast A (Full random forest), precinct model; turnout = 2022 votes × registration growth</t>
  </si>
  <si>
    <t xml:space="preserve">As-of date</t>
  </si>
  <si>
    <t xml:space="preserve">Prepared by</t>
  </si>
  <si>
    <t xml:space="preserve">Max</t>
  </si>
  <si>
    <t xml:space="preserve">Version</t>
  </si>
  <si>
    <t xml:space="preserve">v3.0 (results only, fixed baseline)</t>
  </si>
  <si>
    <t xml:space="preserve">District Brooks share (scenario)</t>
  </si>
  <si>
    <t xml:space="preserve">Uniform shift applied</t>
  </si>
  <si>
    <t xml:space="preserve">2024 backtest district miss (pts)</t>
  </si>
  <si>
    <t xml:space="preserve">Turnout scale</t>
  </si>
  <si>
    <t xml:space="preserve">DISTRICT TOTALS (auto-sum — do not type over)</t>
  </si>
  <si>
    <t xml:space="preserve">Geography</t>
  </si>
  <si>
    <t xml:space="preserve">(muni)</t>
  </si>
  <si>
    <t xml:space="preserve">(precinct)</t>
  </si>
  <si>
    <t xml:space="preserve">Mackenzie share</t>
  </si>
  <si>
    <t xml:space="preserve">Notes</t>
  </si>
  <si>
    <t xml:space="preserve">Error term: Brooks share (± pts)</t>
  </si>
  <si>
    <t xml:space="preserve">Brooks share, low</t>
  </si>
  <si>
    <t xml:space="preserve">Brooks share, high</t>
  </si>
  <si>
    <t xml:space="preserve">Error term: Brooks votes (± votes)</t>
  </si>
  <si>
    <t xml:space="preserve">PA-07 District</t>
  </si>
  <si>
    <t xml:space="preserve">(all precincts)</t>
  </si>
  <si>
    <t xml:space="preserve">Headline forecast for the briefing</t>
  </si>
  <si>
    <t xml:space="preserve">Error terms: each row = ±1 root-mean-square miss of this forecast in its 2024 backtest for places of similar size, after removing the district-wide miss. District row = the district-wide miss. Turnout is set by rule (not forecast), so no turnout error is included; the backtest shows that rule missed 2024 votes cast by under 1%.</t>
  </si>
  <si>
    <t xml:space="preserve">PRECINCT DETAIL</t>
  </si>
  <si>
    <t xml:space="preserve">MODEL INPUTS (from the random forest — do not edit)</t>
  </si>
  <si>
    <t xml:space="preserve">Notes / source method</t>
  </si>
  <si>
    <t xml:space="preserve">Model lean vs district (pts)</t>
  </si>
  <si>
    <t xml:space="preserve">Votes cast (scaled rule)</t>
  </si>
  <si>
    <t xml:space="preserve">Forecast Brooks share (unrounded)</t>
  </si>
  <si>
    <t xml:space="preserve">Size group (backtest error band)</t>
  </si>
  <si>
    <t xml:space="preserve">Rule votes: 2022 House votes × registration growth</t>
  </si>
  <si>
    <t xml:space="preserve">Carbon</t>
  </si>
  <si>
    <t xml:space="preserve">BANKS TOWNSHIP</t>
  </si>
  <si>
    <t xml:space="preserve">random forest (results only)</t>
  </si>
  <si>
    <t xml:space="preserve">Small</t>
  </si>
  <si>
    <t xml:space="preserve">BEAVER MEADOWS BOROUGH</t>
  </si>
  <si>
    <t xml:space="preserve">BOWMANSTOWN BOROUGH</t>
  </si>
  <si>
    <t xml:space="preserve">EAST PENN TOWNSHIP</t>
  </si>
  <si>
    <t xml:space="preserve">EAST PENN TOWNSHIP-NORTH</t>
  </si>
  <si>
    <t xml:space="preserve">EAST PENN TOWNSHIP-SOUTH</t>
  </si>
  <si>
    <t xml:space="preserve">EAST SIDE BOROUGH</t>
  </si>
  <si>
    <t xml:space="preserve">FRANKLIN TOWNSHIP</t>
  </si>
  <si>
    <t xml:space="preserve">FRANKLIN TOWNSHIP-HARRITY</t>
  </si>
  <si>
    <t xml:space="preserve">Medium</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</si>
  <si>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</si>
  <si>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</si>
  <si>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</si>
  <si>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</si>
  <si>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</si>
  <si>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</si>
  <si>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</si>
  <si>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</si>
  <si>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</si>
  <si>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</si>
  <si>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</si>
  <si>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</si>
  <si>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</si>
  <si>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</si>
  <si>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</si>
  <si>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</si>
  <si>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</si>
  <si>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</si>
  <si>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</si>
  <si>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</si>
  <si>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</si>
  <si>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</si>
  <si>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</si>
  <si>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</si>
  <si>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</si>
  <si>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</si>
  <si>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</si>
  <si>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</si>
  <si>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</si>
  <si>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</si>
  <si>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</si>
  <si>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</si>
  <si>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</si>
  <si>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</si>
  <si>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</si>
  <si>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</si>
  <si>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</si>
  <si>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</si>
  <si>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</si>
  <si>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</si>
  <si>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</si>
  <si>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</si>
  <si>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</si>
  <si>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</si>
  <si>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</si>
  <si>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</si>
  <si>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</si>
  <si>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</si>
  <si>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</si>
  <si>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</si>
  <si>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</si>
  <si>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</si>
  <si>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</si>
  <si>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</si>
  <si>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</si>
  <si>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</si>
  <si>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</si>
  <si>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</si>
  <si>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</si>
  <si>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</si>
  <si>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</si>
  <si>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</si>
  <si>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</si>
  <si>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</si>
  <si>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</si>
  <si>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</si>
  <si>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</si>
  <si>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</si>
  <si>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</si>
  <si>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</si>
  <si>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</si>
  <si>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</si>
  <si>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</si>
  <si>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</si>
  <si>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</si>
  <si>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</si>
  <si>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</si>
  <si>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</si>
  <si>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</si>
  <si>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</si>
  <si>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</si>
  <si>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</si>
  <si>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</si>
  <si>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</si>
  <si>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</si>
  <si>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</si>
  <si>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</si>
  <si>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</si>
  <si>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</si>
  <si>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</si>
  <si>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inputs lean on its municipality</t>
  </si>
  <si>
    <t xml:space="preserve">ALLENTOWN 17TH WD 4TH DT PARK</t>
  </si>
  <si>
    <t xml:space="preserve">Large</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</si>
  <si>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</si>
  <si>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</si>
  <si>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</si>
  <si>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</si>
  <si>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</si>
  <si>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</si>
  <si>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</si>
  <si>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</si>
  <si>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</si>
  <si>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</si>
  <si>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</si>
  <si>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</si>
  <si>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</si>
  <si>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</si>
  <si>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</si>
  <si>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</si>
  <si>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</si>
  <si>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</si>
  <si>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</si>
  <si>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</si>
  <si>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</si>
  <si>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</si>
  <si>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</si>
  <si>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</si>
  <si>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</si>
  <si>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</si>
  <si>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</si>
  <si>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</si>
  <si>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</si>
  <si>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</si>
  <si>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</si>
  <si>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</si>
  <si>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</si>
  <si>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</si>
  <si>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</si>
  <si>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</si>
  <si>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</si>
  <si>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</si>
  <si>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</si>
  <si>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</si>
  <si>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</si>
  <si>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</si>
  <si>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</si>
  <si>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</si>
  <si>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</si>
  <si>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</si>
  <si>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</si>
  <si>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</si>
  <si>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</si>
  <si>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</si>
  <si>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</si>
  <si>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</si>
  <si>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</si>
  <si>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</si>
  <si>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</si>
  <si>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</si>
  <si>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</si>
  <si>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</si>
  <si>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</si>
  <si>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</si>
  <si>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</si>
  <si>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</si>
  <si>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</si>
  <si>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</si>
  <si>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</si>
  <si>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</si>
  <si>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</si>
  <si>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</si>
  <si>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</si>
  <si>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</si>
  <si>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</si>
  <si>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</si>
  <si>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</si>
  <si>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</si>
  <si>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</si>
  <si>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</si>
  <si>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</si>
  <si>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</si>
  <si>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</si>
  <si>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</si>
  <si>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</si>
  <si>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</si>
  <si>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</si>
  <si>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</si>
  <si>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</si>
  <si>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</si>
  <si>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</si>
  <si>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</si>
  <si>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</si>
  <si>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</si>
  <si>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</si>
  <si>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</si>
  <si>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</si>
  <si>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</si>
  <si>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</si>
  <si>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</si>
  <si>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</si>
  <si>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</si>
  <si>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</si>
  <si>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</si>
  <si>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</si>
  <si>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</si>
  <si>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</si>
  <si>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</si>
  <si>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</si>
  <si>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</si>
  <si>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</si>
  <si>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</si>
  <si>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</si>
  <si>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</si>
  <si>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</si>
  <si>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</si>
  <si>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</si>
  <si>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</si>
  <si>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</si>
  <si>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</si>
  <si>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</si>
  <si>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</si>
  <si>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</si>
  <si>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</si>
  <si>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</si>
  <si>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</si>
  <si>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</si>
  <si>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</si>
  <si>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</si>
  <si>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</si>
  <si>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</si>
  <si>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</si>
  <si>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</si>
  <si>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</si>
  <si>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</si>
  <si>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</si>
  <si>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</si>
  <si>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</si>
  <si>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</si>
  <si>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</si>
  <si>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</si>
  <si>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</si>
  <si>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</si>
  <si>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</si>
  <si>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</si>
  <si>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</si>
  <si>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</si>
  <si>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</si>
  <si>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</si>
  <si>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</si>
  <si>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</si>
  <si>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</si>
  <si>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</si>
  <si>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</si>
  <si>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</si>
  <si>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</si>
  <si>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</si>
  <si>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</si>
  <si>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</si>
  <si>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</si>
  <si>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</si>
  <si>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</si>
  <si>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</si>
  <si>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</si>
  <si>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</si>
  <si>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</si>
  <si>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</si>
  <si>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</si>
  <si>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</si>
  <si>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</si>
  <si>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</si>
  <si>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</si>
  <si>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</si>
  <si>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</si>
  <si>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</si>
  <si>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</si>
  <si>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</si>
  <si>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</si>
  <si>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</si>
  <si>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</si>
  <si>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</si>
  <si>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</si>
  <si>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</si>
  <si>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</si>
  <si>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</si>
  <si>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</si>
  <si>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</si>
  <si>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</si>
  <si>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</si>
  <si>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</si>
  <si>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</si>
  <si>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</si>
  <si>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</si>
  <si>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</si>
  <si>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</si>
  <si>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</si>
  <si>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</si>
  <si>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</si>
  <si>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</si>
  <si>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</si>
  <si>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</si>
  <si>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</si>
  <si>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</si>
  <si>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</si>
  <si>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</si>
  <si>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</si>
  <si>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</si>
  <si>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</si>
  <si>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</si>
  <si>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</si>
  <si>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</si>
  <si>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</si>
  <si>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</si>
  <si>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</si>
  <si>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</si>
  <si>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</si>
  <si>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</si>
  <si>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</si>
  <si>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</si>
  <si>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</si>
  <si>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</si>
  <si>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</si>
  <si>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</si>
  <si>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</si>
  <si>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</si>
  <si>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</si>
  <si>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</si>
  <si>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</si>
  <si>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</si>
  <si>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</si>
  <si>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</si>
  <si>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</si>
  <si>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</si>
  <si>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</si>
  <si>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</si>
  <si>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</si>
  <si>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</si>
  <si>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</si>
  <si>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</si>
  <si>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</si>
  <si>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</si>
  <si>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</si>
  <si>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</si>
  <si>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</si>
  <si>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</si>
  <si>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</si>
  <si>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</si>
  <si>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</si>
  <si>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</si>
  <si>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</si>
  <si>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</si>
  <si>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</si>
  <si>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</si>
  <si>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</si>
  <si>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</si>
  <si>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</si>
  <si>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</si>
  <si>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</si>
  <si>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</si>
  <si>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</si>
  <si>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</si>
  <si>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</si>
  <si>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</si>
  <si>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</si>
  <si>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</si>
  <si>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</si>
  <si>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</si>
  <si>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</si>
  <si>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</si>
  <si>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</si>
  <si>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</si>
  <si>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</si>
  <si>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</si>
  <si>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</si>
  <si>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</si>
  <si>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</si>
  <si>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</si>
  <si>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</si>
  <si>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</si>
  <si>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</si>
  <si>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</si>
  <si>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</si>
  <si>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</si>
  <si>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</si>
  <si>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</si>
  <si>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</si>
  <si>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</si>
  <si>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</si>
  <si>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</si>
  <si>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</si>
  <si>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</si>
  <si>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</si>
  <si>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</si>
  <si>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</si>
  <si>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</si>
  <si>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</si>
  <si>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</si>
  <si>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</si>
  <si>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</si>
  <si>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</si>
  <si>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</si>
  <si>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</si>
  <si>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</si>
  <si>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</si>
  <si>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</si>
  <si>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</si>
  <si>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</si>
  <si>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</si>
  <si>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</si>
  <si>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</si>
  <si>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</si>
  <si>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</si>
  <si>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</si>
  <si>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</si>
  <si>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</si>
  <si>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</si>
  <si>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</si>
  <si>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</si>
  <si>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</si>
  <si>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</si>
  <si>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</si>
  <si>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</si>
  <si>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</si>
  <si>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</si>
  <si>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</si>
  <si>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</si>
  <si>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</si>
  <si>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</si>
  <si>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</si>
  <si>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</si>
  <si>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</si>
  <si>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</si>
  <si>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</si>
  <si>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</si>
  <si>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</si>
  <si>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</si>
  <si>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</si>
  <si>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</si>
  <si>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</si>
  <si>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</si>
  <si>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</si>
  <si>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</si>
  <si>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votes × registration growth</t>
  </si>
  <si>
    <t xml:space="preserve">PA-07 2026 House Forecast — Precinct-Level Predictions (Forecast C: shap family-reweighted forest)</t>
  </si>
  <si>
    <t xml:space="preserve">Random forest on results — Forecast C (SHAP family-reweighted forest), precinct model; turnout = 2022 votes × registration growth</t>
  </si>
  <si>
    <t xml:space="preserve">How the three precinct-level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</si>
  <si>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</si>
  <si>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</si>
  <si>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</si>
  <si>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23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</si>
  <si>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</si>
  <si>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</si>
  <si>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</si>
  <si>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</si>
  <si>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</si>
  <si>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last same-type House votes × registration growth (2022→2026 for the forecast; 2020→2024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</si>
  <si>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</si>
  <si>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</si>
  <si>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</si>
  <si>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</si>
  <si>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</si>
  <si>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</si>
  <si>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</si>
  <si>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2.59 → 2.55 points.</t>
  </si>
  <si>
    <t xml:space="preserve">Top inputs in each forecast (share of SHAP value in votes)</t>
  </si>
  <si>
    <t xml:space="preserve">#</t>
  </si>
  <si>
    <t xml:space="preserve">Share</t>
  </si>
  <si>
    <t xml:space="preserve">Precinct House lean, last election (t−2)</t>
  </si>
  <si>
    <t xml:space="preserve">Electorate last election: R % of ballots</t>
  </si>
  <si>
    <t xml:space="preserve">Precinct House lean, last same-type election (t−4)</t>
  </si>
  <si>
    <t xml:space="preserve">Municipality House lean, last election (t−2)</t>
  </si>
  <si>
    <t xml:space="preserve">State registration: R % (as of election)</t>
  </si>
  <si>
    <t xml:space="preserve">State registration: D % (as of election)</t>
  </si>
  <si>
    <t xml:space="preserve">State registration: change in D−R margin since t−2</t>
  </si>
  <si>
    <t xml:space="preserve">Mail use last election: R voters</t>
  </si>
  <si>
    <t xml:space="preserve">Precinct vs. its municipality, last election (pts)</t>
  </si>
  <si>
    <t xml:space="preserve">Turnout last election: R registrants</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</si>
  <si>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</si>
  <si>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</si>
  <si>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</si>
  <si>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</si>
  <si>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</si>
  <si>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</si>
  <si>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</si>
  <si>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Voter-file party switch gap (today’s R % − state R %)</t>
  </si>
  <si>
    <t xml:space="preserve">Mail use last election: D voters</t>
  </si>
  <si>
    <t xml:space="preserve">Turnout last election (state)</t>
  </si>
  <si>
    <t xml:space="preserve">Registrants: Boomer + Silent %</t>
  </si>
  <si>
    <t xml:space="preserve">Registrants: Millennial + Gen Z %</t>
  </si>
  <si>
    <t xml:space="preserve">Turnout last election: D registrants</t>
  </si>
  <si>
    <t xml:space="preserve">Registered voters (log, state)</t>
  </si>
  <si>
    <t xml:space="preserve">Midterm year (1/0)</t>
  </si>
  <si>
    <t xml:space="preserve">Registrants: female % (known sex)</t>
  </si>
  <si>
    <t xml:space="preserve">State registration: other %</t>
  </si>
  <si>
    <t xml:space="preserve">County: Carbon</t>
  </si>
  <si>
    <t xml:space="preserve">County: Northampton</t>
  </si>
  <si>
    <t xml:space="preserve">County: Lehigh</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</si>
  <si>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</si>
  <si>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</si>
  <si>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</si>
  <si>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</si>
  <si>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</si>
  <si>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</si>
  <si>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</si>
  <si>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</si>
  <si>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</si>
  <si>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</si>
  <si>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</si>
  <si>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t>
  </si>
  <si>
    <t xml:space="preserve">Kept in B</t>
  </si>
  <si>
    <t xml:space="preserve">Registered Republicans as a percent of everyone who voted, 2024 (voter file)</t>
  </si>
  <si>
    <t xml:space="preserve">Democratic percent of the two-party House vote in the precinct’s whole municipality, 2024, above or below the district average</t>
  </si>
  <si>
    <t xml:space="preserve">Registered Republicans as a percent of all registered voters, 2026 primary rolls (Department of State)</t>
  </si>
  <si>
    <t xml:space="preserve">Democratic percent of the two-party House vote, 2022 — the last midterm (certified precinct results), above or below the district average</t>
  </si>
  <si>
    <t xml:space="preserve">Registered Democrats as a percent of all registered voters, 2026 primary rolls (Department of State)</t>
  </si>
  <si>
    <t xml:space="preserve">Change in registered Democrats minus Republicans (percent of registered) from the 2024 general to the 2026 primary (Department of State)</t>
  </si>
  <si>
    <t xml:space="preserve">Dropped from B</t>
  </si>
  <si>
    <t xml:space="preserve">Percent of Republican voters who voted by mail, 2024 (voter file)</t>
  </si>
  <si>
    <t xml:space="preserve">Precinct’s 2024 House Democratic percent minus its municipality’s, in points</t>
  </si>
  <si>
    <t xml:space="preserve">Percent of registered Republicans who voted, 2024 (voter file)</t>
  </si>
  <si>
    <t xml:space="preserve">Republican percent of registered voters in the 2026 voter file minus the Republican percent on the 2026 state rolls (a party-switching signal)</t>
  </si>
  <si>
    <t xml:space="preserve">Percent of Democratic voters who voted by mail, 2024 (voter file)</t>
  </si>
  <si>
    <t xml:space="preserve">Ballots cast as a percent of registered voters, 2024 (Department of State)</t>
  </si>
  <si>
    <t xml:space="preserve">Registered voters born 1964 or earlier, as a percent of all registered voters, 2026 (voter file)</t>
  </si>
  <si>
    <t xml:space="preserve">Percent of registered Democrats who voted, 2024 (voter file)</t>
  </si>
  <si>
    <t xml:space="preserve">Registered voters born 1981 or later, as a percent of all registered voters, 2026 (voter file)</t>
  </si>
  <si>
    <t xml:space="preserve">Number of registered voters, 2026 primary rolls, on a log scale (Department of State)</t>
  </si>
  <si>
    <t xml:space="preserve">Women as a percent of registered voters whose sex is recorded, 2026 (voter file)</t>
  </si>
  <si>
    <t xml:space="preserve">Beat all 10 random comparison columns in 19 of 20 refits.</t>
  </si>
  <si>
    <t xml:space="preserve">Election type: 1 for a midterm year (2026), 0 for a presidential year</t>
  </si>
  <si>
    <t xml:space="preserve">Registered voters in neither major party, as a percent of all registered, 2026 primary rolls (Department of State)</t>
  </si>
  <si>
    <t xml:space="preserve">Beat all 10 random comparison columns in 17 of 20 refits.</t>
  </si>
  <si>
    <t xml:space="preserve">Precinct is in Carbon County (1/0)</t>
  </si>
  <si>
    <t xml:space="preserve">Beat all 10 random comparison columns in 15 of 20 refits.</t>
  </si>
  <si>
    <t xml:space="preserve">Precinct is in Northampton County (1/0)</t>
  </si>
  <si>
    <t xml:space="preserve">Beat all 10 random comparison columns in 1 of 20 refits.</t>
  </si>
  <si>
    <t xml:space="preserve">Precinct is in Lehigh County (1/0)</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</si>
  <si>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</si>
  <si>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</si>
  <si>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</si>
  <si>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</si>
  <si>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</si>
  <si>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</si>
  <si>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</si>
  <si>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370 precincts of the votes the input moved, ignoring direction. Brooks votes and Mackenzie votes are counted together (moving 10 votes from Mackenzie to Brooks counts as 20). Votes cast are each place’s 2022 House votes × its registration growth since 2022.</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</si>
  <si>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</si>
  <si>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 casts its 2022 House votes × its registration growth since 2022.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</si>
  <si>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</si>
  <si>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</si>
  <si>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977 precinct-elections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</si>
  <si>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</si>
  <si>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Settings: max_features=0.33, min_samples_leaf=3, 500 trees, trained on 977 precinct-elections (2020, 2022, 2024).</t>
  </si>
  <si>
    <t xml:space="preserve">Forecast C weighting: SHAP family re-weighting. Forecast A’s forest is kept, but each input family’s SHAP contribution is multiplied by a weight fitted to out-of-sample accuracy: Election type ×1.00; Geography &amp; municipal context ×1.00; Historical voter data ×1.08; Voter registration data ×0.87.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</si>
  <si>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</si>
  <si>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</si>
  <si>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</si>
  <si>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</si>
  <si>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</si>
  <si>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</si>
  <si>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</si>
  <si>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</si>
  <si>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</si>
  <si>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</si>
  <si>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</si>
  <si>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</si>
  <si>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</si>
  <si>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</si>
  <si>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</si>
  <si>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</si>
  <si>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</si>
  <si>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</si>
  <si>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</si>
  <si>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Votes cast miss from the turnout assumption (2020 votes vs actual 2024), percent</t>
  </si>
  <si>
    <t xml:space="preserve">Rows within 3 points on Democratic share</t>
  </si>
  <si>
    <t xml:space="preserve">Rows with a comparable 2024 result</t>
  </si>
  <si>
    <t xml:space="preserve">Rows in the table</t>
  </si>
  <si>
    <t xml:space="preserve">What this tab is: the same forecast, run as if it were the week before the 2024 general election, compared with the actual 2024 House results.</t>
  </si>
  <si>
    <t xml:space="preserve">The backtest forest was trained only on the 2020 and 2022 elections. Registration as of the 2024 election was kept; 2024 results were removed.</t>
  </si>
  <si>
    <t xml:space="preserve">Weights: Forecast A’s full forest, refit on 2020 and 2022 only (same inputs and settings as the 2026 forecast).</t>
  </si>
  <si>
    <t xml:space="preserve">Turnout, as in the 2026 forecast, is not modelled: each row’s votes cast = its House votes in the last election of the same type × its registration growth since then (2020 votes × 2020→2024 growth here; 2022 votes × 2022→2026 growth for 2026). Previously the backtest used 2020 votes with no growth, which under-counted 2024 votes cast by about 3%.</t>
  </si>
  <si>
    <t xml:space="preserve">District level (fixed): average of the two previous elections in today’s district WITH Carbon and Polk counted (2020 49.6%, 2022 50.9%), moved by 0.48 × the change in Democratic share of two-party registration since then (-2.5 pts) = 49.1%. Actual 2024: 49.4%. The 0.48 is the precinct-level link between registration change and vote change measured on 2018→2022 only. The old backtest used 2020 without Carbon/Polk (51.4%), which overstated the Democratic share by about 2 points.</t>
  </si>
  <si>
    <t xml:space="preserve">Actual votes are the 2024 House results exactly as given in the data. Error = predicted minus actual. Shares are of the two-party vote. Wild was the 2024 Democratic candidate and Mackenzie the 2024 Republican candidate.</t>
  </si>
  <si>
    <t xml:space="preserve">Rows marked 'No comparable 2024 result' are left out of the district total row and the error figures (their 2024 result does not line up with the number of people in today’s precinct who voted).</t>
  </si>
  <si>
    <t xml:space="preserve">These errors set the error terms on the 2026 forecast tab: each row gets the root-mean-square pattern miss of backtest rows of similar size (small / medium / large thirds by votes cast).</t>
  </si>
  <si>
    <t xml:space="preserve">Weights: Forecast B’s SHAP-selected inputs and settings, refit on 2020 and 2022 only.</t>
  </si>
  <si>
    <t xml:space="preserve">Weights: the SAME family weights as the 2026 Forecast C (Election type ×1.00; Geography &amp; municipal context ×1.00; Historical voter data ×1.08; Voter registration data ×0.87), applied to the SHAP values of a forest refit on 2020 and 2022 only. Those weights were fitted on out-of-fold SHAP that included 2024, so this backtest is slightly optimistic for C.</t>
  </si>
  <si>
    <t xml:space="preserve">What changed in this version (v3.0)</t>
  </si>
  <si>
    <t xml:space="preserve">1. District baseline: every current-district precinct is counted in every year (Carbon and Polk were previously left out of 2018/2020 because they voted in PA-09/PA-08). The default share = average of the last two elections + k × change in two-party registration since then, with k = 0.419 measured from precinct-level changes (national swing removed). 2026 default: 49.52%.</t>
  </si>
  <si>
    <t xml:space="preserve">2. Turnout: each place’s votes cast = its House votes in the last same-type election × its registration growth since then. 2026 default ≈ 312,192. In the 2022 test this rule was -8.0% off and in 2024 -1.6% (district level).</t>
  </si>
  <si>
    <t xml:space="preserve">3. The random forests, their SHAP weights and the three weightings (A, B, C) are unchanged; there is still only one random forest per forecast, on the results. Backtests were re-run with the fixed baseline and turnout rule and the same weights as each forecast.</t>
  </si>
  <si>
    <t xml:space="preserve">Data</t>
  </si>
  <si>
    <t xml:space="preserve">Source: PA07_Precinct_Data.xlsx (Results Consolidated, Precinct Consolidated, Precinct Summary). Forest training rows: 2020, 2022, 2024 (2018 history only); rows where the House race was not PA-07 are not training targets, but they ARE counted in the district baseline.</t>
  </si>
  <si>
    <t xml:space="preserve">Precinct results are used only where certified House votes line up with the number of people in today’s precinct who voted (re-drawn or re-paired codes fail). For precincts without a comparable 2022 result, 2022 votes cast = the municipality’s 2022 House votes divided among its precincts by how many people in each voted in 2022.</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</si>
  <si>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</si>
  <si>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</si>
  <si>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Row error term = ±1 RMS pattern miss of that forecast’s 2024 backtest for rows of similar size. District error term = the district-wide miss of the fixed backtest. Turnout error is not included in row terms (turnout is a rule).</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</si>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</sst>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
    <numFmt numFmtId="167" formatCode="0.00%"/>
    <numFmt numFmtId="168" formatCode="\+0.00;\-0.00"/>
    <numFmt numFmtId="169" formatCode="0.000"/>
    <numFmt numFmtId="170" formatCode="\+0.0%;\-0.0%"/>
    <numFmt numFmtId="171" formatCode="0.0"/>
    <numFmt numFmtId="172" formatCode="0"/>
    <numFmt numFmtId="173" formatCode="0.00"/>
    <numFmt numFmtId="174" formatCode="0%"/>
    <numFmt numFmtId="175" formatCode="yyyy\-mm\-dd"/>
    <numFmt numFmtId="176" formatCode="\+0.0;\-0.0"/>
    <numFmt numFmtId="177" formatCode="\+#,##0;\-#,##0;0"/>
    <numFmt numFmtId="178" formatCode="\+#,##0;\-#,##0"/>
    <numFmt numFmtId="179"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E2EFDA"/>
        <bgColor rgb="FFF2F2F2"/>
      </patternFill>
    </fill>
    <fill>
      <patternFill patternType="solid">
        <fgColor rgb="FFFFF2CC"/>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70" fontId="5"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6" fontId="5" fillId="7" borderId="0" xfId="0" applyFont="true" applyBorder="false" applyAlignment="false" applyProtection="false">
      <alignment horizontal="general" vertical="bottom" textRotation="0" wrapText="false" indent="0" shrinkToFit="false"/>
      <protection locked="true" hidden="false"/>
    </xf>
    <xf numFmtId="166"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7" fontId="5" fillId="0" borderId="1" xfId="0" applyFont="tru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6" fontId="0" fillId="6" borderId="1" xfId="0" applyFont="false" applyBorder="true" applyAlignment="false" applyProtection="false">
      <alignment horizontal="general" vertical="bottom" textRotation="0" wrapText="false" indent="0" shrinkToFit="false"/>
      <protection locked="true" hidden="false"/>
    </xf>
    <xf numFmtId="178" fontId="0" fillId="6" borderId="1" xfId="0" applyFont="fals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76" fontId="0" fillId="6" borderId="1" xfId="0" applyFont="false" applyBorder="tru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f aca="false">C26</f>
        <v>312191.921286866</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0.532994467712696</v>
      </c>
      <c r="D11" s="11" t="n">
        <v>136421</v>
      </c>
      <c r="E11" s="11" t="n">
        <v>119531</v>
      </c>
      <c r="F11" s="11" t="n">
        <v>483877</v>
      </c>
      <c r="G11" s="12" t="n">
        <v>0.567987991914153</v>
      </c>
    </row>
    <row r="12" customFormat="false" ht="15" hidden="false" customHeight="false" outlineLevel="0" collapsed="false">
      <c r="A12" s="9" t="s">
        <v>16</v>
      </c>
      <c r="B12" s="9"/>
      <c r="C12" s="10" t="n">
        <f aca="false">D12/(D12+E12)</f>
        <v>0.496465248197039</v>
      </c>
      <c r="D12" s="11" t="n">
        <v>188347</v>
      </c>
      <c r="E12" s="11" t="n">
        <v>191029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8" t="n">
        <f aca="false">D13+E13</f>
        <v>293228</v>
      </c>
    </row>
    <row r="24" customFormat="false" ht="15" hidden="false" customHeight="false" outlineLevel="0" collapsed="false">
      <c r="A24" s="2" t="s">
        <v>27</v>
      </c>
      <c r="C24" s="19" t="n">
        <f aca="false">F15/F13</f>
        <v>1.01536308194755</v>
      </c>
    </row>
    <row r="25" customFormat="false" ht="15" hidden="false" customHeight="false" outlineLevel="0" collapsed="false">
      <c r="A25" s="2" t="s">
        <v>28</v>
      </c>
      <c r="C25" s="18" t="n">
        <f aca="false">C23*C24</f>
        <v>297732.885793315</v>
      </c>
    </row>
    <row r="26" customFormat="false" ht="15" hidden="false" customHeight="false" outlineLevel="0" collapsed="false">
      <c r="A26" s="5" t="s">
        <v>29</v>
      </c>
      <c r="C26" s="11" t="n">
        <v>312191.921286866</v>
      </c>
      <c r="D26" s="3" t="s">
        <v>30</v>
      </c>
    </row>
    <row r="28" customFormat="false" ht="15" hidden="false" customHeight="false" outlineLevel="0" collapsed="false">
      <c r="A28" s="4" t="s">
        <v>31</v>
      </c>
      <c r="B28" s="4"/>
      <c r="C28" s="4"/>
      <c r="D28" s="4"/>
      <c r="E28" s="4"/>
      <c r="F28" s="4"/>
      <c r="G28" s="4"/>
      <c r="H28" s="4"/>
      <c r="I28" s="4"/>
    </row>
    <row r="29" customFormat="false" ht="15" hidden="false" customHeight="false" outlineLevel="0" collapsed="false">
      <c r="A29" s="5" t="s">
        <v>32</v>
      </c>
    </row>
    <row r="30" customFormat="false" ht="45.75" hidden="false" customHeight="true" outlineLevel="0" collapsed="false">
      <c r="A30" s="20" t="s">
        <v>33</v>
      </c>
      <c r="B30" s="20"/>
      <c r="C30" s="20"/>
      <c r="D30" s="20"/>
      <c r="E30" s="20"/>
      <c r="F30" s="20"/>
      <c r="G30" s="20"/>
      <c r="H30" s="20"/>
      <c r="I30" s="20"/>
    </row>
    <row r="31" customFormat="false" ht="15" hidden="false" customHeight="false" outlineLevel="0" collapsed="false">
      <c r="A31" s="5" t="s">
        <v>34</v>
      </c>
    </row>
    <row r="32" customFormat="false" ht="45.75" hidden="false" customHeight="true" outlineLevel="0" collapsed="false">
      <c r="A32" s="20" t="s">
        <v>35</v>
      </c>
      <c r="B32" s="20"/>
      <c r="C32" s="20"/>
      <c r="D32" s="20"/>
      <c r="E32" s="20"/>
      <c r="F32" s="20"/>
      <c r="G32" s="20"/>
      <c r="H32" s="20"/>
      <c r="I32" s="20"/>
    </row>
    <row r="33" customFormat="false" ht="15" hidden="false" customHeight="false" outlineLevel="0" collapsed="false">
      <c r="A33" s="5" t="s">
        <v>36</v>
      </c>
    </row>
    <row r="34" customFormat="false" ht="45.75" hidden="false" customHeight="true" outlineLevel="0" collapsed="false">
      <c r="A34" s="20" t="s">
        <v>37</v>
      </c>
      <c r="B34" s="20"/>
      <c r="C34" s="20"/>
      <c r="D34" s="20"/>
      <c r="E34" s="20"/>
      <c r="F34" s="20"/>
      <c r="G34" s="20"/>
      <c r="H34" s="20"/>
      <c r="I34" s="20"/>
    </row>
    <row r="35" customFormat="false" ht="15" hidden="false" customHeight="false" outlineLevel="0" collapsed="false">
      <c r="A35" s="5" t="s">
        <v>38</v>
      </c>
    </row>
    <row r="36" customFormat="false" ht="45.75" hidden="false" customHeight="true" outlineLevel="0" collapsed="false">
      <c r="A36" s="20" t="s">
        <v>39</v>
      </c>
      <c r="B36" s="20"/>
      <c r="C36" s="20"/>
      <c r="D36" s="20"/>
      <c r="E36" s="20"/>
      <c r="F36" s="20"/>
      <c r="G36" s="20"/>
      <c r="H36" s="20"/>
      <c r="I36" s="20"/>
    </row>
    <row r="37" customFormat="false" ht="15" hidden="false" customHeight="false" outlineLevel="0" collapsed="false">
      <c r="A37" s="5" t="s">
        <v>40</v>
      </c>
    </row>
    <row r="38" customFormat="false" ht="45.75" hidden="false" customHeight="true" outlineLevel="0" collapsed="false">
      <c r="A38" s="20" t="s">
        <v>41</v>
      </c>
      <c r="B38" s="20"/>
      <c r="C38" s="20"/>
      <c r="D38" s="20"/>
      <c r="E38" s="20"/>
      <c r="F38" s="20"/>
      <c r="G38" s="20"/>
      <c r="H38" s="20"/>
      <c r="I38" s="20"/>
    </row>
    <row r="40" customFormat="false" ht="45" hidden="false" customHeight="true" outlineLevel="0" collapsed="false">
      <c r="A40" s="8" t="s">
        <v>42</v>
      </c>
      <c r="B40" s="8" t="s">
        <v>43</v>
      </c>
      <c r="C40" s="8" t="s">
        <v>44</v>
      </c>
      <c r="D40" s="8" t="s">
        <v>45</v>
      </c>
      <c r="E40" s="8" t="s">
        <v>46</v>
      </c>
      <c r="F40" s="8" t="s">
        <v>47</v>
      </c>
    </row>
    <row r="41" customFormat="false" ht="15" hidden="false" customHeight="false" outlineLevel="0" collapsed="false">
      <c r="A41" s="21" t="s">
        <v>48</v>
      </c>
      <c r="B41" s="21" t="s">
        <v>49</v>
      </c>
      <c r="C41" s="22" t="n">
        <v>2.23110140227628</v>
      </c>
      <c r="D41" s="23" t="n">
        <v>0.0149527206098878</v>
      </c>
      <c r="E41" s="23" t="n">
        <v>-0.071718724413525</v>
      </c>
      <c r="F41" s="23" t="n">
        <v>-0.0290726534598739</v>
      </c>
    </row>
    <row r="42" customFormat="false" ht="15" hidden="false" customHeight="false" outlineLevel="0" collapsed="false">
      <c r="A42" s="24" t="s">
        <v>48</v>
      </c>
      <c r="B42" s="24" t="s">
        <v>50</v>
      </c>
      <c r="C42" s="25" t="n">
        <v>-0.122027647936956</v>
      </c>
      <c r="D42" s="26" t="n">
        <v>0.000354459095420312</v>
      </c>
      <c r="E42" s="27" t="n">
        <v>0.00525067482264441</v>
      </c>
      <c r="F42" s="26" t="n">
        <v>0.00284152653567205</v>
      </c>
    </row>
    <row r="43" customFormat="false" ht="15" hidden="false" customHeight="false" outlineLevel="0" collapsed="false">
      <c r="A43" s="21" t="s">
        <v>51</v>
      </c>
      <c r="B43" s="21" t="s">
        <v>49</v>
      </c>
      <c r="C43" s="22" t="n">
        <v>2.23358860698981</v>
      </c>
      <c r="D43" s="23" t="n">
        <v>0.0150017995615615</v>
      </c>
      <c r="E43" s="23" t="n">
        <v>-0.0717662657348568</v>
      </c>
      <c r="F43" s="23" t="n">
        <v>-0.0290726534598739</v>
      </c>
    </row>
    <row r="44" customFormat="false" ht="15" hidden="false" customHeight="false" outlineLevel="0" collapsed="false">
      <c r="A44" s="24" t="s">
        <v>51</v>
      </c>
      <c r="B44" s="24" t="s">
        <v>50</v>
      </c>
      <c r="C44" s="25" t="n">
        <v>-0.120422279585186</v>
      </c>
      <c r="D44" s="26" t="n">
        <v>0.000387178396536125</v>
      </c>
      <c r="E44" s="27" t="n">
        <v>0.0052189806084233</v>
      </c>
      <c r="F44" s="26" t="n">
        <v>0.00284152653567205</v>
      </c>
    </row>
    <row r="45" customFormat="false" ht="15" hidden="false" customHeight="false" outlineLevel="0" collapsed="false">
      <c r="A45" s="21" t="s">
        <v>52</v>
      </c>
      <c r="B45" s="21" t="s">
        <v>49</v>
      </c>
      <c r="C45" s="22" t="n">
        <v>2.23193047051412</v>
      </c>
      <c r="D45" s="23" t="n">
        <v>0.0149690802604456</v>
      </c>
      <c r="E45" s="23" t="n">
        <v>-0.0717345715206356</v>
      </c>
      <c r="F45" s="23" t="n">
        <v>-0.0290726534598739</v>
      </c>
    </row>
    <row r="46" customFormat="false" ht="15" hidden="false" customHeight="false" outlineLevel="0" collapsed="false">
      <c r="A46" s="24" t="s">
        <v>52</v>
      </c>
      <c r="B46" s="24" t="s">
        <v>50</v>
      </c>
      <c r="C46" s="25" t="n">
        <v>-0.121224963761074</v>
      </c>
      <c r="D46" s="26" t="n">
        <v>0.00037081874597833</v>
      </c>
      <c r="E46" s="27" t="n">
        <v>0.00523482771553385</v>
      </c>
      <c r="F46" s="26" t="n">
        <v>0.00284152653567205</v>
      </c>
    </row>
    <row r="48" customFormat="false" ht="15" hidden="false" customHeight="false" outlineLevel="0" collapsed="false">
      <c r="A48" s="4" t="s">
        <v>53</v>
      </c>
      <c r="B48" s="4"/>
      <c r="C48" s="4"/>
      <c r="D48" s="4"/>
      <c r="E48" s="4"/>
      <c r="F48" s="4"/>
      <c r="G48" s="4"/>
      <c r="H48" s="4"/>
      <c r="I48" s="4"/>
    </row>
    <row r="49" customFormat="false" ht="31.5" hidden="false" customHeight="true" outlineLevel="0" collapsed="false">
      <c r="A49" s="8" t="s">
        <v>42</v>
      </c>
      <c r="B49" s="8" t="s">
        <v>54</v>
      </c>
      <c r="C49" s="8" t="s">
        <v>55</v>
      </c>
      <c r="D49" s="8" t="s">
        <v>56</v>
      </c>
      <c r="E49" s="8" t="s">
        <v>57</v>
      </c>
      <c r="F49" s="8" t="s">
        <v>58</v>
      </c>
      <c r="G49" s="8" t="s">
        <v>59</v>
      </c>
      <c r="H49" s="8" t="s">
        <v>60</v>
      </c>
      <c r="I49" s="8" t="s">
        <v>61</v>
      </c>
    </row>
    <row r="50" customFormat="false" ht="15" hidden="false" customHeight="false" outlineLevel="0" collapsed="false">
      <c r="A50" s="28" t="s">
        <v>48</v>
      </c>
      <c r="B50" s="29" t="s">
        <v>62</v>
      </c>
      <c r="C50" s="30" t="n">
        <f aca="false">'2026 Forecast A'!D8</f>
        <v>154595</v>
      </c>
      <c r="D50" s="30" t="n">
        <f aca="false">'2026 Forecast A'!E8</f>
        <v>157594</v>
      </c>
      <c r="E50" s="30" t="n">
        <f aca="false">'2026 Forecast A'!F8</f>
        <v>312189</v>
      </c>
      <c r="F50" s="31" t="n">
        <f aca="false">'2026 Forecast A'!G8</f>
        <v>0.49519681987514</v>
      </c>
      <c r="G50" s="32" t="n">
        <f aca="false">'2026 Forecast A'!J8</f>
        <v>0.12202764793696</v>
      </c>
      <c r="H50" s="29" t="str">
        <f aca="false">TEXT('2026 Forecast A'!K8,"0.0%")&amp;" – "&amp;TEXT('2026 Forecast A'!L8,"0.0%")</f>
        <v>49.4% – 49.6%</v>
      </c>
      <c r="I50" s="30" t="n">
        <f aca="false">'2026 Forecast A'!M8</f>
        <v>381</v>
      </c>
    </row>
    <row r="51" customFormat="false" ht="15" hidden="false" customHeight="false" outlineLevel="0" collapsed="false">
      <c r="A51" s="28" t="s">
        <v>51</v>
      </c>
      <c r="B51" s="29" t="s">
        <v>63</v>
      </c>
      <c r="C51" s="30" t="n">
        <f aca="false">'2026 Forecast B'!D8</f>
        <v>154579</v>
      </c>
      <c r="D51" s="30" t="n">
        <f aca="false">'2026 Forecast B'!E8</f>
        <v>157610</v>
      </c>
      <c r="E51" s="30" t="n">
        <f aca="false">'2026 Forecast B'!F8</f>
        <v>312189</v>
      </c>
      <c r="F51" s="31" t="n">
        <f aca="false">'2026 Forecast B'!G8</f>
        <v>0.49514556887014</v>
      </c>
      <c r="G51" s="32" t="n">
        <f aca="false">'2026 Forecast B'!J8</f>
        <v>0.120422279585192</v>
      </c>
      <c r="H51" s="29" t="str">
        <f aca="false">TEXT('2026 Forecast B'!K8,"0.0%")&amp;" – "&amp;TEXT('2026 Forecast B'!L8,"0.0%")</f>
        <v>49.4% – 49.6%</v>
      </c>
      <c r="I51" s="30" t="n">
        <f aca="false">'2026 Forecast B'!M8</f>
        <v>376</v>
      </c>
    </row>
    <row r="52" customFormat="false" ht="15" hidden="false" customHeight="false" outlineLevel="0" collapsed="false">
      <c r="A52" s="28" t="s">
        <v>52</v>
      </c>
      <c r="B52" s="29" t="s">
        <v>64</v>
      </c>
      <c r="C52" s="30" t="n">
        <f aca="false">'2026 Forecast C'!D8</f>
        <v>154594</v>
      </c>
      <c r="D52" s="30" t="n">
        <f aca="false">'2026 Forecast C'!E8</f>
        <v>157595</v>
      </c>
      <c r="E52" s="30" t="n">
        <f aca="false">'2026 Forecast C'!F8</f>
        <v>312189</v>
      </c>
      <c r="F52" s="31" t="n">
        <f aca="false">'2026 Forecast C'!G8</f>
        <v>0.495193616687327</v>
      </c>
      <c r="G52" s="32" t="n">
        <f aca="false">'2026 Forecast C'!J8</f>
        <v>0.12122496376108</v>
      </c>
      <c r="H52" s="29" t="str">
        <f aca="false">TEXT('2026 Forecast C'!K8,"0.0%")&amp;" – "&amp;TEXT('2026 Forecast C'!L8,"0.0%")</f>
        <v>49.4% – 49.6%</v>
      </c>
      <c r="I52" s="30" t="n">
        <f aca="false">'2026 Forecast C'!M8</f>
        <v>378</v>
      </c>
    </row>
    <row r="54" customFormat="false" ht="15" hidden="false" customHeight="false" outlineLevel="0" collapsed="false">
      <c r="A54" s="4" t="s">
        <v>65</v>
      </c>
      <c r="B54" s="4"/>
      <c r="C54" s="4"/>
      <c r="D54" s="4"/>
      <c r="E54" s="4"/>
      <c r="F54" s="4"/>
      <c r="G54" s="4"/>
      <c r="H54" s="4"/>
      <c r="I54" s="4"/>
    </row>
    <row r="55" customFormat="false" ht="45" hidden="false" customHeight="true" outlineLevel="0" collapsed="false">
      <c r="A55" s="8" t="s">
        <v>42</v>
      </c>
      <c r="B55" s="8" t="s">
        <v>66</v>
      </c>
      <c r="C55" s="8" t="s">
        <v>67</v>
      </c>
      <c r="D55" s="8" t="s">
        <v>68</v>
      </c>
      <c r="E55" s="8" t="s">
        <v>69</v>
      </c>
      <c r="F55" s="8" t="s">
        <v>70</v>
      </c>
      <c r="G55" s="8" t="s">
        <v>71</v>
      </c>
      <c r="H55" s="8" t="s">
        <v>72</v>
      </c>
      <c r="I55" s="8" t="s">
        <v>73</v>
      </c>
    </row>
    <row r="56" customFormat="false" ht="15" hidden="false" customHeight="false" outlineLevel="0" collapsed="false">
      <c r="A56" s="33" t="s">
        <v>48</v>
      </c>
      <c r="B56" s="34" t="n">
        <f aca="false">'2024 Backtest A'!F384</f>
        <v>342</v>
      </c>
      <c r="C56" s="35" t="n">
        <f aca="false">'2024 Backtest A'!F378</f>
        <v>1.56840522684137</v>
      </c>
      <c r="D56" s="35" t="n">
        <f aca="false">'2024 Backtest A'!F379</f>
        <v>2.14685856920301</v>
      </c>
      <c r="E56" s="22" t="n">
        <f aca="false">'2024 Backtest A'!F380</f>
        <v>-0.122027647936956</v>
      </c>
      <c r="F56" s="35" t="n">
        <f aca="false">'2024 Backtest A'!F381</f>
        <v>2.1625811910929</v>
      </c>
      <c r="G56" s="36" t="n">
        <f aca="false">'2024 Backtest A'!F383</f>
        <v>0.853801169590643</v>
      </c>
      <c r="H56" s="37" t="n">
        <f aca="false">'2024 Backtest A'!F376</f>
        <v>26.0964912280702</v>
      </c>
      <c r="I56" s="23" t="n">
        <f aca="false">'2024 Backtest A'!F382</f>
        <v>0.00284152653567205</v>
      </c>
    </row>
    <row r="57" customFormat="false" ht="15" hidden="false" customHeight="false" outlineLevel="0" collapsed="false">
      <c r="A57" s="33" t="s">
        <v>51</v>
      </c>
      <c r="B57" s="34" t="n">
        <f aca="false">'2024 Backtest B'!F384</f>
        <v>342</v>
      </c>
      <c r="C57" s="35" t="n">
        <f aca="false">'2024 Backtest B'!F378</f>
        <v>1.72455498771725</v>
      </c>
      <c r="D57" s="35" t="n">
        <f aca="false">'2024 Backtest B'!F379</f>
        <v>2.25224185896985</v>
      </c>
      <c r="E57" s="22" t="n">
        <f aca="false">'2024 Backtest B'!F380</f>
        <v>-0.120422279585186</v>
      </c>
      <c r="F57" s="35" t="n">
        <f aca="false">'2024 Backtest B'!F381</f>
        <v>2.26968503130403</v>
      </c>
      <c r="G57" s="36" t="n">
        <f aca="false">'2024 Backtest B'!F383</f>
        <v>0.827485380116959</v>
      </c>
      <c r="H57" s="37" t="n">
        <f aca="false">'2024 Backtest B'!F376</f>
        <v>28.5526315789474</v>
      </c>
      <c r="I57" s="23" t="n">
        <f aca="false">'2024 Backtest B'!F382</f>
        <v>0.00284152653567205</v>
      </c>
    </row>
    <row r="58" customFormat="false" ht="15" hidden="false" customHeight="false" outlineLevel="0" collapsed="false">
      <c r="A58" s="33" t="s">
        <v>52</v>
      </c>
      <c r="B58" s="34" t="n">
        <f aca="false">'2024 Backtest C'!F384</f>
        <v>342</v>
      </c>
      <c r="C58" s="35" t="n">
        <f aca="false">'2024 Backtest C'!F378</f>
        <v>1.62699087435977</v>
      </c>
      <c r="D58" s="35" t="n">
        <f aca="false">'2024 Backtest C'!F379</f>
        <v>2.22299444247898</v>
      </c>
      <c r="E58" s="22" t="n">
        <f aca="false">'2024 Backtest C'!F380</f>
        <v>-0.121224963761074</v>
      </c>
      <c r="F58" s="35" t="n">
        <f aca="false">'2024 Backtest C'!F381</f>
        <v>2.23802454930018</v>
      </c>
      <c r="G58" s="36" t="n">
        <f aca="false">'2024 Backtest C'!F383</f>
        <v>0.850877192982456</v>
      </c>
      <c r="H58" s="37" t="n">
        <f aca="false">'2024 Backtest C'!F376</f>
        <v>26.7953216374269</v>
      </c>
      <c r="I58" s="23" t="n">
        <f aca="false">'2024 Backtest C'!F382</f>
        <v>0.00284152653567205</v>
      </c>
    </row>
    <row r="60" customFormat="false" ht="15" hidden="false" customHeight="false" outlineLevel="0" collapsed="false">
      <c r="A60" s="4" t="s">
        <v>74</v>
      </c>
      <c r="B60" s="4"/>
      <c r="C60" s="4"/>
      <c r="D60" s="4"/>
      <c r="E60" s="4"/>
      <c r="F60" s="4"/>
      <c r="G60" s="4"/>
      <c r="H60" s="4"/>
      <c r="I60" s="4"/>
      <c r="J60" s="4"/>
      <c r="K60" s="4"/>
      <c r="L60" s="4"/>
    </row>
    <row r="61" customFormat="false" ht="31.5" hidden="false" customHeight="true" outlineLevel="0" collapsed="false">
      <c r="A61" s="8" t="s">
        <v>75</v>
      </c>
      <c r="B61" s="8" t="s">
        <v>76</v>
      </c>
      <c r="C61" s="8" t="s">
        <v>77</v>
      </c>
      <c r="D61" s="8" t="s">
        <v>48</v>
      </c>
      <c r="E61" s="8" t="s">
        <v>51</v>
      </c>
      <c r="F61" s="8" t="s">
        <v>52</v>
      </c>
      <c r="G61" s="8" t="s">
        <v>78</v>
      </c>
      <c r="H61" s="8" t="s">
        <v>79</v>
      </c>
      <c r="I61" s="8" t="s">
        <v>80</v>
      </c>
      <c r="J61" s="8" t="s">
        <v>81</v>
      </c>
      <c r="K61" s="8" t="s">
        <v>82</v>
      </c>
      <c r="L61" s="8" t="s">
        <v>83</v>
      </c>
    </row>
    <row r="62" customFormat="false" ht="15" hidden="false" customHeight="false" outlineLevel="0" collapsed="false">
      <c r="A62" s="9" t="str">
        <f aca="false">'2026 Forecast A'!A12</f>
        <v>Carbon</v>
      </c>
      <c r="B62" s="9" t="str">
        <f aca="false">'2026 Forecast A'!B12</f>
        <v>BANKS TOWNSHIP</v>
      </c>
      <c r="C62" s="9" t="str">
        <f aca="false">'2026 Forecast A'!C12</f>
        <v>BANKS TOWNSHIP</v>
      </c>
      <c r="D62" s="10" t="n">
        <f aca="false">'2026 Forecast A'!G12</f>
        <v>0.412087912087912</v>
      </c>
      <c r="E62" s="10" t="n">
        <f aca="false">'2026 Forecast B'!G12</f>
        <v>0.412087912087912</v>
      </c>
      <c r="F62" s="10" t="n">
        <f aca="false">'2026 Forecast C'!G12</f>
        <v>0.403846153846154</v>
      </c>
      <c r="G62" s="38" t="n">
        <f aca="false">(MAX(D62:F62)-MIN(D62:F62))*100</f>
        <v>0.824175824175821</v>
      </c>
      <c r="H62" s="38" t="n">
        <f aca="false">'2026 Forecast A'!J12</f>
        <v>3.02363014511423</v>
      </c>
      <c r="I62" s="38" t="n">
        <f aca="false">'2026 Forecast B'!J12</f>
        <v>2.87918965002339</v>
      </c>
      <c r="J62" s="38" t="n">
        <f aca="false">'2026 Forecast C'!J12</f>
        <v>3.15466234357281</v>
      </c>
      <c r="K62" s="18" t="n">
        <f aca="false">'2026 Forecast A'!F12</f>
        <v>364</v>
      </c>
      <c r="L62" s="39" t="str">
        <f aca="false">IF(OR(AND(D62&gt;0.5,E62&gt;0.5,F62&gt;0.5),AND(D62&lt;0.5,E62&lt;0.5,F62&lt;0.5)),"Yes","No — toss-up")</f>
        <v>Yes</v>
      </c>
    </row>
    <row r="63" customFormat="false" ht="15" hidden="false" customHeight="false" outlineLevel="0" collapsed="false">
      <c r="A63" s="9" t="str">
        <f aca="false">'2026 Forecast A'!A13</f>
        <v>Carbon</v>
      </c>
      <c r="B63" s="9" t="str">
        <f aca="false">'2026 Forecast A'!B13</f>
        <v>BEAVER MEADOWS BOROUGH</v>
      </c>
      <c r="C63" s="9" t="str">
        <f aca="false">'2026 Forecast A'!C13</f>
        <v>BEAVER MEADOWS BOROUGH</v>
      </c>
      <c r="D63" s="10" t="n">
        <f aca="false">'2026 Forecast A'!G13</f>
        <v>0.290909090909091</v>
      </c>
      <c r="E63" s="10" t="n">
        <f aca="false">'2026 Forecast B'!G13</f>
        <v>0.3</v>
      </c>
      <c r="F63" s="10" t="n">
        <f aca="false">'2026 Forecast C'!G13</f>
        <v>0.281818181818182</v>
      </c>
      <c r="G63" s="38" t="n">
        <f aca="false">(MAX(D63:F63)-MIN(D63:F63))*100</f>
        <v>1.81818181818182</v>
      </c>
      <c r="H63" s="38" t="n">
        <f aca="false">'2026 Forecast A'!J13</f>
        <v>3.02363014511423</v>
      </c>
      <c r="I63" s="38" t="n">
        <f aca="false">'2026 Forecast B'!J13</f>
        <v>2.87918965002339</v>
      </c>
      <c r="J63" s="38" t="n">
        <f aca="false">'2026 Forecast C'!J13</f>
        <v>3.15466234357281</v>
      </c>
      <c r="K63" s="18" t="n">
        <f aca="false">'2026 Forecast A'!F13</f>
        <v>330</v>
      </c>
      <c r="L63" s="39" t="str">
        <f aca="false">IF(OR(AND(D63&gt;0.5,E63&gt;0.5,F63&gt;0.5),AND(D63&lt;0.5,E63&lt;0.5,F63&lt;0.5)),"Yes","No — toss-up")</f>
        <v>Yes</v>
      </c>
    </row>
    <row r="64" customFormat="false" ht="15" hidden="false" customHeight="false" outlineLevel="0" collapsed="false">
      <c r="A64" s="9" t="str">
        <f aca="false">'2026 Forecast A'!A14</f>
        <v>Carbon</v>
      </c>
      <c r="B64" s="9" t="str">
        <f aca="false">'2026 Forecast A'!B14</f>
        <v>BOWMANSTOWN BOROUGH</v>
      </c>
      <c r="C64" s="9" t="str">
        <f aca="false">'2026 Forecast A'!C14</f>
        <v>BOWMANSTOWN BOROUGH</v>
      </c>
      <c r="D64" s="10" t="n">
        <f aca="false">'2026 Forecast A'!G14</f>
        <v>0.325842696629214</v>
      </c>
      <c r="E64" s="10" t="n">
        <f aca="false">'2026 Forecast B'!G14</f>
        <v>0.339887640449438</v>
      </c>
      <c r="F64" s="10" t="n">
        <f aca="false">'2026 Forecast C'!G14</f>
        <v>0.320224719101124</v>
      </c>
      <c r="G64" s="38" t="n">
        <f aca="false">(MAX(D64:F64)-MIN(D64:F64))*100</f>
        <v>1.96629213483146</v>
      </c>
      <c r="H64" s="38" t="n">
        <f aca="false">'2026 Forecast A'!J14</f>
        <v>3.02363014511423</v>
      </c>
      <c r="I64" s="38" t="n">
        <f aca="false">'2026 Forecast B'!J14</f>
        <v>2.87918965002339</v>
      </c>
      <c r="J64" s="38" t="n">
        <f aca="false">'2026 Forecast C'!J14</f>
        <v>3.15466234357281</v>
      </c>
      <c r="K64" s="18" t="n">
        <f aca="false">'2026 Forecast A'!F14</f>
        <v>356</v>
      </c>
      <c r="L64" s="39" t="str">
        <f aca="false">IF(OR(AND(D64&gt;0.5,E64&gt;0.5,F64&gt;0.5),AND(D64&lt;0.5,E64&lt;0.5,F64&lt;0.5)),"Yes","No — toss-up")</f>
        <v>Yes</v>
      </c>
    </row>
    <row r="65" customFormat="false" ht="15" hidden="false" customHeight="false" outlineLevel="0" collapsed="false">
      <c r="A65" s="9" t="str">
        <f aca="false">'2026 Forecast A'!A15</f>
        <v>Carbon</v>
      </c>
      <c r="B65" s="9" t="str">
        <f aca="false">'2026 Forecast A'!B15</f>
        <v>EAST PENN TOWNSHIP</v>
      </c>
      <c r="C65" s="9" t="str">
        <f aca="false">'2026 Forecast A'!C15</f>
        <v>EAST PENN TOWNSHIP-NORTH</v>
      </c>
      <c r="D65" s="10" t="n">
        <f aca="false">'2026 Forecast A'!G15</f>
        <v>0.25828729281768</v>
      </c>
      <c r="E65" s="10" t="n">
        <f aca="false">'2026 Forecast B'!G15</f>
        <v>0.265193370165746</v>
      </c>
      <c r="F65" s="10" t="n">
        <f aca="false">'2026 Forecast C'!G15</f>
        <v>0.248618784530387</v>
      </c>
      <c r="G65" s="38" t="n">
        <f aca="false">(MAX(D65:F65)-MIN(D65:F65))*100</f>
        <v>1.65745856353591</v>
      </c>
      <c r="H65" s="38" t="n">
        <f aca="false">'2026 Forecast A'!J15</f>
        <v>3.02363014511423</v>
      </c>
      <c r="I65" s="38" t="n">
        <f aca="false">'2026 Forecast B'!J15</f>
        <v>2.87918965002339</v>
      </c>
      <c r="J65" s="38" t="n">
        <f aca="false">'2026 Forecast C'!J15</f>
        <v>3.15466234357281</v>
      </c>
      <c r="K65" s="18" t="n">
        <f aca="false">'2026 Forecast A'!F15</f>
        <v>724</v>
      </c>
      <c r="L65" s="39" t="str">
        <f aca="false">IF(OR(AND(D65&gt;0.5,E65&gt;0.5,F65&gt;0.5),AND(D65&lt;0.5,E65&lt;0.5,F65&lt;0.5)),"Yes","No — toss-up")</f>
        <v>Yes</v>
      </c>
    </row>
    <row r="66" customFormat="false" ht="15" hidden="false" customHeight="false" outlineLevel="0" collapsed="false">
      <c r="A66" s="9" t="str">
        <f aca="false">'2026 Forecast A'!A16</f>
        <v>Carbon</v>
      </c>
      <c r="B66" s="9" t="str">
        <f aca="false">'2026 Forecast A'!B16</f>
        <v>EAST PENN TOWNSHIP</v>
      </c>
      <c r="C66" s="9" t="str">
        <f aca="false">'2026 Forecast A'!C16</f>
        <v>EAST PENN TOWNSHIP-SOUTH</v>
      </c>
      <c r="D66" s="10" t="n">
        <f aca="false">'2026 Forecast A'!G16</f>
        <v>0.288052373158756</v>
      </c>
      <c r="E66" s="10" t="n">
        <f aca="false">'2026 Forecast B'!G16</f>
        <v>0.286415711947627</v>
      </c>
      <c r="F66" s="10" t="n">
        <f aca="false">'2026 Forecast C'!G16</f>
        <v>0.27823240589198</v>
      </c>
      <c r="G66" s="38" t="n">
        <f aca="false">(MAX(D66:F66)-MIN(D66:F66))*100</f>
        <v>0.981996726677581</v>
      </c>
      <c r="H66" s="38" t="n">
        <f aca="false">'2026 Forecast A'!J16</f>
        <v>3.02363014511423</v>
      </c>
      <c r="I66" s="38" t="n">
        <f aca="false">'2026 Forecast B'!J16</f>
        <v>2.87918965002339</v>
      </c>
      <c r="J66" s="38" t="n">
        <f aca="false">'2026 Forecast C'!J16</f>
        <v>3.15466234357281</v>
      </c>
      <c r="K66" s="18" t="n">
        <f aca="false">'2026 Forecast A'!F16</f>
        <v>611</v>
      </c>
      <c r="L66" s="39" t="str">
        <f aca="false">IF(OR(AND(D66&gt;0.5,E66&gt;0.5,F66&gt;0.5),AND(D66&lt;0.5,E66&lt;0.5,F66&lt;0.5)),"Yes","No — toss-up")</f>
        <v>Yes</v>
      </c>
    </row>
    <row r="67" customFormat="false" ht="15" hidden="false" customHeight="false" outlineLevel="0" collapsed="false">
      <c r="A67" s="9" t="str">
        <f aca="false">'2026 Forecast A'!A17</f>
        <v>Carbon</v>
      </c>
      <c r="B67" s="9" t="str">
        <f aca="false">'2026 Forecast A'!B17</f>
        <v>EAST SIDE BOROUGH</v>
      </c>
      <c r="C67" s="9" t="str">
        <f aca="false">'2026 Forecast A'!C17</f>
        <v>EAST SIDE BOROUGH</v>
      </c>
      <c r="D67" s="10" t="n">
        <f aca="false">'2026 Forecast A'!G17</f>
        <v>0.344086021505376</v>
      </c>
      <c r="E67" s="10" t="n">
        <f aca="false">'2026 Forecast B'!G17</f>
        <v>0.354838709677419</v>
      </c>
      <c r="F67" s="10" t="n">
        <f aca="false">'2026 Forecast C'!G17</f>
        <v>0.344086021505376</v>
      </c>
      <c r="G67" s="38" t="n">
        <f aca="false">(MAX(D67:F67)-MIN(D67:F67))*100</f>
        <v>1.0752688172043</v>
      </c>
      <c r="H67" s="38" t="n">
        <f aca="false">'2026 Forecast A'!J17</f>
        <v>3.02363014511423</v>
      </c>
      <c r="I67" s="38" t="n">
        <f aca="false">'2026 Forecast B'!J17</f>
        <v>2.87918965002339</v>
      </c>
      <c r="J67" s="38" t="n">
        <f aca="false">'2026 Forecast C'!J17</f>
        <v>3.15466234357281</v>
      </c>
      <c r="K67" s="18" t="n">
        <f aca="false">'2026 Forecast A'!F17</f>
        <v>93</v>
      </c>
      <c r="L67" s="39" t="str">
        <f aca="false">IF(OR(AND(D67&gt;0.5,E67&gt;0.5,F67&gt;0.5),AND(D67&lt;0.5,E67&lt;0.5,F67&lt;0.5)),"Yes","No — toss-up")</f>
        <v>Yes</v>
      </c>
    </row>
    <row r="68" customFormat="false" ht="15" hidden="false" customHeight="false" outlineLevel="0" collapsed="false">
      <c r="A68" s="9" t="str">
        <f aca="false">'2026 Forecast A'!A18</f>
        <v>Carbon</v>
      </c>
      <c r="B68" s="9" t="str">
        <f aca="false">'2026 Forecast A'!B18</f>
        <v>FRANKLIN TOWNSHIP</v>
      </c>
      <c r="C68" s="9" t="str">
        <f aca="false">'2026 Forecast A'!C18</f>
        <v>FRANKLIN TOWNSHIP-HARRITY</v>
      </c>
      <c r="D68" s="10" t="n">
        <f aca="false">'2026 Forecast A'!G18</f>
        <v>0.289566236811254</v>
      </c>
      <c r="E68" s="10" t="n">
        <f aca="false">'2026 Forecast B'!G18</f>
        <v>0.289566236811254</v>
      </c>
      <c r="F68" s="10" t="n">
        <f aca="false">'2026 Forecast C'!G18</f>
        <v>0.281359906213365</v>
      </c>
      <c r="G68" s="38" t="n">
        <f aca="false">(MAX(D68:F68)-MIN(D68:F68))*100</f>
        <v>0.820633059788978</v>
      </c>
      <c r="H68" s="38" t="n">
        <f aca="false">'2026 Forecast A'!J18</f>
        <v>1.80877416096373</v>
      </c>
      <c r="I68" s="38" t="n">
        <f aca="false">'2026 Forecast B'!J18</f>
        <v>1.9254971424187</v>
      </c>
      <c r="J68" s="38" t="n">
        <f aca="false">'2026 Forecast C'!J18</f>
        <v>1.88510957763259</v>
      </c>
      <c r="K68" s="18" t="n">
        <f aca="false">'2026 Forecast A'!F18</f>
        <v>853</v>
      </c>
      <c r="L68" s="39" t="str">
        <f aca="false">IF(OR(AND(D68&gt;0.5,E68&gt;0.5,F68&gt;0.5),AND(D68&lt;0.5,E68&lt;0.5,F68&lt;0.5)),"Yes","No — toss-up")</f>
        <v>Yes</v>
      </c>
    </row>
    <row r="69" customFormat="false" ht="15" hidden="false" customHeight="false" outlineLevel="0" collapsed="false">
      <c r="A69" s="9" t="str">
        <f aca="false">'2026 Forecast A'!A19</f>
        <v>Carbon</v>
      </c>
      <c r="B69" s="9" t="str">
        <f aca="false">'2026 Forecast A'!B19</f>
        <v>FRANKLIN TOWNSHIP</v>
      </c>
      <c r="C69" s="9" t="str">
        <f aca="false">'2026 Forecast A'!C19</f>
        <v>FRANKLIN TOWNSHIP-IND DIST</v>
      </c>
      <c r="D69" s="10" t="n">
        <f aca="false">'2026 Forecast A'!G19</f>
        <v>0.28125</v>
      </c>
      <c r="E69" s="10" t="n">
        <f aca="false">'2026 Forecast B'!G19</f>
        <v>0.287946428571429</v>
      </c>
      <c r="F69" s="10" t="n">
        <f aca="false">'2026 Forecast C'!G19</f>
        <v>0.270089285714286</v>
      </c>
      <c r="G69" s="38" t="n">
        <f aca="false">(MAX(D69:F69)-MIN(D69:F69))*100</f>
        <v>1.78571428571429</v>
      </c>
      <c r="H69" s="38" t="n">
        <f aca="false">'2026 Forecast A'!J19</f>
        <v>3.02363014511423</v>
      </c>
      <c r="I69" s="38" t="n">
        <f aca="false">'2026 Forecast B'!J19</f>
        <v>2.87918965002339</v>
      </c>
      <c r="J69" s="38" t="n">
        <f aca="false">'2026 Forecast C'!J19</f>
        <v>3.15466234357281</v>
      </c>
      <c r="K69" s="18" t="n">
        <f aca="false">'2026 Forecast A'!F19</f>
        <v>448</v>
      </c>
      <c r="L69" s="39" t="str">
        <f aca="false">IF(OR(AND(D69&gt;0.5,E69&gt;0.5,F69&gt;0.5),AND(D69&lt;0.5,E69&lt;0.5,F69&lt;0.5)),"Yes","No — toss-up")</f>
        <v>Yes</v>
      </c>
    </row>
    <row r="70" customFormat="false" ht="15" hidden="false" customHeight="false" outlineLevel="0" collapsed="false">
      <c r="A70" s="9" t="str">
        <f aca="false">'2026 Forecast A'!A20</f>
        <v>Carbon</v>
      </c>
      <c r="B70" s="9" t="str">
        <f aca="false">'2026 Forecast A'!B20</f>
        <v>FRANKLIN TOWNSHIP</v>
      </c>
      <c r="C70" s="9" t="str">
        <f aca="false">'2026 Forecast A'!C20</f>
        <v>FRANKLIN TOWNSHIP-LONG RUN</v>
      </c>
      <c r="D70" s="10" t="n">
        <f aca="false">'2026 Forecast A'!G20</f>
        <v>0.278184480234261</v>
      </c>
      <c r="E70" s="10" t="n">
        <f aca="false">'2026 Forecast B'!G20</f>
        <v>0.278184480234261</v>
      </c>
      <c r="F70" s="10" t="n">
        <f aca="false">'2026 Forecast C'!G20</f>
        <v>0.269399707174231</v>
      </c>
      <c r="G70" s="38" t="n">
        <f aca="false">(MAX(D70:F70)-MIN(D70:F70))*100</f>
        <v>0.878477306002928</v>
      </c>
      <c r="H70" s="38" t="n">
        <f aca="false">'2026 Forecast A'!J20</f>
        <v>3.02363014511423</v>
      </c>
      <c r="I70" s="38" t="n">
        <f aca="false">'2026 Forecast B'!J20</f>
        <v>2.87918965002339</v>
      </c>
      <c r="J70" s="38" t="n">
        <f aca="false">'2026 Forecast C'!J20</f>
        <v>3.15466234357281</v>
      </c>
      <c r="K70" s="18" t="n">
        <f aca="false">'2026 Forecast A'!F20</f>
        <v>683</v>
      </c>
      <c r="L70" s="39" t="str">
        <f aca="false">IF(OR(AND(D70&gt;0.5,E70&gt;0.5,F70&gt;0.5),AND(D70&lt;0.5,E70&lt;0.5,F70&lt;0.5)),"Yes","No — toss-up")</f>
        <v>Yes</v>
      </c>
    </row>
    <row r="71" customFormat="false" ht="15" hidden="false" customHeight="false" outlineLevel="0" collapsed="false">
      <c r="A71" s="9" t="str">
        <f aca="false">'2026 Forecast A'!A21</f>
        <v>Carbon</v>
      </c>
      <c r="B71" s="9" t="str">
        <f aca="false">'2026 Forecast A'!B21</f>
        <v>JIM THORPE BOROUGH</v>
      </c>
      <c r="C71" s="9" t="str">
        <f aca="false">'2026 Forecast A'!C21</f>
        <v>JIM THORPE BOROUGH-1ST</v>
      </c>
      <c r="D71" s="10" t="n">
        <f aca="false">'2026 Forecast A'!G21</f>
        <v>0.458715596330275</v>
      </c>
      <c r="E71" s="10" t="n">
        <f aca="false">'2026 Forecast B'!G21</f>
        <v>0.467889908256881</v>
      </c>
      <c r="F71" s="10" t="n">
        <f aca="false">'2026 Forecast C'!G21</f>
        <v>0.456422018348624</v>
      </c>
      <c r="G71" s="38" t="n">
        <f aca="false">(MAX(D71:F71)-MIN(D71:F71))*100</f>
        <v>1.14678899082569</v>
      </c>
      <c r="H71" s="38" t="n">
        <f aca="false">'2026 Forecast A'!J21</f>
        <v>3.02363014511423</v>
      </c>
      <c r="I71" s="38" t="n">
        <f aca="false">'2026 Forecast B'!J21</f>
        <v>2.87918965002339</v>
      </c>
      <c r="J71" s="38" t="n">
        <f aca="false">'2026 Forecast C'!J21</f>
        <v>3.15466234357281</v>
      </c>
      <c r="K71" s="18" t="n">
        <f aca="false">'2026 Forecast A'!F21</f>
        <v>436</v>
      </c>
      <c r="L71" s="39" t="str">
        <f aca="false">IF(OR(AND(D71&gt;0.5,E71&gt;0.5,F71&gt;0.5),AND(D71&lt;0.5,E71&lt;0.5,F71&lt;0.5)),"Yes","No — toss-up")</f>
        <v>Yes</v>
      </c>
    </row>
    <row r="72" customFormat="false" ht="15" hidden="false" customHeight="false" outlineLevel="0" collapsed="false">
      <c r="A72" s="9" t="str">
        <f aca="false">'2026 Forecast A'!A22</f>
        <v>Carbon</v>
      </c>
      <c r="B72" s="9" t="str">
        <f aca="false">'2026 Forecast A'!B22</f>
        <v>JIM THORPE BOROUGH</v>
      </c>
      <c r="C72" s="9" t="str">
        <f aca="false">'2026 Forecast A'!C22</f>
        <v>JIM THORPE BOROUGH-2ND</v>
      </c>
      <c r="D72" s="10" t="n">
        <f aca="false">'2026 Forecast A'!G22</f>
        <v>0.439285714285714</v>
      </c>
      <c r="E72" s="10" t="n">
        <f aca="false">'2026 Forecast B'!G22</f>
        <v>0.460714285714286</v>
      </c>
      <c r="F72" s="10" t="n">
        <f aca="false">'2026 Forecast C'!G22</f>
        <v>0.439285714285714</v>
      </c>
      <c r="G72" s="38" t="n">
        <f aca="false">(MAX(D72:F72)-MIN(D72:F72))*100</f>
        <v>2.14285714285714</v>
      </c>
      <c r="H72" s="38" t="n">
        <f aca="false">'2026 Forecast A'!J22</f>
        <v>3.02363014511423</v>
      </c>
      <c r="I72" s="38" t="n">
        <f aca="false">'2026 Forecast B'!J22</f>
        <v>2.87918965002339</v>
      </c>
      <c r="J72" s="38" t="n">
        <f aca="false">'2026 Forecast C'!J22</f>
        <v>3.15466234357281</v>
      </c>
      <c r="K72" s="18" t="n">
        <f aca="false">'2026 Forecast A'!F22</f>
        <v>280</v>
      </c>
      <c r="L72" s="39" t="str">
        <f aca="false">IF(OR(AND(D72&gt;0.5,E72&gt;0.5,F72&gt;0.5),AND(D72&lt;0.5,E72&lt;0.5,F72&lt;0.5)),"Yes","No — toss-up")</f>
        <v>Yes</v>
      </c>
    </row>
    <row r="73" customFormat="false" ht="15" hidden="false" customHeight="false" outlineLevel="0" collapsed="false">
      <c r="A73" s="9" t="str">
        <f aca="false">'2026 Forecast A'!A23</f>
        <v>Carbon</v>
      </c>
      <c r="B73" s="9" t="str">
        <f aca="false">'2026 Forecast A'!B23</f>
        <v>JIM THORPE BOROUGH</v>
      </c>
      <c r="C73" s="9" t="str">
        <f aca="false">'2026 Forecast A'!C23</f>
        <v>JIM THORPE BOROUGH-3RD</v>
      </c>
      <c r="D73" s="10" t="n">
        <f aca="false">'2026 Forecast A'!G23</f>
        <v>0.393188854489164</v>
      </c>
      <c r="E73" s="10" t="n">
        <f aca="false">'2026 Forecast B'!G23</f>
        <v>0.397832817337461</v>
      </c>
      <c r="F73" s="10" t="n">
        <f aca="false">'2026 Forecast C'!G23</f>
        <v>0.390092879256966</v>
      </c>
      <c r="G73" s="38" t="n">
        <f aca="false">(MAX(D73:F73)-MIN(D73:F73))*100</f>
        <v>0.773993808049533</v>
      </c>
      <c r="H73" s="38" t="n">
        <f aca="false">'2026 Forecast A'!J23</f>
        <v>3.02363014511423</v>
      </c>
      <c r="I73" s="38" t="n">
        <f aca="false">'2026 Forecast B'!J23</f>
        <v>2.87918965002339</v>
      </c>
      <c r="J73" s="38" t="n">
        <f aca="false">'2026 Forecast C'!J23</f>
        <v>3.15466234357281</v>
      </c>
      <c r="K73" s="18" t="n">
        <f aca="false">'2026 Forecast A'!F23</f>
        <v>646</v>
      </c>
      <c r="L73" s="39" t="str">
        <f aca="false">IF(OR(AND(D73&gt;0.5,E73&gt;0.5,F73&gt;0.5),AND(D73&lt;0.5,E73&lt;0.5,F73&lt;0.5)),"Yes","No — toss-up")</f>
        <v>Yes</v>
      </c>
    </row>
    <row r="74" customFormat="false" ht="15" hidden="false" customHeight="false" outlineLevel="0" collapsed="false">
      <c r="A74" s="9" t="str">
        <f aca="false">'2026 Forecast A'!A24</f>
        <v>Carbon</v>
      </c>
      <c r="B74" s="9" t="str">
        <f aca="false">'2026 Forecast A'!B24</f>
        <v>JIM THORPE BOROUGH</v>
      </c>
      <c r="C74" s="9" t="str">
        <f aca="false">'2026 Forecast A'!C24</f>
        <v>JIM THORPE BOROUGH-4TH</v>
      </c>
      <c r="D74" s="10" t="n">
        <f aca="false">'2026 Forecast A'!G24</f>
        <v>0.519650655021834</v>
      </c>
      <c r="E74" s="10" t="n">
        <f aca="false">'2026 Forecast B'!G24</f>
        <v>0.519650655021834</v>
      </c>
      <c r="F74" s="10" t="n">
        <f aca="false">'2026 Forecast C'!G24</f>
        <v>0.524017467248908</v>
      </c>
      <c r="G74" s="38" t="n">
        <f aca="false">(MAX(D74:F74)-MIN(D74:F74))*100</f>
        <v>0.436681222707425</v>
      </c>
      <c r="H74" s="38" t="n">
        <f aca="false">'2026 Forecast A'!J24</f>
        <v>3.02363014511423</v>
      </c>
      <c r="I74" s="38" t="n">
        <f aca="false">'2026 Forecast B'!J24</f>
        <v>2.87918965002339</v>
      </c>
      <c r="J74" s="38" t="n">
        <f aca="false">'2026 Forecast C'!J24</f>
        <v>3.15466234357281</v>
      </c>
      <c r="K74" s="18" t="n">
        <f aca="false">'2026 Forecast A'!F24</f>
        <v>229</v>
      </c>
      <c r="L74" s="39" t="str">
        <f aca="false">IF(OR(AND(D74&gt;0.5,E74&gt;0.5,F74&gt;0.5),AND(D74&lt;0.5,E74&lt;0.5,F74&lt;0.5)),"Yes","No — toss-up")</f>
        <v>Yes</v>
      </c>
    </row>
    <row r="75" customFormat="false" ht="15" hidden="false" customHeight="false" outlineLevel="0" collapsed="false">
      <c r="A75" s="9" t="str">
        <f aca="false">'2026 Forecast A'!A25</f>
        <v>Carbon</v>
      </c>
      <c r="B75" s="9" t="str">
        <f aca="false">'2026 Forecast A'!B25</f>
        <v>JIM THORPE BOROUGH</v>
      </c>
      <c r="C75" s="9" t="str">
        <f aca="false">'2026 Forecast A'!C25</f>
        <v>JIM THORPE BOROUGH-5TH</v>
      </c>
      <c r="D75" s="10" t="n">
        <f aca="false">'2026 Forecast A'!G25</f>
        <v>0.46242774566474</v>
      </c>
      <c r="E75" s="10" t="n">
        <f aca="false">'2026 Forecast B'!G25</f>
        <v>0.466281310211946</v>
      </c>
      <c r="F75" s="10" t="n">
        <f aca="false">'2026 Forecast C'!G25</f>
        <v>0.460500963391137</v>
      </c>
      <c r="G75" s="38" t="n">
        <f aca="false">(MAX(D75:F75)-MIN(D75:F75))*100</f>
        <v>0.57803468208093</v>
      </c>
      <c r="H75" s="38" t="n">
        <f aca="false">'2026 Forecast A'!J25</f>
        <v>3.02363014511423</v>
      </c>
      <c r="I75" s="38" t="n">
        <f aca="false">'2026 Forecast B'!J25</f>
        <v>2.87918965002339</v>
      </c>
      <c r="J75" s="38" t="n">
        <f aca="false">'2026 Forecast C'!J25</f>
        <v>3.15466234357281</v>
      </c>
      <c r="K75" s="18" t="n">
        <f aca="false">'2026 Forecast A'!F25</f>
        <v>519</v>
      </c>
      <c r="L75" s="39" t="str">
        <f aca="false">IF(OR(AND(D75&gt;0.5,E75&gt;0.5,F75&gt;0.5),AND(D75&lt;0.5,E75&lt;0.5,F75&lt;0.5)),"Yes","No — toss-up")</f>
        <v>Yes</v>
      </c>
    </row>
    <row r="76" customFormat="false" ht="15" hidden="false" customHeight="false" outlineLevel="0" collapsed="false">
      <c r="A76" s="9" t="str">
        <f aca="false">'2026 Forecast A'!A26</f>
        <v>Carbon</v>
      </c>
      <c r="B76" s="9" t="str">
        <f aca="false">'2026 Forecast A'!B26</f>
        <v>KIDDER TOWNSHIP</v>
      </c>
      <c r="C76" s="9" t="str">
        <f aca="false">'2026 Forecast A'!C26</f>
        <v>KIDDER TOWNSHIP-NORTH</v>
      </c>
      <c r="D76" s="10" t="n">
        <f aca="false">'2026 Forecast A'!G26</f>
        <v>0.363295880149813</v>
      </c>
      <c r="E76" s="10" t="n">
        <f aca="false">'2026 Forecast B'!G26</f>
        <v>0.363295880149813</v>
      </c>
      <c r="F76" s="10" t="n">
        <f aca="false">'2026 Forecast C'!G26</f>
        <v>0.359550561797753</v>
      </c>
      <c r="G76" s="38" t="n">
        <f aca="false">(MAX(D76:F76)-MIN(D76:F76))*100</f>
        <v>0.374531835205993</v>
      </c>
      <c r="H76" s="38" t="n">
        <f aca="false">'2026 Forecast A'!J26</f>
        <v>3.02363014511423</v>
      </c>
      <c r="I76" s="38" t="n">
        <f aca="false">'2026 Forecast B'!J26</f>
        <v>2.87918965002339</v>
      </c>
      <c r="J76" s="38" t="n">
        <f aca="false">'2026 Forecast C'!J26</f>
        <v>3.15466234357281</v>
      </c>
      <c r="K76" s="18" t="n">
        <f aca="false">'2026 Forecast A'!F26</f>
        <v>267</v>
      </c>
      <c r="L76" s="39" t="str">
        <f aca="false">IF(OR(AND(D76&gt;0.5,E76&gt;0.5,F76&gt;0.5),AND(D76&lt;0.5,E76&lt;0.5,F76&lt;0.5)),"Yes","No — toss-up")</f>
        <v>Yes</v>
      </c>
    </row>
    <row r="77" customFormat="false" ht="15" hidden="false" customHeight="false" outlineLevel="0" collapsed="false">
      <c r="A77" s="9" t="str">
        <f aca="false">'2026 Forecast A'!A27</f>
        <v>Carbon</v>
      </c>
      <c r="B77" s="9" t="str">
        <f aca="false">'2026 Forecast A'!B27</f>
        <v>KIDDER TOWNSHIP</v>
      </c>
      <c r="C77" s="9" t="str">
        <f aca="false">'2026 Forecast A'!C27</f>
        <v>KIDDER TOWNSHIP-SOUTH</v>
      </c>
      <c r="D77" s="10" t="n">
        <f aca="false">'2026 Forecast A'!G27</f>
        <v>0.330258302583026</v>
      </c>
      <c r="E77" s="10" t="n">
        <f aca="false">'2026 Forecast B'!G27</f>
        <v>0.33210332103321</v>
      </c>
      <c r="F77" s="10" t="n">
        <f aca="false">'2026 Forecast C'!G27</f>
        <v>0.322878228782288</v>
      </c>
      <c r="G77" s="38" t="n">
        <f aca="false">(MAX(D77:F77)-MIN(D77:F77))*100</f>
        <v>0.92250922509225</v>
      </c>
      <c r="H77" s="38" t="n">
        <f aca="false">'2026 Forecast A'!J27</f>
        <v>3.02363014511423</v>
      </c>
      <c r="I77" s="38" t="n">
        <f aca="false">'2026 Forecast B'!J27</f>
        <v>2.87918965002339</v>
      </c>
      <c r="J77" s="38" t="n">
        <f aca="false">'2026 Forecast C'!J27</f>
        <v>3.15466234357281</v>
      </c>
      <c r="K77" s="18" t="n">
        <f aca="false">'2026 Forecast A'!F27</f>
        <v>542</v>
      </c>
      <c r="L77" s="39" t="str">
        <f aca="false">IF(OR(AND(D77&gt;0.5,E77&gt;0.5,F77&gt;0.5),AND(D77&lt;0.5,E77&lt;0.5,F77&lt;0.5)),"Yes","No — toss-up")</f>
        <v>Yes</v>
      </c>
    </row>
    <row r="78" customFormat="false" ht="15" hidden="false" customHeight="false" outlineLevel="0" collapsed="false">
      <c r="A78" s="9" t="str">
        <f aca="false">'2026 Forecast A'!A28</f>
        <v>Carbon</v>
      </c>
      <c r="B78" s="9" t="str">
        <f aca="false">'2026 Forecast A'!B28</f>
        <v>LANSFORD BOROUGH</v>
      </c>
      <c r="C78" s="9" t="str">
        <f aca="false">'2026 Forecast A'!C28</f>
        <v>LANSFORD BOROUGH - EAST WARD</v>
      </c>
      <c r="D78" s="10" t="n">
        <f aca="false">'2026 Forecast A'!G28</f>
        <v>0.41030534351145</v>
      </c>
      <c r="E78" s="10" t="n">
        <f aca="false">'2026 Forecast B'!G28</f>
        <v>0.416030534351145</v>
      </c>
      <c r="F78" s="10" t="n">
        <f aca="false">'2026 Forecast C'!G28</f>
        <v>0.404580152671756</v>
      </c>
      <c r="G78" s="38" t="n">
        <f aca="false">(MAX(D78:F78)-MIN(D78:F78))*100</f>
        <v>1.14503816793893</v>
      </c>
      <c r="H78" s="38" t="n">
        <f aca="false">'2026 Forecast A'!J28</f>
        <v>3.02363014511423</v>
      </c>
      <c r="I78" s="38" t="n">
        <f aca="false">'2026 Forecast B'!J28</f>
        <v>2.87918965002339</v>
      </c>
      <c r="J78" s="38" t="n">
        <f aca="false">'2026 Forecast C'!J28</f>
        <v>3.15466234357281</v>
      </c>
      <c r="K78" s="18" t="n">
        <f aca="false">'2026 Forecast A'!F28</f>
        <v>524</v>
      </c>
      <c r="L78" s="39" t="str">
        <f aca="false">IF(OR(AND(D78&gt;0.5,E78&gt;0.5,F78&gt;0.5),AND(D78&lt;0.5,E78&lt;0.5,F78&lt;0.5)),"Yes","No — toss-up")</f>
        <v>Yes</v>
      </c>
    </row>
    <row r="79" customFormat="false" ht="15" hidden="false" customHeight="false" outlineLevel="0" collapsed="false">
      <c r="A79" s="9" t="str">
        <f aca="false">'2026 Forecast A'!A29</f>
        <v>Carbon</v>
      </c>
      <c r="B79" s="9" t="str">
        <f aca="false">'2026 Forecast A'!B29</f>
        <v>LANSFORD BOROUGH</v>
      </c>
      <c r="C79" s="9" t="str">
        <f aca="false">'2026 Forecast A'!C29</f>
        <v>LANSFORD BOROUGH-MIDDLE WARD</v>
      </c>
      <c r="D79" s="10" t="n">
        <f aca="false">'2026 Forecast A'!G29</f>
        <v>0.406040268456376</v>
      </c>
      <c r="E79" s="10" t="n">
        <f aca="false">'2026 Forecast B'!G29</f>
        <v>0.416107382550336</v>
      </c>
      <c r="F79" s="10" t="n">
        <f aca="false">'2026 Forecast C'!G29</f>
        <v>0.399328859060403</v>
      </c>
      <c r="G79" s="38" t="n">
        <f aca="false">(MAX(D79:F79)-MIN(D79:F79))*100</f>
        <v>1.67785234899329</v>
      </c>
      <c r="H79" s="38" t="n">
        <f aca="false">'2026 Forecast A'!J29</f>
        <v>3.02363014511423</v>
      </c>
      <c r="I79" s="38" t="n">
        <f aca="false">'2026 Forecast B'!J29</f>
        <v>2.87918965002339</v>
      </c>
      <c r="J79" s="38" t="n">
        <f aca="false">'2026 Forecast C'!J29</f>
        <v>3.15466234357281</v>
      </c>
      <c r="K79" s="18" t="n">
        <f aca="false">'2026 Forecast A'!F29</f>
        <v>298</v>
      </c>
      <c r="L79" s="39" t="str">
        <f aca="false">IF(OR(AND(D79&gt;0.5,E79&gt;0.5,F79&gt;0.5),AND(D79&lt;0.5,E79&lt;0.5,F79&lt;0.5)),"Yes","No — toss-up")</f>
        <v>Yes</v>
      </c>
    </row>
    <row r="80" customFormat="false" ht="15" hidden="false" customHeight="false" outlineLevel="0" collapsed="false">
      <c r="A80" s="9" t="str">
        <f aca="false">'2026 Forecast A'!A30</f>
        <v>Carbon</v>
      </c>
      <c r="B80" s="9" t="str">
        <f aca="false">'2026 Forecast A'!B30</f>
        <v>LANSFORD BOROUGH</v>
      </c>
      <c r="C80" s="9" t="str">
        <f aca="false">'2026 Forecast A'!C30</f>
        <v>LANSFORD BOROUGH-WEST WARD</v>
      </c>
      <c r="D80" s="10" t="n">
        <f aca="false">'2026 Forecast A'!G30</f>
        <v>0.425287356321839</v>
      </c>
      <c r="E80" s="10" t="n">
        <f aca="false">'2026 Forecast B'!G30</f>
        <v>0.444444444444444</v>
      </c>
      <c r="F80" s="10" t="n">
        <f aca="false">'2026 Forecast C'!G30</f>
        <v>0.421455938697318</v>
      </c>
      <c r="G80" s="38" t="n">
        <f aca="false">(MAX(D80:F80)-MIN(D80:F80))*100</f>
        <v>2.29885057471264</v>
      </c>
      <c r="H80" s="38" t="n">
        <f aca="false">'2026 Forecast A'!J30</f>
        <v>3.02363014511423</v>
      </c>
      <c r="I80" s="38" t="n">
        <f aca="false">'2026 Forecast B'!J30</f>
        <v>2.87918965002339</v>
      </c>
      <c r="J80" s="38" t="n">
        <f aca="false">'2026 Forecast C'!J30</f>
        <v>3.15466234357281</v>
      </c>
      <c r="K80" s="18" t="n">
        <f aca="false">'2026 Forecast A'!F30</f>
        <v>261</v>
      </c>
      <c r="L80" s="39" t="str">
        <f aca="false">IF(OR(AND(D80&gt;0.5,E80&gt;0.5,F80&gt;0.5),AND(D80&lt;0.5,E80&lt;0.5,F80&lt;0.5)),"Yes","No — toss-up")</f>
        <v>Yes</v>
      </c>
    </row>
    <row r="81" customFormat="false" ht="15" hidden="false" customHeight="false" outlineLevel="0" collapsed="false">
      <c r="A81" s="9" t="str">
        <f aca="false">'2026 Forecast A'!A31</f>
        <v>Carbon</v>
      </c>
      <c r="B81" s="9" t="str">
        <f aca="false">'2026 Forecast A'!B31</f>
        <v>LAUSANNE TOWNSHIP</v>
      </c>
      <c r="C81" s="9" t="str">
        <f aca="false">'2026 Forecast A'!C31</f>
        <v>LAUSANNE TOWNSHIP</v>
      </c>
      <c r="D81" s="10" t="n">
        <f aca="false">'2026 Forecast A'!G31</f>
        <v>0.271186440677966</v>
      </c>
      <c r="E81" s="10" t="n">
        <f aca="false">'2026 Forecast B'!G31</f>
        <v>0.279661016949153</v>
      </c>
      <c r="F81" s="10" t="n">
        <f aca="false">'2026 Forecast C'!G31</f>
        <v>0.26271186440678</v>
      </c>
      <c r="G81" s="38" t="n">
        <f aca="false">(MAX(D81:F81)-MIN(D81:F81))*100</f>
        <v>1.69491525423728</v>
      </c>
      <c r="H81" s="38" t="n">
        <f aca="false">'2026 Forecast A'!J31</f>
        <v>3.02363014511423</v>
      </c>
      <c r="I81" s="38" t="n">
        <f aca="false">'2026 Forecast B'!J31</f>
        <v>2.87918965002339</v>
      </c>
      <c r="J81" s="38" t="n">
        <f aca="false">'2026 Forecast C'!J31</f>
        <v>3.15466234357281</v>
      </c>
      <c r="K81" s="18" t="n">
        <f aca="false">'2026 Forecast A'!F31</f>
        <v>118</v>
      </c>
      <c r="L81" s="39" t="str">
        <f aca="false">IF(OR(AND(D81&gt;0.5,E81&gt;0.5,F81&gt;0.5),AND(D81&lt;0.5,E81&lt;0.5,F81&lt;0.5)),"Yes","No — toss-up")</f>
        <v>Yes</v>
      </c>
    </row>
    <row r="82" customFormat="false" ht="15" hidden="false" customHeight="false" outlineLevel="0" collapsed="false">
      <c r="A82" s="9" t="str">
        <f aca="false">'2026 Forecast A'!A32</f>
        <v>Carbon</v>
      </c>
      <c r="B82" s="9" t="str">
        <f aca="false">'2026 Forecast A'!B32</f>
        <v>LEHIGH TOWNSHIP</v>
      </c>
      <c r="C82" s="9" t="str">
        <f aca="false">'2026 Forecast A'!C32</f>
        <v>LEHIGH TOWNSHIP</v>
      </c>
      <c r="D82" s="10" t="n">
        <f aca="false">'2026 Forecast A'!G32</f>
        <v>0.215189873417722</v>
      </c>
      <c r="E82" s="10" t="n">
        <f aca="false">'2026 Forecast B'!G32</f>
        <v>0.223628691983122</v>
      </c>
      <c r="F82" s="10" t="n">
        <f aca="false">'2026 Forecast C'!G32</f>
        <v>0.206751054852321</v>
      </c>
      <c r="G82" s="38" t="n">
        <f aca="false">(MAX(D82:F82)-MIN(D82:F82))*100</f>
        <v>1.68776371308017</v>
      </c>
      <c r="H82" s="38" t="n">
        <f aca="false">'2026 Forecast A'!J32</f>
        <v>3.02363014511423</v>
      </c>
      <c r="I82" s="38" t="n">
        <f aca="false">'2026 Forecast B'!J32</f>
        <v>2.87918965002339</v>
      </c>
      <c r="J82" s="38" t="n">
        <f aca="false">'2026 Forecast C'!J32</f>
        <v>3.15466234357281</v>
      </c>
      <c r="K82" s="18" t="n">
        <f aca="false">'2026 Forecast A'!F32</f>
        <v>237</v>
      </c>
      <c r="L82" s="39" t="str">
        <f aca="false">IF(OR(AND(D82&gt;0.5,E82&gt;0.5,F82&gt;0.5),AND(D82&lt;0.5,E82&lt;0.5,F82&lt;0.5)),"Yes","No — toss-up")</f>
        <v>Yes</v>
      </c>
    </row>
    <row r="83" customFormat="false" ht="15" hidden="false" customHeight="false" outlineLevel="0" collapsed="false">
      <c r="A83" s="9" t="str">
        <f aca="false">'2026 Forecast A'!A33</f>
        <v>Carbon</v>
      </c>
      <c r="B83" s="9" t="str">
        <f aca="false">'2026 Forecast A'!B33</f>
        <v>LEHIGHTON BOROUGH</v>
      </c>
      <c r="C83" s="9" t="str">
        <f aca="false">'2026 Forecast A'!C33</f>
        <v>LEHIGHTON BOROUGH-1ST</v>
      </c>
      <c r="D83" s="10" t="n">
        <f aca="false">'2026 Forecast A'!G33</f>
        <v>0.401006711409396</v>
      </c>
      <c r="E83" s="10" t="n">
        <f aca="false">'2026 Forecast B'!G33</f>
        <v>0.402684563758389</v>
      </c>
      <c r="F83" s="10" t="n">
        <f aca="false">'2026 Forecast C'!G33</f>
        <v>0.395973154362416</v>
      </c>
      <c r="G83" s="38" t="n">
        <f aca="false">(MAX(D83:F83)-MIN(D83:F83))*100</f>
        <v>0.671140939597315</v>
      </c>
      <c r="H83" s="38" t="n">
        <f aca="false">'2026 Forecast A'!J33</f>
        <v>3.02363014511423</v>
      </c>
      <c r="I83" s="38" t="n">
        <f aca="false">'2026 Forecast B'!J33</f>
        <v>2.87918965002339</v>
      </c>
      <c r="J83" s="38" t="n">
        <f aca="false">'2026 Forecast C'!J33</f>
        <v>3.15466234357281</v>
      </c>
      <c r="K83" s="18" t="n">
        <f aca="false">'2026 Forecast A'!F33</f>
        <v>596</v>
      </c>
      <c r="L83" s="39" t="str">
        <f aca="false">IF(OR(AND(D83&gt;0.5,E83&gt;0.5,F83&gt;0.5),AND(D83&lt;0.5,E83&lt;0.5,F83&lt;0.5)),"Yes","No — toss-up")</f>
        <v>Yes</v>
      </c>
    </row>
    <row r="84" customFormat="false" ht="15" hidden="false" customHeight="false" outlineLevel="0" collapsed="false">
      <c r="A84" s="9" t="str">
        <f aca="false">'2026 Forecast A'!A34</f>
        <v>Carbon</v>
      </c>
      <c r="B84" s="9" t="str">
        <f aca="false">'2026 Forecast A'!B34</f>
        <v>LEHIGHTON BOROUGH</v>
      </c>
      <c r="C84" s="9" t="str">
        <f aca="false">'2026 Forecast A'!C34</f>
        <v>LEHIGHTON BOROUGH-2ND</v>
      </c>
      <c r="D84" s="10" t="n">
        <f aca="false">'2026 Forecast A'!G34</f>
        <v>0.390763765541741</v>
      </c>
      <c r="E84" s="10" t="n">
        <f aca="false">'2026 Forecast B'!G34</f>
        <v>0.390763765541741</v>
      </c>
      <c r="F84" s="10" t="n">
        <f aca="false">'2026 Forecast C'!G34</f>
        <v>0.38898756660746</v>
      </c>
      <c r="G84" s="38" t="n">
        <f aca="false">(MAX(D84:F84)-MIN(D84:F84))*100</f>
        <v>0.177619893428066</v>
      </c>
      <c r="H84" s="38" t="n">
        <f aca="false">'2026 Forecast A'!J34</f>
        <v>3.02363014511423</v>
      </c>
      <c r="I84" s="38" t="n">
        <f aca="false">'2026 Forecast B'!J34</f>
        <v>2.87918965002339</v>
      </c>
      <c r="J84" s="38" t="n">
        <f aca="false">'2026 Forecast C'!J34</f>
        <v>3.15466234357281</v>
      </c>
      <c r="K84" s="18" t="n">
        <f aca="false">'2026 Forecast A'!F34</f>
        <v>563</v>
      </c>
      <c r="L84" s="39" t="str">
        <f aca="false">IF(OR(AND(D84&gt;0.5,E84&gt;0.5,F84&gt;0.5),AND(D84&lt;0.5,E84&lt;0.5,F84&lt;0.5)),"Yes","No — toss-up")</f>
        <v>Yes</v>
      </c>
    </row>
    <row r="85" customFormat="false" ht="15" hidden="false" customHeight="false" outlineLevel="0" collapsed="false">
      <c r="A85" s="9" t="str">
        <f aca="false">'2026 Forecast A'!A35</f>
        <v>Carbon</v>
      </c>
      <c r="B85" s="9" t="str">
        <f aca="false">'2026 Forecast A'!B35</f>
        <v>LEHIGHTON BOROUGH</v>
      </c>
      <c r="C85" s="9" t="str">
        <f aca="false">'2026 Forecast A'!C35</f>
        <v>LEHIGHTON BOROUGH-3RD</v>
      </c>
      <c r="D85" s="10" t="n">
        <f aca="false">'2026 Forecast A'!G35</f>
        <v>0.390572390572391</v>
      </c>
      <c r="E85" s="10" t="n">
        <f aca="false">'2026 Forecast B'!G35</f>
        <v>0.393939393939394</v>
      </c>
      <c r="F85" s="10" t="n">
        <f aca="false">'2026 Forecast C'!G35</f>
        <v>0.387205387205387</v>
      </c>
      <c r="G85" s="38" t="n">
        <f aca="false">(MAX(D85:F85)-MIN(D85:F85))*100</f>
        <v>0.67340067340067</v>
      </c>
      <c r="H85" s="38" t="n">
        <f aca="false">'2026 Forecast A'!J35</f>
        <v>3.02363014511423</v>
      </c>
      <c r="I85" s="38" t="n">
        <f aca="false">'2026 Forecast B'!J35</f>
        <v>2.87918965002339</v>
      </c>
      <c r="J85" s="38" t="n">
        <f aca="false">'2026 Forecast C'!J35</f>
        <v>3.15466234357281</v>
      </c>
      <c r="K85" s="18" t="n">
        <f aca="false">'2026 Forecast A'!F35</f>
        <v>594</v>
      </c>
      <c r="L85" s="39" t="str">
        <f aca="false">IF(OR(AND(D85&gt;0.5,E85&gt;0.5,F85&gt;0.5),AND(D85&lt;0.5,E85&lt;0.5,F85&lt;0.5)),"Yes","No — toss-up")</f>
        <v>Yes</v>
      </c>
    </row>
    <row r="86" customFormat="false" ht="15" hidden="false" customHeight="false" outlineLevel="0" collapsed="false">
      <c r="A86" s="9" t="str">
        <f aca="false">'2026 Forecast A'!A36</f>
        <v>Carbon</v>
      </c>
      <c r="B86" s="9" t="str">
        <f aca="false">'2026 Forecast A'!B36</f>
        <v>LOWER TOWAMENSING TOWNSHIP</v>
      </c>
      <c r="C86" s="9" t="str">
        <f aca="false">'2026 Forecast A'!C36</f>
        <v>LOWER TOWAMENSING TWP.-NORTH</v>
      </c>
      <c r="D86" s="10" t="n">
        <f aca="false">'2026 Forecast A'!G36</f>
        <v>0.295180722891566</v>
      </c>
      <c r="E86" s="10" t="n">
        <f aca="false">'2026 Forecast B'!G36</f>
        <v>0.301204819277108</v>
      </c>
      <c r="F86" s="10" t="n">
        <f aca="false">'2026 Forecast C'!G36</f>
        <v>0.285542168674699</v>
      </c>
      <c r="G86" s="38" t="n">
        <f aca="false">(MAX(D86:F86)-MIN(D86:F86))*100</f>
        <v>1.56626506024097</v>
      </c>
      <c r="H86" s="38" t="n">
        <f aca="false">'2026 Forecast A'!J36</f>
        <v>1.80877416096373</v>
      </c>
      <c r="I86" s="38" t="n">
        <f aca="false">'2026 Forecast B'!J36</f>
        <v>1.9254971424187</v>
      </c>
      <c r="J86" s="38" t="n">
        <f aca="false">'2026 Forecast C'!J36</f>
        <v>1.88510957763259</v>
      </c>
      <c r="K86" s="18" t="n">
        <f aca="false">'2026 Forecast A'!F36</f>
        <v>830</v>
      </c>
      <c r="L86" s="39" t="str">
        <f aca="false">IF(OR(AND(D86&gt;0.5,E86&gt;0.5,F86&gt;0.5),AND(D86&lt;0.5,E86&lt;0.5,F86&lt;0.5)),"Yes","No — toss-up")</f>
        <v>Yes</v>
      </c>
    </row>
    <row r="87" customFormat="false" ht="15" hidden="false" customHeight="false" outlineLevel="0" collapsed="false">
      <c r="A87" s="9" t="str">
        <f aca="false">'2026 Forecast A'!A37</f>
        <v>Carbon</v>
      </c>
      <c r="B87" s="9" t="str">
        <f aca="false">'2026 Forecast A'!B37</f>
        <v>LOWER TOWAMENSING TOWNSHIP</v>
      </c>
      <c r="C87" s="9" t="str">
        <f aca="false">'2026 Forecast A'!C37</f>
        <v>LOWER TOWAMENSING TWP.-SOUTH</v>
      </c>
      <c r="D87" s="10" t="n">
        <f aca="false">'2026 Forecast A'!G37</f>
        <v>0.308231173380035</v>
      </c>
      <c r="E87" s="10" t="n">
        <f aca="false">'2026 Forecast B'!G37</f>
        <v>0.308231173380035</v>
      </c>
      <c r="F87" s="10" t="n">
        <f aca="false">'2026 Forecast C'!G37</f>
        <v>0.299474605954466</v>
      </c>
      <c r="G87" s="38" t="n">
        <f aca="false">(MAX(D87:F87)-MIN(D87:F87))*100</f>
        <v>0.875656742556918</v>
      </c>
      <c r="H87" s="38" t="n">
        <f aca="false">'2026 Forecast A'!J37</f>
        <v>3.02363014511423</v>
      </c>
      <c r="I87" s="38" t="n">
        <f aca="false">'2026 Forecast B'!J37</f>
        <v>2.87918965002339</v>
      </c>
      <c r="J87" s="38" t="n">
        <f aca="false">'2026 Forecast C'!J37</f>
        <v>3.15466234357281</v>
      </c>
      <c r="K87" s="18" t="n">
        <f aca="false">'2026 Forecast A'!F37</f>
        <v>571</v>
      </c>
      <c r="L87" s="39" t="str">
        <f aca="false">IF(OR(AND(D87&gt;0.5,E87&gt;0.5,F87&gt;0.5),AND(D87&lt;0.5,E87&lt;0.5,F87&lt;0.5)),"Yes","No — toss-up")</f>
        <v>Yes</v>
      </c>
    </row>
    <row r="88" customFormat="false" ht="15" hidden="false" customHeight="false" outlineLevel="0" collapsed="false">
      <c r="A88" s="9" t="str">
        <f aca="false">'2026 Forecast A'!A38</f>
        <v>Carbon</v>
      </c>
      <c r="B88" s="9" t="str">
        <f aca="false">'2026 Forecast A'!B38</f>
        <v>MAHONING TOWNSHIP</v>
      </c>
      <c r="C88" s="9" t="str">
        <f aca="false">'2026 Forecast A'!C38</f>
        <v>MAHONING TOWNSHIP - NEW MAHONING</v>
      </c>
      <c r="D88" s="10" t="n">
        <f aca="false">'2026 Forecast A'!G38</f>
        <v>0.255605381165919</v>
      </c>
      <c r="E88" s="10" t="n">
        <f aca="false">'2026 Forecast B'!G38</f>
        <v>0.262331838565022</v>
      </c>
      <c r="F88" s="10" t="n">
        <f aca="false">'2026 Forecast C'!G38</f>
        <v>0.246636771300448</v>
      </c>
      <c r="G88" s="38" t="n">
        <f aca="false">(MAX(D88:F88)-MIN(D88:F88))*100</f>
        <v>1.5695067264574</v>
      </c>
      <c r="H88" s="38" t="n">
        <f aca="false">'2026 Forecast A'!J38</f>
        <v>3.02363014511423</v>
      </c>
      <c r="I88" s="38" t="n">
        <f aca="false">'2026 Forecast B'!J38</f>
        <v>2.87918965002339</v>
      </c>
      <c r="J88" s="38" t="n">
        <f aca="false">'2026 Forecast C'!J38</f>
        <v>3.15466234357281</v>
      </c>
      <c r="K88" s="18" t="n">
        <f aca="false">'2026 Forecast A'!F38</f>
        <v>446</v>
      </c>
      <c r="L88" s="39" t="str">
        <f aca="false">IF(OR(AND(D88&gt;0.5,E88&gt;0.5,F88&gt;0.5),AND(D88&lt;0.5,E88&lt;0.5,F88&lt;0.5)),"Yes","No — toss-up")</f>
        <v>Yes</v>
      </c>
    </row>
    <row r="89" customFormat="false" ht="15" hidden="false" customHeight="false" outlineLevel="0" collapsed="false">
      <c r="A89" s="9" t="str">
        <f aca="false">'2026 Forecast A'!A39</f>
        <v>Carbon</v>
      </c>
      <c r="B89" s="9" t="str">
        <f aca="false">'2026 Forecast A'!B39</f>
        <v>MAHONING TOWNSHIP</v>
      </c>
      <c r="C89" s="9" t="str">
        <f aca="false">'2026 Forecast A'!C39</f>
        <v>MAHONING TOWNSHIP - PACKERTON/JAMESTOWN</v>
      </c>
      <c r="D89" s="10" t="n">
        <f aca="false">'2026 Forecast A'!G39</f>
        <v>0.305647840531561</v>
      </c>
      <c r="E89" s="10" t="n">
        <f aca="false">'2026 Forecast B'!G39</f>
        <v>0.312292358803987</v>
      </c>
      <c r="F89" s="10" t="n">
        <f aca="false">'2026 Forecast C'!G39</f>
        <v>0.299003322259136</v>
      </c>
      <c r="G89" s="38" t="n">
        <f aca="false">(MAX(D89:F89)-MIN(D89:F89))*100</f>
        <v>1.32890365448505</v>
      </c>
      <c r="H89" s="38" t="n">
        <f aca="false">'2026 Forecast A'!J39</f>
        <v>3.02363014511423</v>
      </c>
      <c r="I89" s="38" t="n">
        <f aca="false">'2026 Forecast B'!J39</f>
        <v>2.87918965002339</v>
      </c>
      <c r="J89" s="38" t="n">
        <f aca="false">'2026 Forecast C'!J39</f>
        <v>3.15466234357281</v>
      </c>
      <c r="K89" s="18" t="n">
        <f aca="false">'2026 Forecast A'!F39</f>
        <v>301</v>
      </c>
      <c r="L89" s="39" t="str">
        <f aca="false">IF(OR(AND(D89&gt;0.5,E89&gt;0.5,F89&gt;0.5),AND(D89&lt;0.5,E89&lt;0.5,F89&lt;0.5)),"Yes","No — toss-up")</f>
        <v>Yes</v>
      </c>
    </row>
    <row r="90" customFormat="false" ht="15" hidden="false" customHeight="false" outlineLevel="0" collapsed="false">
      <c r="A90" s="9" t="str">
        <f aca="false">'2026 Forecast A'!A40</f>
        <v>Carbon</v>
      </c>
      <c r="B90" s="9" t="str">
        <f aca="false">'2026 Forecast A'!B40</f>
        <v>MAHONING TOWNSHIP</v>
      </c>
      <c r="C90" s="9" t="str">
        <f aca="false">'2026 Forecast A'!C40</f>
        <v>MAHONING TOWNSHIP-MAHONING</v>
      </c>
      <c r="D90" s="10" t="n">
        <f aca="false">'2026 Forecast A'!G40</f>
        <v>0.303697183098592</v>
      </c>
      <c r="E90" s="10" t="n">
        <f aca="false">'2026 Forecast B'!G40</f>
        <v>0.305457746478873</v>
      </c>
      <c r="F90" s="10" t="n">
        <f aca="false">'2026 Forecast C'!G40</f>
        <v>0.295774647887324</v>
      </c>
      <c r="G90" s="38" t="n">
        <f aca="false">(MAX(D90:F90)-MIN(D90:F90))*100</f>
        <v>0.968309859154931</v>
      </c>
      <c r="H90" s="38" t="n">
        <f aca="false">'2026 Forecast A'!J40</f>
        <v>1.80877416096373</v>
      </c>
      <c r="I90" s="38" t="n">
        <f aca="false">'2026 Forecast B'!J40</f>
        <v>1.9254971424187</v>
      </c>
      <c r="J90" s="38" t="n">
        <f aca="false">'2026 Forecast C'!J40</f>
        <v>1.88510957763259</v>
      </c>
      <c r="K90" s="18" t="n">
        <f aca="false">'2026 Forecast A'!F40</f>
        <v>1136</v>
      </c>
      <c r="L90" s="39" t="str">
        <f aca="false">IF(OR(AND(D90&gt;0.5,E90&gt;0.5,F90&gt;0.5),AND(D90&lt;0.5,E90&lt;0.5,F90&lt;0.5)),"Yes","No — toss-up")</f>
        <v>Yes</v>
      </c>
    </row>
    <row r="91" customFormat="false" ht="15" hidden="false" customHeight="false" outlineLevel="0" collapsed="false">
      <c r="A91" s="9" t="str">
        <f aca="false">'2026 Forecast A'!A41</f>
        <v>Carbon</v>
      </c>
      <c r="B91" s="9" t="str">
        <f aca="false">'2026 Forecast A'!B41</f>
        <v>NESQUEHONING BOROUGH</v>
      </c>
      <c r="C91" s="9" t="str">
        <f aca="false">'2026 Forecast A'!C41</f>
        <v>NESQUEHONING BOROUGH-EAST</v>
      </c>
      <c r="D91" s="10" t="n">
        <f aca="false">'2026 Forecast A'!G41</f>
        <v>0.409556313993174</v>
      </c>
      <c r="E91" s="10" t="n">
        <f aca="false">'2026 Forecast B'!G41</f>
        <v>0.409556313993174</v>
      </c>
      <c r="F91" s="10" t="n">
        <f aca="false">'2026 Forecast C'!G41</f>
        <v>0.404436860068259</v>
      </c>
      <c r="G91" s="38" t="n">
        <f aca="false">(MAX(D91:F91)-MIN(D91:F91))*100</f>
        <v>0.511945392491464</v>
      </c>
      <c r="H91" s="38" t="n">
        <f aca="false">'2026 Forecast A'!J41</f>
        <v>3.02363014511423</v>
      </c>
      <c r="I91" s="38" t="n">
        <f aca="false">'2026 Forecast B'!J41</f>
        <v>2.87918965002339</v>
      </c>
      <c r="J91" s="38" t="n">
        <f aca="false">'2026 Forecast C'!J41</f>
        <v>3.15466234357281</v>
      </c>
      <c r="K91" s="18" t="n">
        <f aca="false">'2026 Forecast A'!F41</f>
        <v>586</v>
      </c>
      <c r="L91" s="39" t="str">
        <f aca="false">IF(OR(AND(D91&gt;0.5,E91&gt;0.5,F91&gt;0.5),AND(D91&lt;0.5,E91&lt;0.5,F91&lt;0.5)),"Yes","No — toss-up")</f>
        <v>Yes</v>
      </c>
    </row>
    <row r="92" customFormat="false" ht="15" hidden="false" customHeight="false" outlineLevel="0" collapsed="false">
      <c r="A92" s="9" t="str">
        <f aca="false">'2026 Forecast A'!A42</f>
        <v>Carbon</v>
      </c>
      <c r="B92" s="9" t="str">
        <f aca="false">'2026 Forecast A'!B42</f>
        <v>NESQUEHONING BOROUGH</v>
      </c>
      <c r="C92" s="9" t="str">
        <f aca="false">'2026 Forecast A'!C42</f>
        <v>NESQUEHONING BOROUGH-WEST</v>
      </c>
      <c r="D92" s="10" t="n">
        <f aca="false">'2026 Forecast A'!G42</f>
        <v>0.397456279809221</v>
      </c>
      <c r="E92" s="10" t="n">
        <f aca="false">'2026 Forecast B'!G42</f>
        <v>0.402225755166932</v>
      </c>
      <c r="F92" s="10" t="n">
        <f aca="false">'2026 Forecast C'!G42</f>
        <v>0.39268680445151</v>
      </c>
      <c r="G92" s="38" t="n">
        <f aca="false">(MAX(D92:F92)-MIN(D92:F92))*100</f>
        <v>0.953895071542132</v>
      </c>
      <c r="H92" s="38" t="n">
        <f aca="false">'2026 Forecast A'!J42</f>
        <v>3.02363014511423</v>
      </c>
      <c r="I92" s="38" t="n">
        <f aca="false">'2026 Forecast B'!J42</f>
        <v>2.87918965002339</v>
      </c>
      <c r="J92" s="38" t="n">
        <f aca="false">'2026 Forecast C'!J42</f>
        <v>3.15466234357281</v>
      </c>
      <c r="K92" s="18" t="n">
        <f aca="false">'2026 Forecast A'!F42</f>
        <v>629</v>
      </c>
      <c r="L92" s="39" t="str">
        <f aca="false">IF(OR(AND(D92&gt;0.5,E92&gt;0.5,F92&gt;0.5),AND(D92&lt;0.5,E92&lt;0.5,F92&lt;0.5)),"Yes","No — toss-up")</f>
        <v>Yes</v>
      </c>
    </row>
    <row r="93" customFormat="false" ht="15" hidden="false" customHeight="false" outlineLevel="0" collapsed="false">
      <c r="A93" s="9" t="str">
        <f aca="false">'2026 Forecast A'!A43</f>
        <v>Carbon</v>
      </c>
      <c r="B93" s="9" t="str">
        <f aca="false">'2026 Forecast A'!B43</f>
        <v>PACKER TOWNSHIP</v>
      </c>
      <c r="C93" s="9" t="str">
        <f aca="false">'2026 Forecast A'!C43</f>
        <v>PACKER TOWNSHIP</v>
      </c>
      <c r="D93" s="10" t="n">
        <f aca="false">'2026 Forecast A'!G43</f>
        <v>0.205660377358491</v>
      </c>
      <c r="E93" s="10" t="n">
        <f aca="false">'2026 Forecast B'!G43</f>
        <v>0.216981132075472</v>
      </c>
      <c r="F93" s="10" t="n">
        <f aca="false">'2026 Forecast C'!G43</f>
        <v>0.194339622641509</v>
      </c>
      <c r="G93" s="38" t="n">
        <f aca="false">(MAX(D93:F93)-MIN(D93:F93))*100</f>
        <v>2.26415094339623</v>
      </c>
      <c r="H93" s="38" t="n">
        <f aca="false">'2026 Forecast A'!J43</f>
        <v>3.02363014511423</v>
      </c>
      <c r="I93" s="38" t="n">
        <f aca="false">'2026 Forecast B'!J43</f>
        <v>2.87918965002339</v>
      </c>
      <c r="J93" s="38" t="n">
        <f aca="false">'2026 Forecast C'!J43</f>
        <v>3.15466234357281</v>
      </c>
      <c r="K93" s="18" t="n">
        <f aca="false">'2026 Forecast A'!F43</f>
        <v>530</v>
      </c>
      <c r="L93" s="39" t="str">
        <f aca="false">IF(OR(AND(D93&gt;0.5,E93&gt;0.5,F93&gt;0.5),AND(D93&lt;0.5,E93&lt;0.5,F93&lt;0.5)),"Yes","No — toss-up")</f>
        <v>Yes</v>
      </c>
    </row>
    <row r="94" customFormat="false" ht="15" hidden="false" customHeight="false" outlineLevel="0" collapsed="false">
      <c r="A94" s="9" t="str">
        <f aca="false">'2026 Forecast A'!A44</f>
        <v>Carbon</v>
      </c>
      <c r="B94" s="9" t="str">
        <f aca="false">'2026 Forecast A'!B44</f>
        <v>PALMERTON BOROUGH</v>
      </c>
      <c r="C94" s="9" t="str">
        <f aca="false">'2026 Forecast A'!C44</f>
        <v>PALMERTON BOROUGH-EASTERN</v>
      </c>
      <c r="D94" s="10" t="n">
        <f aca="false">'2026 Forecast A'!G44</f>
        <v>0.351079136690648</v>
      </c>
      <c r="E94" s="10" t="n">
        <f aca="false">'2026 Forecast B'!G44</f>
        <v>0.355395683453237</v>
      </c>
      <c r="F94" s="10" t="n">
        <f aca="false">'2026 Forecast C'!G44</f>
        <v>0.345323741007194</v>
      </c>
      <c r="G94" s="38" t="n">
        <f aca="false">(MAX(D94:F94)-MIN(D94:F94))*100</f>
        <v>1.00719424460431</v>
      </c>
      <c r="H94" s="38" t="n">
        <f aca="false">'2026 Forecast A'!J44</f>
        <v>3.02363014511423</v>
      </c>
      <c r="I94" s="38" t="n">
        <f aca="false">'2026 Forecast B'!J44</f>
        <v>2.87918965002339</v>
      </c>
      <c r="J94" s="38" t="n">
        <f aca="false">'2026 Forecast C'!J44</f>
        <v>3.15466234357281</v>
      </c>
      <c r="K94" s="18" t="n">
        <f aca="false">'2026 Forecast A'!F44</f>
        <v>695</v>
      </c>
      <c r="L94" s="39" t="str">
        <f aca="false">IF(OR(AND(D94&gt;0.5,E94&gt;0.5,F94&gt;0.5),AND(D94&lt;0.5,E94&lt;0.5,F94&lt;0.5)),"Yes","No — toss-up")</f>
        <v>Yes</v>
      </c>
    </row>
    <row r="95" customFormat="false" ht="15" hidden="false" customHeight="false" outlineLevel="0" collapsed="false">
      <c r="A95" s="9" t="str">
        <f aca="false">'2026 Forecast A'!A45</f>
        <v>Carbon</v>
      </c>
      <c r="B95" s="9" t="str">
        <f aca="false">'2026 Forecast A'!B45</f>
        <v>PALMERTON BOROUGH</v>
      </c>
      <c r="C95" s="9" t="str">
        <f aca="false">'2026 Forecast A'!C45</f>
        <v>PALMERTON BOROUGH-MIDDLE</v>
      </c>
      <c r="D95" s="10" t="n">
        <f aca="false">'2026 Forecast A'!G45</f>
        <v>0.398373983739837</v>
      </c>
      <c r="E95" s="10" t="n">
        <f aca="false">'2026 Forecast B'!G45</f>
        <v>0.402439024390244</v>
      </c>
      <c r="F95" s="10" t="n">
        <f aca="false">'2026 Forecast C'!G45</f>
        <v>0.394308943089431</v>
      </c>
      <c r="G95" s="38" t="n">
        <f aca="false">(MAX(D95:F95)-MIN(D95:F95))*100</f>
        <v>0.813008130081305</v>
      </c>
      <c r="H95" s="38" t="n">
        <f aca="false">'2026 Forecast A'!J45</f>
        <v>1.80877416096373</v>
      </c>
      <c r="I95" s="38" t="n">
        <f aca="false">'2026 Forecast B'!J45</f>
        <v>1.9254971424187</v>
      </c>
      <c r="J95" s="38" t="n">
        <f aca="false">'2026 Forecast C'!J45</f>
        <v>1.88510957763259</v>
      </c>
      <c r="K95" s="18" t="n">
        <f aca="false">'2026 Forecast A'!F45</f>
        <v>984</v>
      </c>
      <c r="L95" s="39" t="str">
        <f aca="false">IF(OR(AND(D95&gt;0.5,E95&gt;0.5,F95&gt;0.5),AND(D95&lt;0.5,E95&lt;0.5,F95&lt;0.5)),"Yes","No — toss-up")</f>
        <v>Yes</v>
      </c>
    </row>
    <row r="96" customFormat="false" ht="15" hidden="false" customHeight="false" outlineLevel="0" collapsed="false">
      <c r="A96" s="9" t="str">
        <f aca="false">'2026 Forecast A'!A46</f>
        <v>Carbon</v>
      </c>
      <c r="B96" s="9" t="str">
        <f aca="false">'2026 Forecast A'!B46</f>
        <v>PALMERTON BOROUGH</v>
      </c>
      <c r="C96" s="9" t="str">
        <f aca="false">'2026 Forecast A'!C46</f>
        <v>PALMERTON BOROUGH-WESTERN</v>
      </c>
      <c r="D96" s="10" t="n">
        <f aca="false">'2026 Forecast A'!G46</f>
        <v>0.363344051446945</v>
      </c>
      <c r="E96" s="10" t="n">
        <f aca="false">'2026 Forecast B'!G46</f>
        <v>0.369774919614148</v>
      </c>
      <c r="F96" s="10" t="n">
        <f aca="false">'2026 Forecast C'!G46</f>
        <v>0.360128617363344</v>
      </c>
      <c r="G96" s="38" t="n">
        <f aca="false">(MAX(D96:F96)-MIN(D96:F96))*100</f>
        <v>0.964630225080387</v>
      </c>
      <c r="H96" s="38" t="n">
        <f aca="false">'2026 Forecast A'!J46</f>
        <v>3.02363014511423</v>
      </c>
      <c r="I96" s="38" t="n">
        <f aca="false">'2026 Forecast B'!J46</f>
        <v>2.87918965002339</v>
      </c>
      <c r="J96" s="38" t="n">
        <f aca="false">'2026 Forecast C'!J46</f>
        <v>3.15466234357281</v>
      </c>
      <c r="K96" s="18" t="n">
        <f aca="false">'2026 Forecast A'!F46</f>
        <v>311</v>
      </c>
      <c r="L96" s="39" t="str">
        <f aca="false">IF(OR(AND(D96&gt;0.5,E96&gt;0.5,F96&gt;0.5),AND(D96&lt;0.5,E96&lt;0.5,F96&lt;0.5)),"Yes","No — toss-up")</f>
        <v>Yes</v>
      </c>
    </row>
    <row r="97" customFormat="false" ht="15" hidden="false" customHeight="false" outlineLevel="0" collapsed="false">
      <c r="A97" s="9" t="str">
        <f aca="false">'2026 Forecast A'!A47</f>
        <v>Carbon</v>
      </c>
      <c r="B97" s="9" t="str">
        <f aca="false">'2026 Forecast A'!B47</f>
        <v>PARRYVILLE BOROUGH</v>
      </c>
      <c r="C97" s="9" t="str">
        <f aca="false">'2026 Forecast A'!C47</f>
        <v>PARRYVILLE BOROUGH</v>
      </c>
      <c r="D97" s="10" t="n">
        <f aca="false">'2026 Forecast A'!G47</f>
        <v>0.318918918918919</v>
      </c>
      <c r="E97" s="10" t="n">
        <f aca="false">'2026 Forecast B'!G47</f>
        <v>0.324324324324324</v>
      </c>
      <c r="F97" s="10" t="n">
        <f aca="false">'2026 Forecast C'!G47</f>
        <v>0.313513513513514</v>
      </c>
      <c r="G97" s="38" t="n">
        <f aca="false">(MAX(D97:F97)-MIN(D97:F97))*100</f>
        <v>1.08108108108108</v>
      </c>
      <c r="H97" s="38" t="n">
        <f aca="false">'2026 Forecast A'!J47</f>
        <v>3.02363014511423</v>
      </c>
      <c r="I97" s="38" t="n">
        <f aca="false">'2026 Forecast B'!J47</f>
        <v>2.87918965002339</v>
      </c>
      <c r="J97" s="38" t="n">
        <f aca="false">'2026 Forecast C'!J47</f>
        <v>3.15466234357281</v>
      </c>
      <c r="K97" s="18" t="n">
        <f aca="false">'2026 Forecast A'!F47</f>
        <v>185</v>
      </c>
      <c r="L97" s="39" t="str">
        <f aca="false">IF(OR(AND(D97&gt;0.5,E97&gt;0.5,F97&gt;0.5),AND(D97&lt;0.5,E97&lt;0.5,F97&lt;0.5)),"Yes","No — toss-up")</f>
        <v>Yes</v>
      </c>
    </row>
    <row r="98" customFormat="false" ht="15" hidden="false" customHeight="false" outlineLevel="0" collapsed="false">
      <c r="A98" s="9" t="str">
        <f aca="false">'2026 Forecast A'!A48</f>
        <v>Carbon</v>
      </c>
      <c r="B98" s="9" t="str">
        <f aca="false">'2026 Forecast A'!B48</f>
        <v>PENN FOREST TOWNSHIP</v>
      </c>
      <c r="C98" s="9" t="str">
        <f aca="false">'2026 Forecast A'!C48</f>
        <v>PENN FOREST TOWNSHIP-EAST</v>
      </c>
      <c r="D98" s="10" t="n">
        <f aca="false">'2026 Forecast A'!G48</f>
        <v>0.383790226460072</v>
      </c>
      <c r="E98" s="10" t="n">
        <f aca="false">'2026 Forecast B'!G48</f>
        <v>0.387365911799762</v>
      </c>
      <c r="F98" s="10" t="n">
        <f aca="false">'2026 Forecast C'!G48</f>
        <v>0.377830750893921</v>
      </c>
      <c r="G98" s="38" t="n">
        <f aca="false">(MAX(D98:F98)-MIN(D98:F98))*100</f>
        <v>0.953516090584028</v>
      </c>
      <c r="H98" s="38" t="n">
        <f aca="false">'2026 Forecast A'!J48</f>
        <v>1.80877416096373</v>
      </c>
      <c r="I98" s="38" t="n">
        <f aca="false">'2026 Forecast B'!J48</f>
        <v>1.9254971424187</v>
      </c>
      <c r="J98" s="38" t="n">
        <f aca="false">'2026 Forecast C'!J48</f>
        <v>1.88510957763259</v>
      </c>
      <c r="K98" s="18" t="n">
        <f aca="false">'2026 Forecast A'!F48</f>
        <v>839</v>
      </c>
      <c r="L98" s="39" t="str">
        <f aca="false">IF(OR(AND(D98&gt;0.5,E98&gt;0.5,F98&gt;0.5),AND(D98&lt;0.5,E98&lt;0.5,F98&lt;0.5)),"Yes","No — toss-up")</f>
        <v>Yes</v>
      </c>
    </row>
    <row r="99" customFormat="false" ht="15" hidden="false" customHeight="false" outlineLevel="0" collapsed="false">
      <c r="A99" s="9" t="str">
        <f aca="false">'2026 Forecast A'!A49</f>
        <v>Carbon</v>
      </c>
      <c r="B99" s="9" t="str">
        <f aca="false">'2026 Forecast A'!B49</f>
        <v>PENN FOREST TOWNSHIP</v>
      </c>
      <c r="C99" s="9" t="str">
        <f aca="false">'2026 Forecast A'!C49</f>
        <v>PENN FOREST TOWNSHIP-MIDDLE</v>
      </c>
      <c r="D99" s="10" t="n">
        <f aca="false">'2026 Forecast A'!G49</f>
        <v>0.376344086021505</v>
      </c>
      <c r="E99" s="10" t="n">
        <f aca="false">'2026 Forecast B'!G49</f>
        <v>0.382488479262673</v>
      </c>
      <c r="F99" s="10" t="n">
        <f aca="false">'2026 Forecast C'!G49</f>
        <v>0.37173579109063</v>
      </c>
      <c r="G99" s="38" t="n">
        <f aca="false">(MAX(D99:F99)-MIN(D99:F99))*100</f>
        <v>1.0752688172043</v>
      </c>
      <c r="H99" s="38" t="n">
        <f aca="false">'2026 Forecast A'!J49</f>
        <v>3.02363014511423</v>
      </c>
      <c r="I99" s="38" t="n">
        <f aca="false">'2026 Forecast B'!J49</f>
        <v>2.87918965002339</v>
      </c>
      <c r="J99" s="38" t="n">
        <f aca="false">'2026 Forecast C'!J49</f>
        <v>3.15466234357281</v>
      </c>
      <c r="K99" s="18" t="n">
        <f aca="false">'2026 Forecast A'!F49</f>
        <v>651</v>
      </c>
      <c r="L99" s="39" t="str">
        <f aca="false">IF(OR(AND(D99&gt;0.5,E99&gt;0.5,F99&gt;0.5),AND(D99&lt;0.5,E99&lt;0.5,F99&lt;0.5)),"Yes","No — toss-up")</f>
        <v>Yes</v>
      </c>
    </row>
    <row r="100" customFormat="false" ht="15" hidden="false" customHeight="false" outlineLevel="0" collapsed="false">
      <c r="A100" s="9" t="str">
        <f aca="false">'2026 Forecast A'!A50</f>
        <v>Carbon</v>
      </c>
      <c r="B100" s="9" t="str">
        <f aca="false">'2026 Forecast A'!B50</f>
        <v>PENN FOREST TOWNSHIP</v>
      </c>
      <c r="C100" s="9" t="str">
        <f aca="false">'2026 Forecast A'!C50</f>
        <v>PENN FOREST TOWNSHIP-NORTH EAST</v>
      </c>
      <c r="D100" s="10" t="n">
        <f aca="false">'2026 Forecast A'!G50</f>
        <v>0.386243386243386</v>
      </c>
      <c r="E100" s="10" t="n">
        <f aca="false">'2026 Forecast B'!G50</f>
        <v>0.386243386243386</v>
      </c>
      <c r="F100" s="10" t="n">
        <f aca="false">'2026 Forecast C'!G50</f>
        <v>0.382010582010582</v>
      </c>
      <c r="G100" s="38" t="n">
        <f aca="false">(MAX(D100:F100)-MIN(D100:F100))*100</f>
        <v>0.42328042328042</v>
      </c>
      <c r="H100" s="38" t="n">
        <f aca="false">'2026 Forecast A'!J50</f>
        <v>1.80877416096373</v>
      </c>
      <c r="I100" s="38" t="n">
        <f aca="false">'2026 Forecast B'!J50</f>
        <v>1.9254971424187</v>
      </c>
      <c r="J100" s="38" t="n">
        <f aca="false">'2026 Forecast C'!J50</f>
        <v>1.88510957763259</v>
      </c>
      <c r="K100" s="18" t="n">
        <f aca="false">'2026 Forecast A'!F50</f>
        <v>945</v>
      </c>
      <c r="L100" s="39" t="str">
        <f aca="false">IF(OR(AND(D100&gt;0.5,E100&gt;0.5,F100&gt;0.5),AND(D100&lt;0.5,E100&lt;0.5,F100&lt;0.5)),"Yes","No — toss-up")</f>
        <v>Yes</v>
      </c>
    </row>
    <row r="101" customFormat="false" ht="15" hidden="false" customHeight="false" outlineLevel="0" collapsed="false">
      <c r="A101" s="9" t="str">
        <f aca="false">'2026 Forecast A'!A51</f>
        <v>Carbon</v>
      </c>
      <c r="B101" s="9" t="str">
        <f aca="false">'2026 Forecast A'!B51</f>
        <v>PENN FOREST TOWNSHIP</v>
      </c>
      <c r="C101" s="9" t="str">
        <f aca="false">'2026 Forecast A'!C51</f>
        <v>PENN FOREST TOWNSHIP-NORTH WEST</v>
      </c>
      <c r="D101" s="10" t="n">
        <f aca="false">'2026 Forecast A'!G51</f>
        <v>0.324372759856631</v>
      </c>
      <c r="E101" s="10" t="n">
        <f aca="false">'2026 Forecast B'!G51</f>
        <v>0.328853046594982</v>
      </c>
      <c r="F101" s="10" t="n">
        <f aca="false">'2026 Forecast C'!G51</f>
        <v>0.317204301075269</v>
      </c>
      <c r="G101" s="38" t="n">
        <f aca="false">(MAX(D101:F101)-MIN(D101:F101))*100</f>
        <v>1.16487455197133</v>
      </c>
      <c r="H101" s="38" t="n">
        <f aca="false">'2026 Forecast A'!J51</f>
        <v>1.80877416096373</v>
      </c>
      <c r="I101" s="38" t="n">
        <f aca="false">'2026 Forecast B'!J51</f>
        <v>1.9254971424187</v>
      </c>
      <c r="J101" s="38" t="n">
        <f aca="false">'2026 Forecast C'!J51</f>
        <v>1.88510957763259</v>
      </c>
      <c r="K101" s="18" t="n">
        <f aca="false">'2026 Forecast A'!F51</f>
        <v>1116</v>
      </c>
      <c r="L101" s="39" t="str">
        <f aca="false">IF(OR(AND(D101&gt;0.5,E101&gt;0.5,F101&gt;0.5),AND(D101&lt;0.5,E101&lt;0.5,F101&lt;0.5)),"Yes","No — toss-up")</f>
        <v>Yes</v>
      </c>
    </row>
    <row r="102" customFormat="false" ht="15" hidden="false" customHeight="false" outlineLevel="0" collapsed="false">
      <c r="A102" s="9" t="str">
        <f aca="false">'2026 Forecast A'!A52</f>
        <v>Carbon</v>
      </c>
      <c r="B102" s="9" t="str">
        <f aca="false">'2026 Forecast A'!B52</f>
        <v>PENN FOREST TOWNSHIP</v>
      </c>
      <c r="C102" s="9" t="str">
        <f aca="false">'2026 Forecast A'!C52</f>
        <v>PENN FOREST TOWNSHIP-SOUTH WEST</v>
      </c>
      <c r="D102" s="10" t="n">
        <f aca="false">'2026 Forecast A'!G52</f>
        <v>0.366952789699571</v>
      </c>
      <c r="E102" s="10" t="n">
        <f aca="false">'2026 Forecast B'!G52</f>
        <v>0.366952789699571</v>
      </c>
      <c r="F102" s="10" t="n">
        <f aca="false">'2026 Forecast C'!G52</f>
        <v>0.361587982832618</v>
      </c>
      <c r="G102" s="38" t="n">
        <f aca="false">(MAX(D102:F102)-MIN(D102:F102))*100</f>
        <v>0.536480686695279</v>
      </c>
      <c r="H102" s="38" t="n">
        <f aca="false">'2026 Forecast A'!J52</f>
        <v>1.80877416096373</v>
      </c>
      <c r="I102" s="38" t="n">
        <f aca="false">'2026 Forecast B'!J52</f>
        <v>1.9254971424187</v>
      </c>
      <c r="J102" s="38" t="n">
        <f aca="false">'2026 Forecast C'!J52</f>
        <v>1.88510957763259</v>
      </c>
      <c r="K102" s="18" t="n">
        <f aca="false">'2026 Forecast A'!F52</f>
        <v>932</v>
      </c>
      <c r="L102" s="39" t="str">
        <f aca="false">IF(OR(AND(D102&gt;0.5,E102&gt;0.5,F102&gt;0.5),AND(D102&lt;0.5,E102&lt;0.5,F102&lt;0.5)),"Yes","No — toss-up")</f>
        <v>Yes</v>
      </c>
    </row>
    <row r="103" customFormat="false" ht="15" hidden="false" customHeight="false" outlineLevel="0" collapsed="false">
      <c r="A103" s="9" t="str">
        <f aca="false">'2026 Forecast A'!A53</f>
        <v>Carbon</v>
      </c>
      <c r="B103" s="9" t="str">
        <f aca="false">'2026 Forecast A'!B53</f>
        <v>SUMMIT HILL BOROUGH</v>
      </c>
      <c r="C103" s="9" t="str">
        <f aca="false">'2026 Forecast A'!C53</f>
        <v>SUMMIT HILL BOROUGH-1ST</v>
      </c>
      <c r="D103" s="10" t="n">
        <f aca="false">'2026 Forecast A'!G53</f>
        <v>0.473684210526316</v>
      </c>
      <c r="E103" s="10" t="n">
        <f aca="false">'2026 Forecast B'!G53</f>
        <v>0.483552631578947</v>
      </c>
      <c r="F103" s="10" t="n">
        <f aca="false">'2026 Forecast C'!G53</f>
        <v>0.473684210526316</v>
      </c>
      <c r="G103" s="38" t="n">
        <f aca="false">(MAX(D103:F103)-MIN(D103:F103))*100</f>
        <v>0.986842105263158</v>
      </c>
      <c r="H103" s="38" t="n">
        <f aca="false">'2026 Forecast A'!J53</f>
        <v>3.02363014511423</v>
      </c>
      <c r="I103" s="38" t="n">
        <f aca="false">'2026 Forecast B'!J53</f>
        <v>2.87918965002339</v>
      </c>
      <c r="J103" s="38" t="n">
        <f aca="false">'2026 Forecast C'!J53</f>
        <v>3.15466234357281</v>
      </c>
      <c r="K103" s="18" t="n">
        <f aca="false">'2026 Forecast A'!F53</f>
        <v>304</v>
      </c>
      <c r="L103" s="39" t="str">
        <f aca="false">IF(OR(AND(D103&gt;0.5,E103&gt;0.5,F103&gt;0.5),AND(D103&lt;0.5,E103&lt;0.5,F103&lt;0.5)),"Yes","No — toss-up")</f>
        <v>Yes</v>
      </c>
    </row>
    <row r="104" customFormat="false" ht="15" hidden="false" customHeight="false" outlineLevel="0" collapsed="false">
      <c r="A104" s="9" t="str">
        <f aca="false">'2026 Forecast A'!A54</f>
        <v>Carbon</v>
      </c>
      <c r="B104" s="9" t="str">
        <f aca="false">'2026 Forecast A'!B54</f>
        <v>SUMMIT HILL BOROUGH</v>
      </c>
      <c r="C104" s="9" t="str">
        <f aca="false">'2026 Forecast A'!C54</f>
        <v>SUMMIT HILL BOROUGH-2ND</v>
      </c>
      <c r="D104" s="10" t="n">
        <f aca="false">'2026 Forecast A'!G54</f>
        <v>0.480825958702065</v>
      </c>
      <c r="E104" s="10" t="n">
        <f aca="false">'2026 Forecast B'!G54</f>
        <v>0.492625368731563</v>
      </c>
      <c r="F104" s="10" t="n">
        <f aca="false">'2026 Forecast C'!G54</f>
        <v>0.480825958702065</v>
      </c>
      <c r="G104" s="38" t="n">
        <f aca="false">(MAX(D104:F104)-MIN(D104:F104))*100</f>
        <v>1.17994100294985</v>
      </c>
      <c r="H104" s="38" t="n">
        <f aca="false">'2026 Forecast A'!J54</f>
        <v>3.02363014511423</v>
      </c>
      <c r="I104" s="38" t="n">
        <f aca="false">'2026 Forecast B'!J54</f>
        <v>2.87918965002339</v>
      </c>
      <c r="J104" s="38" t="n">
        <f aca="false">'2026 Forecast C'!J54</f>
        <v>3.15466234357281</v>
      </c>
      <c r="K104" s="18" t="n">
        <f aca="false">'2026 Forecast A'!F54</f>
        <v>339</v>
      </c>
      <c r="L104" s="39" t="str">
        <f aca="false">IF(OR(AND(D104&gt;0.5,E104&gt;0.5,F104&gt;0.5),AND(D104&lt;0.5,E104&lt;0.5,F104&lt;0.5)),"Yes","No — toss-up")</f>
        <v>Yes</v>
      </c>
    </row>
    <row r="105" customFormat="false" ht="15" hidden="false" customHeight="false" outlineLevel="0" collapsed="false">
      <c r="A105" s="9" t="str">
        <f aca="false">'2026 Forecast A'!A55</f>
        <v>Carbon</v>
      </c>
      <c r="B105" s="9" t="str">
        <f aca="false">'2026 Forecast A'!B55</f>
        <v>SUMMIT HILL BOROUGH</v>
      </c>
      <c r="C105" s="9" t="str">
        <f aca="false">'2026 Forecast A'!C55</f>
        <v>SUMMIT HILL BOROUGH-3RD/2ND</v>
      </c>
      <c r="D105" s="10" t="n">
        <f aca="false">'2026 Forecast A'!G55</f>
        <v>0.378600823045268</v>
      </c>
      <c r="E105" s="10" t="n">
        <f aca="false">'2026 Forecast B'!G55</f>
        <v>0.390946502057613</v>
      </c>
      <c r="F105" s="10" t="n">
        <f aca="false">'2026 Forecast C'!G55</f>
        <v>0.378600823045268</v>
      </c>
      <c r="G105" s="38" t="n">
        <f aca="false">(MAX(D105:F105)-MIN(D105:F105))*100</f>
        <v>1.23456790123457</v>
      </c>
      <c r="H105" s="38" t="n">
        <f aca="false">'2026 Forecast A'!J55</f>
        <v>3.02363014511423</v>
      </c>
      <c r="I105" s="38" t="n">
        <f aca="false">'2026 Forecast B'!J55</f>
        <v>2.87918965002339</v>
      </c>
      <c r="J105" s="38" t="n">
        <f aca="false">'2026 Forecast C'!J55</f>
        <v>3.15466234357281</v>
      </c>
      <c r="K105" s="18" t="n">
        <f aca="false">'2026 Forecast A'!F55</f>
        <v>243</v>
      </c>
      <c r="L105" s="39" t="str">
        <f aca="false">IF(OR(AND(D105&gt;0.5,E105&gt;0.5,F105&gt;0.5),AND(D105&lt;0.5,E105&lt;0.5,F105&lt;0.5)),"Yes","No — toss-up")</f>
        <v>Yes</v>
      </c>
    </row>
    <row r="106" customFormat="false" ht="15" hidden="false" customHeight="false" outlineLevel="0" collapsed="false">
      <c r="A106" s="9" t="str">
        <f aca="false">'2026 Forecast A'!A56</f>
        <v>Carbon</v>
      </c>
      <c r="B106" s="9" t="str">
        <f aca="false">'2026 Forecast A'!B56</f>
        <v>SUMMIT HILL BOROUGH</v>
      </c>
      <c r="C106" s="9" t="str">
        <f aca="false">'2026 Forecast A'!C56</f>
        <v>SUMMIT HILL-3RD/1ST DIST</v>
      </c>
      <c r="D106" s="10" t="n">
        <f aca="false">'2026 Forecast A'!G56</f>
        <v>0.417283950617284</v>
      </c>
      <c r="E106" s="10" t="n">
        <f aca="false">'2026 Forecast B'!G56</f>
        <v>0.417283950617284</v>
      </c>
      <c r="F106" s="10" t="n">
        <f aca="false">'2026 Forecast C'!G56</f>
        <v>0.412345679012346</v>
      </c>
      <c r="G106" s="38" t="n">
        <f aca="false">(MAX(D106:F106)-MIN(D106:F106))*100</f>
        <v>0.493827160493826</v>
      </c>
      <c r="H106" s="38" t="n">
        <f aca="false">'2026 Forecast A'!J56</f>
        <v>3.02363014511423</v>
      </c>
      <c r="I106" s="38" t="n">
        <f aca="false">'2026 Forecast B'!J56</f>
        <v>2.87918965002339</v>
      </c>
      <c r="J106" s="38" t="n">
        <f aca="false">'2026 Forecast C'!J56</f>
        <v>3.15466234357281</v>
      </c>
      <c r="K106" s="18" t="n">
        <f aca="false">'2026 Forecast A'!F56</f>
        <v>405</v>
      </c>
      <c r="L106" s="39" t="str">
        <f aca="false">IF(OR(AND(D106&gt;0.5,E106&gt;0.5,F106&gt;0.5),AND(D106&lt;0.5,E106&lt;0.5,F106&lt;0.5)),"Yes","No — toss-up")</f>
        <v>Yes</v>
      </c>
    </row>
    <row r="107" customFormat="false" ht="15" hidden="false" customHeight="false" outlineLevel="0" collapsed="false">
      <c r="A107" s="9" t="str">
        <f aca="false">'2026 Forecast A'!A57</f>
        <v>Carbon</v>
      </c>
      <c r="B107" s="9" t="str">
        <f aca="false">'2026 Forecast A'!B57</f>
        <v>TOWAMENSING TOWNSHIP</v>
      </c>
      <c r="C107" s="9" t="str">
        <f aca="false">'2026 Forecast A'!C57</f>
        <v>TOWAMENSING TOWNSHIP-NORTH</v>
      </c>
      <c r="D107" s="10" t="n">
        <f aca="false">'2026 Forecast A'!G57</f>
        <v>0.311688311688312</v>
      </c>
      <c r="E107" s="10" t="n">
        <f aca="false">'2026 Forecast B'!G57</f>
        <v>0.309090909090909</v>
      </c>
      <c r="F107" s="10" t="n">
        <f aca="false">'2026 Forecast C'!G57</f>
        <v>0.302597402597403</v>
      </c>
      <c r="G107" s="38" t="n">
        <f aca="false">(MAX(D107:F107)-MIN(D107:F107))*100</f>
        <v>0.909090909090909</v>
      </c>
      <c r="H107" s="38" t="n">
        <f aca="false">'2026 Forecast A'!J57</f>
        <v>3.02363014511423</v>
      </c>
      <c r="I107" s="38" t="n">
        <f aca="false">'2026 Forecast B'!J57</f>
        <v>2.87918965002339</v>
      </c>
      <c r="J107" s="38" t="n">
        <f aca="false">'2026 Forecast C'!J57</f>
        <v>3.15466234357281</v>
      </c>
      <c r="K107" s="18" t="n">
        <f aca="false">'2026 Forecast A'!F57</f>
        <v>770</v>
      </c>
      <c r="L107" s="39" t="str">
        <f aca="false">IF(OR(AND(D107&gt;0.5,E107&gt;0.5,F107&gt;0.5),AND(D107&lt;0.5,E107&lt;0.5,F107&lt;0.5)),"Yes","No — toss-up")</f>
        <v>Yes</v>
      </c>
    </row>
    <row r="108" customFormat="false" ht="15" hidden="false" customHeight="false" outlineLevel="0" collapsed="false">
      <c r="A108" s="9" t="str">
        <f aca="false">'2026 Forecast A'!A58</f>
        <v>Carbon</v>
      </c>
      <c r="B108" s="9" t="str">
        <f aca="false">'2026 Forecast A'!B58</f>
        <v>TOWAMENSING TOWNSHIP</v>
      </c>
      <c r="C108" s="9" t="str">
        <f aca="false">'2026 Forecast A'!C58</f>
        <v>TOWAMENSING TOWNSHIP-SOUTH-1</v>
      </c>
      <c r="D108" s="10" t="n">
        <f aca="false">'2026 Forecast A'!G58</f>
        <v>0.279898218829517</v>
      </c>
      <c r="E108" s="10" t="n">
        <f aca="false">'2026 Forecast B'!G58</f>
        <v>0.28498727735369</v>
      </c>
      <c r="F108" s="10" t="n">
        <f aca="false">'2026 Forecast C'!G58</f>
        <v>0.269720101781171</v>
      </c>
      <c r="G108" s="38" t="n">
        <f aca="false">(MAX(D108:F108)-MIN(D108:F108))*100</f>
        <v>1.52671755725191</v>
      </c>
      <c r="H108" s="38" t="n">
        <f aca="false">'2026 Forecast A'!J58</f>
        <v>1.80877416096373</v>
      </c>
      <c r="I108" s="38" t="n">
        <f aca="false">'2026 Forecast B'!J58</f>
        <v>1.9254971424187</v>
      </c>
      <c r="J108" s="38" t="n">
        <f aca="false">'2026 Forecast C'!J58</f>
        <v>1.88510957763259</v>
      </c>
      <c r="K108" s="18" t="n">
        <f aca="false">'2026 Forecast A'!F58</f>
        <v>786</v>
      </c>
      <c r="L108" s="39" t="str">
        <f aca="false">IF(OR(AND(D108&gt;0.5,E108&gt;0.5,F108&gt;0.5),AND(D108&lt;0.5,E108&lt;0.5,F108&lt;0.5)),"Yes","No — toss-up")</f>
        <v>Yes</v>
      </c>
    </row>
    <row r="109" customFormat="false" ht="15" hidden="false" customHeight="false" outlineLevel="0" collapsed="false">
      <c r="A109" s="9" t="str">
        <f aca="false">'2026 Forecast A'!A59</f>
        <v>Carbon</v>
      </c>
      <c r="B109" s="9" t="str">
        <f aca="false">'2026 Forecast A'!B59</f>
        <v>TOWAMENSING TOWNSHIP</v>
      </c>
      <c r="C109" s="9" t="str">
        <f aca="false">'2026 Forecast A'!C59</f>
        <v>TOWAMENSING TOWNSHIP-SOUTH-2</v>
      </c>
      <c r="D109" s="10" t="n">
        <f aca="false">'2026 Forecast A'!G59</f>
        <v>0.29243937232525</v>
      </c>
      <c r="E109" s="10" t="n">
        <f aca="false">'2026 Forecast B'!G59</f>
        <v>0.295292439372325</v>
      </c>
      <c r="F109" s="10" t="n">
        <f aca="false">'2026 Forecast C'!G59</f>
        <v>0.283880171184023</v>
      </c>
      <c r="G109" s="38" t="n">
        <f aca="false">(MAX(D109:F109)-MIN(D109:F109))*100</f>
        <v>1.14122681883024</v>
      </c>
      <c r="H109" s="38" t="n">
        <f aca="false">'2026 Forecast A'!J59</f>
        <v>3.02363014511423</v>
      </c>
      <c r="I109" s="38" t="n">
        <f aca="false">'2026 Forecast B'!J59</f>
        <v>2.87918965002339</v>
      </c>
      <c r="J109" s="38" t="n">
        <f aca="false">'2026 Forecast C'!J59</f>
        <v>3.15466234357281</v>
      </c>
      <c r="K109" s="18" t="n">
        <f aca="false">'2026 Forecast A'!F59</f>
        <v>701</v>
      </c>
      <c r="L109" s="39" t="str">
        <f aca="false">IF(OR(AND(D109&gt;0.5,E109&gt;0.5,F109&gt;0.5),AND(D109&lt;0.5,E109&lt;0.5,F109&lt;0.5)),"Yes","No — toss-up")</f>
        <v>Yes</v>
      </c>
    </row>
    <row r="110" customFormat="false" ht="15" hidden="false" customHeight="false" outlineLevel="0" collapsed="false">
      <c r="A110" s="9" t="str">
        <f aca="false">'2026 Forecast A'!A60</f>
        <v>Carbon</v>
      </c>
      <c r="B110" s="9" t="str">
        <f aca="false">'2026 Forecast A'!B60</f>
        <v>WEATHERLY BOROUGH</v>
      </c>
      <c r="C110" s="9" t="str">
        <f aca="false">'2026 Forecast A'!C60</f>
        <v>WEATHERLY BOROUGH-EAST</v>
      </c>
      <c r="D110" s="10" t="n">
        <f aca="false">'2026 Forecast A'!G60</f>
        <v>0.301164725457571</v>
      </c>
      <c r="E110" s="10" t="n">
        <f aca="false">'2026 Forecast B'!G60</f>
        <v>0.302828618968386</v>
      </c>
      <c r="F110" s="10" t="n">
        <f aca="false">'2026 Forecast C'!G60</f>
        <v>0.291181364392679</v>
      </c>
      <c r="G110" s="38" t="n">
        <f aca="false">(MAX(D110:F110)-MIN(D110:F110))*100</f>
        <v>1.16472545757071</v>
      </c>
      <c r="H110" s="38" t="n">
        <f aca="false">'2026 Forecast A'!J60</f>
        <v>3.02363014511423</v>
      </c>
      <c r="I110" s="38" t="n">
        <f aca="false">'2026 Forecast B'!J60</f>
        <v>2.87918965002339</v>
      </c>
      <c r="J110" s="38" t="n">
        <f aca="false">'2026 Forecast C'!J60</f>
        <v>3.15466234357281</v>
      </c>
      <c r="K110" s="18" t="n">
        <f aca="false">'2026 Forecast A'!F60</f>
        <v>601</v>
      </c>
      <c r="L110" s="39" t="str">
        <f aca="false">IF(OR(AND(D110&gt;0.5,E110&gt;0.5,F110&gt;0.5),AND(D110&lt;0.5,E110&lt;0.5,F110&lt;0.5)),"Yes","No — toss-up")</f>
        <v>Yes</v>
      </c>
    </row>
    <row r="111" customFormat="false" ht="15" hidden="false" customHeight="false" outlineLevel="0" collapsed="false">
      <c r="A111" s="9" t="str">
        <f aca="false">'2026 Forecast A'!A61</f>
        <v>Carbon</v>
      </c>
      <c r="B111" s="9" t="str">
        <f aca="false">'2026 Forecast A'!B61</f>
        <v>WEATHERLY BOROUGH</v>
      </c>
      <c r="C111" s="9" t="str">
        <f aca="false">'2026 Forecast A'!C61</f>
        <v>WEATHERLY BOROUGH-WEST</v>
      </c>
      <c r="D111" s="10" t="n">
        <f aca="false">'2026 Forecast A'!G61</f>
        <v>0.278846153846154</v>
      </c>
      <c r="E111" s="10" t="n">
        <f aca="false">'2026 Forecast B'!G61</f>
        <v>0.291666666666667</v>
      </c>
      <c r="F111" s="10" t="n">
        <f aca="false">'2026 Forecast C'!G61</f>
        <v>0.269230769230769</v>
      </c>
      <c r="G111" s="38" t="n">
        <f aca="false">(MAX(D111:F111)-MIN(D111:F111))*100</f>
        <v>2.24358974358975</v>
      </c>
      <c r="H111" s="38" t="n">
        <f aca="false">'2026 Forecast A'!J61</f>
        <v>3.02363014511423</v>
      </c>
      <c r="I111" s="38" t="n">
        <f aca="false">'2026 Forecast B'!J61</f>
        <v>2.87918965002339</v>
      </c>
      <c r="J111" s="38" t="n">
        <f aca="false">'2026 Forecast C'!J61</f>
        <v>3.15466234357281</v>
      </c>
      <c r="K111" s="18" t="n">
        <f aca="false">'2026 Forecast A'!F61</f>
        <v>312</v>
      </c>
      <c r="L111" s="39" t="str">
        <f aca="false">IF(OR(AND(D111&gt;0.5,E111&gt;0.5,F111&gt;0.5),AND(D111&lt;0.5,E111&lt;0.5,F111&lt;0.5)),"Yes","No — toss-up")</f>
        <v>Yes</v>
      </c>
    </row>
    <row r="112" customFormat="false" ht="15" hidden="false" customHeight="false" outlineLevel="0" collapsed="false">
      <c r="A112" s="9" t="str">
        <f aca="false">'2026 Forecast A'!A62</f>
        <v>Carbon</v>
      </c>
      <c r="B112" s="9" t="str">
        <f aca="false">'2026 Forecast A'!B62</f>
        <v>WEISSPORT BOROUGH</v>
      </c>
      <c r="C112" s="9" t="str">
        <f aca="false">'2026 Forecast A'!C62</f>
        <v>WEISSPORT BOROUGH</v>
      </c>
      <c r="D112" s="10" t="n">
        <f aca="false">'2026 Forecast A'!G62</f>
        <v>0.373831775700935</v>
      </c>
      <c r="E112" s="10" t="n">
        <f aca="false">'2026 Forecast B'!G62</f>
        <v>0.383177570093458</v>
      </c>
      <c r="F112" s="10" t="n">
        <f aca="false">'2026 Forecast C'!G62</f>
        <v>0.364485981308411</v>
      </c>
      <c r="G112" s="38" t="n">
        <f aca="false">(MAX(D112:F112)-MIN(D112:F112))*100</f>
        <v>1.86915887850467</v>
      </c>
      <c r="H112" s="38" t="n">
        <f aca="false">'2026 Forecast A'!J62</f>
        <v>3.02363014511423</v>
      </c>
      <c r="I112" s="38" t="n">
        <f aca="false">'2026 Forecast B'!J62</f>
        <v>2.87918965002339</v>
      </c>
      <c r="J112" s="38" t="n">
        <f aca="false">'2026 Forecast C'!J62</f>
        <v>3.15466234357281</v>
      </c>
      <c r="K112" s="18" t="n">
        <f aca="false">'2026 Forecast A'!F62</f>
        <v>107</v>
      </c>
      <c r="L112" s="39" t="str">
        <f aca="false">IF(OR(AND(D112&gt;0.5,E112&gt;0.5,F112&gt;0.5),AND(D112&lt;0.5,E112&lt;0.5,F112&lt;0.5)),"Yes","No — toss-up")</f>
        <v>Yes</v>
      </c>
    </row>
    <row r="113" customFormat="false" ht="15" hidden="false" customHeight="false" outlineLevel="0" collapsed="false">
      <c r="A113" s="9" t="str">
        <f aca="false">'2026 Forecast A'!A63</f>
        <v>Lehigh</v>
      </c>
      <c r="B113" s="9" t="str">
        <f aca="false">'2026 Forecast A'!B63</f>
        <v>ALBURTIS</v>
      </c>
      <c r="C113" s="9" t="str">
        <f aca="false">'2026 Forecast A'!C63</f>
        <v>ALBURTIS</v>
      </c>
      <c r="D113" s="10" t="n">
        <f aca="false">'2026 Forecast A'!G63</f>
        <v>0.466540999057493</v>
      </c>
      <c r="E113" s="10" t="n">
        <f aca="false">'2026 Forecast B'!G63</f>
        <v>0.476908576814326</v>
      </c>
      <c r="F113" s="10" t="n">
        <f aca="false">'2026 Forecast C'!G63</f>
        <v>0.464655984919887</v>
      </c>
      <c r="G113" s="38" t="n">
        <f aca="false">(MAX(D113:F113)-MIN(D113:F113))*100</f>
        <v>1.22525918944392</v>
      </c>
      <c r="H113" s="38" t="n">
        <f aca="false">'2026 Forecast A'!J63</f>
        <v>1.80877416096373</v>
      </c>
      <c r="I113" s="38" t="n">
        <f aca="false">'2026 Forecast B'!J63</f>
        <v>1.9254971424187</v>
      </c>
      <c r="J113" s="38" t="n">
        <f aca="false">'2026 Forecast C'!J63</f>
        <v>1.88510957763259</v>
      </c>
      <c r="K113" s="18" t="n">
        <f aca="false">'2026 Forecast A'!F63</f>
        <v>1061</v>
      </c>
      <c r="L113" s="39" t="str">
        <f aca="false">IF(OR(AND(D113&gt;0.5,E113&gt;0.5,F113&gt;0.5),AND(D113&lt;0.5,E113&lt;0.5,F113&lt;0.5)),"Yes","No — toss-up")</f>
        <v>Yes</v>
      </c>
    </row>
    <row r="114" customFormat="false" ht="15" hidden="false" customHeight="false" outlineLevel="0" collapsed="false">
      <c r="A114" s="9" t="str">
        <f aca="false">'2026 Forecast A'!A64</f>
        <v>Lehigh</v>
      </c>
      <c r="B114" s="9" t="str">
        <f aca="false">'2026 Forecast A'!B64</f>
        <v>ALLENTOWN</v>
      </c>
      <c r="C114" s="9" t="str">
        <f aca="false">'2026 Forecast A'!C64</f>
        <v>ALLENTOWN 10TH WARD 1ST DIST</v>
      </c>
      <c r="D114" s="10" t="n">
        <f aca="false">'2026 Forecast A'!G64</f>
        <v>0.722713864306785</v>
      </c>
      <c r="E114" s="10" t="n">
        <f aca="false">'2026 Forecast B'!G64</f>
        <v>0.71976401179941</v>
      </c>
      <c r="F114" s="10" t="n">
        <f aca="false">'2026 Forecast C'!G64</f>
        <v>0.731563421828909</v>
      </c>
      <c r="G114" s="38" t="n">
        <f aca="false">(MAX(D114:F114)-MIN(D114:F114))*100</f>
        <v>1.17994100294985</v>
      </c>
      <c r="H114" s="38" t="n">
        <f aca="false">'2026 Forecast A'!J64</f>
        <v>3.02363014511423</v>
      </c>
      <c r="I114" s="38" t="n">
        <f aca="false">'2026 Forecast B'!J64</f>
        <v>2.87918965002339</v>
      </c>
      <c r="J114" s="38" t="n">
        <f aca="false">'2026 Forecast C'!J64</f>
        <v>3.15466234357281</v>
      </c>
      <c r="K114" s="18" t="n">
        <f aca="false">'2026 Forecast A'!F64</f>
        <v>339</v>
      </c>
      <c r="L114" s="39" t="str">
        <f aca="false">IF(OR(AND(D114&gt;0.5,E114&gt;0.5,F114&gt;0.5),AND(D114&lt;0.5,E114&lt;0.5,F114&lt;0.5)),"Yes","No — toss-up")</f>
        <v>Yes</v>
      </c>
    </row>
    <row r="115" customFormat="false" ht="15" hidden="false" customHeight="false" outlineLevel="0" collapsed="false">
      <c r="A115" s="9" t="str">
        <f aca="false">'2026 Forecast A'!A65</f>
        <v>Lehigh</v>
      </c>
      <c r="B115" s="9" t="str">
        <f aca="false">'2026 Forecast A'!B65</f>
        <v>ALLENTOWN</v>
      </c>
      <c r="C115" s="9" t="str">
        <f aca="false">'2026 Forecast A'!C65</f>
        <v>ALLENTOWN 10TH WARD 3RD DIST</v>
      </c>
      <c r="D115" s="10" t="n">
        <f aca="false">'2026 Forecast A'!G65</f>
        <v>0.666666666666667</v>
      </c>
      <c r="E115" s="10" t="n">
        <f aca="false">'2026 Forecast B'!G65</f>
        <v>0.671641791044776</v>
      </c>
      <c r="F115" s="10" t="n">
        <f aca="false">'2026 Forecast C'!G65</f>
        <v>0.671641791044776</v>
      </c>
      <c r="G115" s="38" t="n">
        <f aca="false">(MAX(D115:F115)-MIN(D115:F115))*100</f>
        <v>0.497512437810954</v>
      </c>
      <c r="H115" s="38" t="n">
        <f aca="false">'2026 Forecast A'!J65</f>
        <v>3.02363014511423</v>
      </c>
      <c r="I115" s="38" t="n">
        <f aca="false">'2026 Forecast B'!J65</f>
        <v>2.87918965002339</v>
      </c>
      <c r="J115" s="38" t="n">
        <f aca="false">'2026 Forecast C'!J65</f>
        <v>3.15466234357281</v>
      </c>
      <c r="K115" s="18" t="n">
        <f aca="false">'2026 Forecast A'!F65</f>
        <v>201</v>
      </c>
      <c r="L115" s="39" t="str">
        <f aca="false">IF(OR(AND(D115&gt;0.5,E115&gt;0.5,F115&gt;0.5),AND(D115&lt;0.5,E115&lt;0.5,F115&lt;0.5)),"Yes","No — toss-up")</f>
        <v>Yes</v>
      </c>
    </row>
    <row r="116" customFormat="false" ht="15" hidden="false" customHeight="false" outlineLevel="0" collapsed="false">
      <c r="A116" s="9" t="str">
        <f aca="false">'2026 Forecast A'!A66</f>
        <v>Lehigh</v>
      </c>
      <c r="B116" s="9" t="str">
        <f aca="false">'2026 Forecast A'!B66</f>
        <v>ALLENTOWN</v>
      </c>
      <c r="C116" s="9" t="str">
        <f aca="false">'2026 Forecast A'!C66</f>
        <v>ALLENTOWN 10TH WARD 4TH DIST</v>
      </c>
      <c r="D116" s="10" t="n">
        <f aca="false">'2026 Forecast A'!G66</f>
        <v>0.699570815450644</v>
      </c>
      <c r="E116" s="10" t="n">
        <f aca="false">'2026 Forecast B'!G66</f>
        <v>0.708154506437768</v>
      </c>
      <c r="F116" s="10" t="n">
        <f aca="false">'2026 Forecast C'!G66</f>
        <v>0.708154506437768</v>
      </c>
      <c r="G116" s="38" t="n">
        <f aca="false">(MAX(D116:F116)-MIN(D116:F116))*100</f>
        <v>0.858369098712442</v>
      </c>
      <c r="H116" s="38" t="n">
        <f aca="false">'2026 Forecast A'!J66</f>
        <v>3.02363014511423</v>
      </c>
      <c r="I116" s="38" t="n">
        <f aca="false">'2026 Forecast B'!J66</f>
        <v>2.87918965002339</v>
      </c>
      <c r="J116" s="38" t="n">
        <f aca="false">'2026 Forecast C'!J66</f>
        <v>3.15466234357281</v>
      </c>
      <c r="K116" s="18" t="n">
        <f aca="false">'2026 Forecast A'!F66</f>
        <v>233</v>
      </c>
      <c r="L116" s="39" t="str">
        <f aca="false">IF(OR(AND(D116&gt;0.5,E116&gt;0.5,F116&gt;0.5),AND(D116&lt;0.5,E116&lt;0.5,F116&lt;0.5)),"Yes","No — toss-up")</f>
        <v>Yes</v>
      </c>
    </row>
    <row r="117" customFormat="false" ht="15" hidden="false" customHeight="false" outlineLevel="0" collapsed="false">
      <c r="A117" s="9" t="str">
        <f aca="false">'2026 Forecast A'!A67</f>
        <v>Lehigh</v>
      </c>
      <c r="B117" s="9" t="str">
        <f aca="false">'2026 Forecast A'!B67</f>
        <v>ALLENTOWN</v>
      </c>
      <c r="C117" s="9" t="str">
        <f aca="false">'2026 Forecast A'!C67</f>
        <v>ALLENTOWN 11TH WARD 1ST DIST</v>
      </c>
      <c r="D117" s="10" t="n">
        <f aca="false">'2026 Forecast A'!G67</f>
        <v>0.680851063829787</v>
      </c>
      <c r="E117" s="10" t="n">
        <f aca="false">'2026 Forecast B'!G67</f>
        <v>0.680851063829787</v>
      </c>
      <c r="F117" s="10" t="n">
        <f aca="false">'2026 Forecast C'!G67</f>
        <v>0.685106382978723</v>
      </c>
      <c r="G117" s="38" t="n">
        <f aca="false">(MAX(D117:F117)-MIN(D117:F117))*100</f>
        <v>0.425531914893618</v>
      </c>
      <c r="H117" s="38" t="n">
        <f aca="false">'2026 Forecast A'!J67</f>
        <v>3.02363014511423</v>
      </c>
      <c r="I117" s="38" t="n">
        <f aca="false">'2026 Forecast B'!J67</f>
        <v>2.87918965002339</v>
      </c>
      <c r="J117" s="38" t="n">
        <f aca="false">'2026 Forecast C'!J67</f>
        <v>3.15466234357281</v>
      </c>
      <c r="K117" s="18" t="n">
        <f aca="false">'2026 Forecast A'!F67</f>
        <v>235</v>
      </c>
      <c r="L117" s="39" t="str">
        <f aca="false">IF(OR(AND(D117&gt;0.5,E117&gt;0.5,F117&gt;0.5),AND(D117&lt;0.5,E117&lt;0.5,F117&lt;0.5)),"Yes","No — toss-up")</f>
        <v>Yes</v>
      </c>
    </row>
    <row r="118" customFormat="false" ht="15" hidden="false" customHeight="false" outlineLevel="0" collapsed="false">
      <c r="A118" s="9" t="str">
        <f aca="false">'2026 Forecast A'!A68</f>
        <v>Lehigh</v>
      </c>
      <c r="B118" s="9" t="str">
        <f aca="false">'2026 Forecast A'!B68</f>
        <v>ALLENTOWN</v>
      </c>
      <c r="C118" s="9" t="str">
        <f aca="false">'2026 Forecast A'!C68</f>
        <v>ALLENTOWN 11TH WARD 2ND DIST</v>
      </c>
      <c r="D118" s="10" t="n">
        <f aca="false">'2026 Forecast A'!G68</f>
        <v>0.744493392070485</v>
      </c>
      <c r="E118" s="10" t="n">
        <f aca="false">'2026 Forecast B'!G68</f>
        <v>0.753303964757709</v>
      </c>
      <c r="F118" s="10" t="n">
        <f aca="false">'2026 Forecast C'!G68</f>
        <v>0.748898678414097</v>
      </c>
      <c r="G118" s="38" t="n">
        <f aca="false">(MAX(D118:F118)-MIN(D118:F118))*100</f>
        <v>0.881057268722463</v>
      </c>
      <c r="H118" s="38" t="n">
        <f aca="false">'2026 Forecast A'!J68</f>
        <v>3.02363014511423</v>
      </c>
      <c r="I118" s="38" t="n">
        <f aca="false">'2026 Forecast B'!J68</f>
        <v>2.87918965002339</v>
      </c>
      <c r="J118" s="38" t="n">
        <f aca="false">'2026 Forecast C'!J68</f>
        <v>3.15466234357281</v>
      </c>
      <c r="K118" s="18" t="n">
        <f aca="false">'2026 Forecast A'!F68</f>
        <v>227</v>
      </c>
      <c r="L118" s="39" t="str">
        <f aca="false">IF(OR(AND(D118&gt;0.5,E118&gt;0.5,F118&gt;0.5),AND(D118&lt;0.5,E118&lt;0.5,F118&lt;0.5)),"Yes","No — toss-up")</f>
        <v>Yes</v>
      </c>
    </row>
    <row r="119" customFormat="false" ht="15" hidden="false" customHeight="false" outlineLevel="0" collapsed="false">
      <c r="A119" s="9" t="str">
        <f aca="false">'2026 Forecast A'!A69</f>
        <v>Lehigh</v>
      </c>
      <c r="B119" s="9" t="str">
        <f aca="false">'2026 Forecast A'!B69</f>
        <v>ALLENTOWN</v>
      </c>
      <c r="C119" s="9" t="str">
        <f aca="false">'2026 Forecast A'!C69</f>
        <v>ALLENTOWN 11TH WARD 3RD DIST</v>
      </c>
      <c r="D119" s="10" t="n">
        <f aca="false">'2026 Forecast A'!G69</f>
        <v>0.686980609418283</v>
      </c>
      <c r="E119" s="10" t="n">
        <f aca="false">'2026 Forecast B'!G69</f>
        <v>0.67590027700831</v>
      </c>
      <c r="F119" s="10" t="n">
        <f aca="false">'2026 Forecast C'!G69</f>
        <v>0.695290858725762</v>
      </c>
      <c r="G119" s="38" t="n">
        <f aca="false">(MAX(D119:F119)-MIN(D119:F119))*100</f>
        <v>1.93905817174516</v>
      </c>
      <c r="H119" s="38" t="n">
        <f aca="false">'2026 Forecast A'!J69</f>
        <v>3.02363014511423</v>
      </c>
      <c r="I119" s="38" t="n">
        <f aca="false">'2026 Forecast B'!J69</f>
        <v>2.87918965002339</v>
      </c>
      <c r="J119" s="38" t="n">
        <f aca="false">'2026 Forecast C'!J69</f>
        <v>3.15466234357281</v>
      </c>
      <c r="K119" s="18" t="n">
        <f aca="false">'2026 Forecast A'!F69</f>
        <v>361</v>
      </c>
      <c r="L119" s="39" t="str">
        <f aca="false">IF(OR(AND(D119&gt;0.5,E119&gt;0.5,F119&gt;0.5),AND(D119&lt;0.5,E119&lt;0.5,F119&lt;0.5)),"Yes","No — toss-up")</f>
        <v>Yes</v>
      </c>
    </row>
    <row r="120" customFormat="false" ht="15" hidden="false" customHeight="false" outlineLevel="0" collapsed="false">
      <c r="A120" s="9" t="str">
        <f aca="false">'2026 Forecast A'!A70</f>
        <v>Lehigh</v>
      </c>
      <c r="B120" s="9" t="str">
        <f aca="false">'2026 Forecast A'!B70</f>
        <v>ALLENTOWN</v>
      </c>
      <c r="C120" s="9" t="str">
        <f aca="false">'2026 Forecast A'!C70</f>
        <v>ALLENTOWN 11TH WARD 4TH DIST</v>
      </c>
      <c r="D120" s="10" t="n">
        <f aca="false">'2026 Forecast A'!G70</f>
        <v>0.769129287598945</v>
      </c>
      <c r="E120" s="10" t="n">
        <f aca="false">'2026 Forecast B'!G70</f>
        <v>0.761213720316623</v>
      </c>
      <c r="F120" s="10" t="n">
        <f aca="false">'2026 Forecast C'!G70</f>
        <v>0.773087071240106</v>
      </c>
      <c r="G120" s="38" t="n">
        <f aca="false">(MAX(D120:F120)-MIN(D120:F120))*100</f>
        <v>1.18733509234829</v>
      </c>
      <c r="H120" s="38" t="n">
        <f aca="false">'2026 Forecast A'!J70</f>
        <v>3.02363014511423</v>
      </c>
      <c r="I120" s="38" t="n">
        <f aca="false">'2026 Forecast B'!J70</f>
        <v>2.87918965002339</v>
      </c>
      <c r="J120" s="38" t="n">
        <f aca="false">'2026 Forecast C'!J70</f>
        <v>3.15466234357281</v>
      </c>
      <c r="K120" s="18" t="n">
        <f aca="false">'2026 Forecast A'!F70</f>
        <v>758</v>
      </c>
      <c r="L120" s="39" t="str">
        <f aca="false">IF(OR(AND(D120&gt;0.5,E120&gt;0.5,F120&gt;0.5),AND(D120&lt;0.5,E120&lt;0.5,F120&lt;0.5)),"Yes","No — toss-up")</f>
        <v>Yes</v>
      </c>
    </row>
    <row r="121" customFormat="false" ht="15" hidden="false" customHeight="false" outlineLevel="0" collapsed="false">
      <c r="A121" s="9" t="str">
        <f aca="false">'2026 Forecast A'!A71</f>
        <v>Lehigh</v>
      </c>
      <c r="B121" s="9" t="str">
        <f aca="false">'2026 Forecast A'!B71</f>
        <v>ALLENTOWN</v>
      </c>
      <c r="C121" s="9" t="str">
        <f aca="false">'2026 Forecast A'!C71</f>
        <v>ALLENTOWN 11TH WARD 5TH DIST</v>
      </c>
      <c r="D121" s="10" t="n">
        <f aca="false">'2026 Forecast A'!G71</f>
        <v>0.659367396593674</v>
      </c>
      <c r="E121" s="10" t="n">
        <f aca="false">'2026 Forecast B'!G71</f>
        <v>0.656934306569343</v>
      </c>
      <c r="F121" s="10" t="n">
        <f aca="false">'2026 Forecast C'!G71</f>
        <v>0.664233576642336</v>
      </c>
      <c r="G121" s="38" t="n">
        <f aca="false">(MAX(D121:F121)-MIN(D121:F121))*100</f>
        <v>0.729927007299269</v>
      </c>
      <c r="H121" s="38" t="n">
        <f aca="false">'2026 Forecast A'!J71</f>
        <v>3.02363014511423</v>
      </c>
      <c r="I121" s="38" t="n">
        <f aca="false">'2026 Forecast B'!J71</f>
        <v>2.87918965002339</v>
      </c>
      <c r="J121" s="38" t="n">
        <f aca="false">'2026 Forecast C'!J71</f>
        <v>3.15466234357281</v>
      </c>
      <c r="K121" s="18" t="n">
        <f aca="false">'2026 Forecast A'!F71</f>
        <v>411</v>
      </c>
      <c r="L121" s="39" t="str">
        <f aca="false">IF(OR(AND(D121&gt;0.5,E121&gt;0.5,F121&gt;0.5),AND(D121&lt;0.5,E121&lt;0.5,F121&lt;0.5)),"Yes","No — toss-up")</f>
        <v>Yes</v>
      </c>
    </row>
    <row r="122" customFormat="false" ht="15" hidden="false" customHeight="false" outlineLevel="0" collapsed="false">
      <c r="A122" s="9" t="str">
        <f aca="false">'2026 Forecast A'!A72</f>
        <v>Lehigh</v>
      </c>
      <c r="B122" s="9" t="str">
        <f aca="false">'2026 Forecast A'!B72</f>
        <v>ALLENTOWN</v>
      </c>
      <c r="C122" s="9" t="str">
        <f aca="false">'2026 Forecast A'!C72</f>
        <v>ALLENTOWN 11TH WARD 6TH DIST</v>
      </c>
      <c r="D122" s="10" t="n">
        <f aca="false">'2026 Forecast A'!G72</f>
        <v>0.611940298507463</v>
      </c>
      <c r="E122" s="10" t="n">
        <f aca="false">'2026 Forecast B'!G72</f>
        <v>0.616417910447761</v>
      </c>
      <c r="F122" s="10" t="n">
        <f aca="false">'2026 Forecast C'!G72</f>
        <v>0.616417910447761</v>
      </c>
      <c r="G122" s="38" t="n">
        <f aca="false">(MAX(D122:F122)-MIN(D122:F122))*100</f>
        <v>0.44776119402985</v>
      </c>
      <c r="H122" s="38" t="n">
        <f aca="false">'2026 Forecast A'!J72</f>
        <v>3.02363014511423</v>
      </c>
      <c r="I122" s="38" t="n">
        <f aca="false">'2026 Forecast B'!J72</f>
        <v>2.87918965002339</v>
      </c>
      <c r="J122" s="38" t="n">
        <f aca="false">'2026 Forecast C'!J72</f>
        <v>3.15466234357281</v>
      </c>
      <c r="K122" s="18" t="n">
        <f aca="false">'2026 Forecast A'!F72</f>
        <v>670</v>
      </c>
      <c r="L122" s="39" t="str">
        <f aca="false">IF(OR(AND(D122&gt;0.5,E122&gt;0.5,F122&gt;0.5),AND(D122&lt;0.5,E122&lt;0.5,F122&lt;0.5)),"Yes","No — toss-up")</f>
        <v>Yes</v>
      </c>
    </row>
    <row r="123" customFormat="false" ht="15" hidden="false" customHeight="false" outlineLevel="0" collapsed="false">
      <c r="A123" s="9" t="str">
        <f aca="false">'2026 Forecast A'!A73</f>
        <v>Lehigh</v>
      </c>
      <c r="B123" s="9" t="str">
        <f aca="false">'2026 Forecast A'!B73</f>
        <v>ALLENTOWN</v>
      </c>
      <c r="C123" s="9" t="str">
        <f aca="false">'2026 Forecast A'!C73</f>
        <v>ALLENTOWN 11TH WARD 7TH DIST</v>
      </c>
      <c r="D123" s="10" t="n">
        <f aca="false">'2026 Forecast A'!G73</f>
        <v>0.633879781420765</v>
      </c>
      <c r="E123" s="10" t="n">
        <f aca="false">'2026 Forecast B'!G73</f>
        <v>0.626593806921676</v>
      </c>
      <c r="F123" s="10" t="n">
        <f aca="false">'2026 Forecast C'!G73</f>
        <v>0.639344262295082</v>
      </c>
      <c r="G123" s="38" t="n">
        <f aca="false">(MAX(D123:F123)-MIN(D123:F123))*100</f>
        <v>1.27504553734062</v>
      </c>
      <c r="H123" s="38" t="n">
        <f aca="false">'2026 Forecast A'!J73</f>
        <v>3.02363014511423</v>
      </c>
      <c r="I123" s="38" t="n">
        <f aca="false">'2026 Forecast B'!J73</f>
        <v>2.87918965002339</v>
      </c>
      <c r="J123" s="38" t="n">
        <f aca="false">'2026 Forecast C'!J73</f>
        <v>3.15466234357281</v>
      </c>
      <c r="K123" s="18" t="n">
        <f aca="false">'2026 Forecast A'!F73</f>
        <v>549</v>
      </c>
      <c r="L123" s="39" t="str">
        <f aca="false">IF(OR(AND(D123&gt;0.5,E123&gt;0.5,F123&gt;0.5),AND(D123&lt;0.5,E123&lt;0.5,F123&lt;0.5)),"Yes","No — toss-up")</f>
        <v>Yes</v>
      </c>
    </row>
    <row r="124" customFormat="false" ht="15" hidden="false" customHeight="false" outlineLevel="0" collapsed="false">
      <c r="A124" s="9" t="str">
        <f aca="false">'2026 Forecast A'!A74</f>
        <v>Lehigh</v>
      </c>
      <c r="B124" s="9" t="str">
        <f aca="false">'2026 Forecast A'!B74</f>
        <v>ALLENTOWN</v>
      </c>
      <c r="C124" s="9" t="str">
        <f aca="false">'2026 Forecast A'!C74</f>
        <v>ALLENTOWN 12TH WARD 1ST DIST</v>
      </c>
      <c r="D124" s="10" t="n">
        <f aca="false">'2026 Forecast A'!G74</f>
        <v>0.685185185185185</v>
      </c>
      <c r="E124" s="10" t="n">
        <f aca="false">'2026 Forecast B'!G74</f>
        <v>0.671957671957672</v>
      </c>
      <c r="F124" s="10" t="n">
        <f aca="false">'2026 Forecast C'!G74</f>
        <v>0.690476190476191</v>
      </c>
      <c r="G124" s="38" t="n">
        <f aca="false">(MAX(D124:F124)-MIN(D124:F124))*100</f>
        <v>1.85185185185185</v>
      </c>
      <c r="H124" s="38" t="n">
        <f aca="false">'2026 Forecast A'!J74</f>
        <v>3.02363014511423</v>
      </c>
      <c r="I124" s="38" t="n">
        <f aca="false">'2026 Forecast B'!J74</f>
        <v>2.87918965002339</v>
      </c>
      <c r="J124" s="38" t="n">
        <f aca="false">'2026 Forecast C'!J74</f>
        <v>3.15466234357281</v>
      </c>
      <c r="K124" s="18" t="n">
        <f aca="false">'2026 Forecast A'!F74</f>
        <v>378</v>
      </c>
      <c r="L124" s="39" t="str">
        <f aca="false">IF(OR(AND(D124&gt;0.5,E124&gt;0.5,F124&gt;0.5),AND(D124&lt;0.5,E124&lt;0.5,F124&lt;0.5)),"Yes","No — toss-up")</f>
        <v>Yes</v>
      </c>
    </row>
    <row r="125" customFormat="false" ht="15" hidden="false" customHeight="false" outlineLevel="0" collapsed="false">
      <c r="A125" s="9" t="str">
        <f aca="false">'2026 Forecast A'!A75</f>
        <v>Lehigh</v>
      </c>
      <c r="B125" s="9" t="str">
        <f aca="false">'2026 Forecast A'!B75</f>
        <v>ALLENTOWN</v>
      </c>
      <c r="C125" s="9" t="str">
        <f aca="false">'2026 Forecast A'!C75</f>
        <v>ALLENTOWN 12TH WARD 2ND DIST</v>
      </c>
      <c r="D125" s="10" t="n">
        <f aca="false">'2026 Forecast A'!G75</f>
        <v>0.635051546391753</v>
      </c>
      <c r="E125" s="10" t="n">
        <f aca="false">'2026 Forecast B'!G75</f>
        <v>0.643298969072165</v>
      </c>
      <c r="F125" s="10" t="n">
        <f aca="false">'2026 Forecast C'!G75</f>
        <v>0.639175257731959</v>
      </c>
      <c r="G125" s="38" t="n">
        <f aca="false">(MAX(D125:F125)-MIN(D125:F125))*100</f>
        <v>0.824742268041245</v>
      </c>
      <c r="H125" s="38" t="n">
        <f aca="false">'2026 Forecast A'!J75</f>
        <v>3.02363014511423</v>
      </c>
      <c r="I125" s="38" t="n">
        <f aca="false">'2026 Forecast B'!J75</f>
        <v>2.87918965002339</v>
      </c>
      <c r="J125" s="38" t="n">
        <f aca="false">'2026 Forecast C'!J75</f>
        <v>3.15466234357281</v>
      </c>
      <c r="K125" s="18" t="n">
        <f aca="false">'2026 Forecast A'!F75</f>
        <v>485</v>
      </c>
      <c r="L125" s="39" t="str">
        <f aca="false">IF(OR(AND(D125&gt;0.5,E125&gt;0.5,F125&gt;0.5),AND(D125&lt;0.5,E125&lt;0.5,F125&lt;0.5)),"Yes","No — toss-up")</f>
        <v>Yes</v>
      </c>
    </row>
    <row r="126" customFormat="false" ht="15" hidden="false" customHeight="false" outlineLevel="0" collapsed="false">
      <c r="A126" s="9" t="str">
        <f aca="false">'2026 Forecast A'!A76</f>
        <v>Lehigh</v>
      </c>
      <c r="B126" s="9" t="str">
        <f aca="false">'2026 Forecast A'!B76</f>
        <v>ALLENTOWN</v>
      </c>
      <c r="C126" s="9" t="str">
        <f aca="false">'2026 Forecast A'!C76</f>
        <v>ALLENTOWN 12TH WARD 3RD DIST</v>
      </c>
      <c r="D126" s="10" t="n">
        <f aca="false">'2026 Forecast A'!G76</f>
        <v>0.628919860627178</v>
      </c>
      <c r="E126" s="10" t="n">
        <f aca="false">'2026 Forecast B'!G76</f>
        <v>0.627177700348432</v>
      </c>
      <c r="F126" s="10" t="n">
        <f aca="false">'2026 Forecast C'!G76</f>
        <v>0.634146341463415</v>
      </c>
      <c r="G126" s="38" t="n">
        <f aca="false">(MAX(D126:F126)-MIN(D126:F126))*100</f>
        <v>0.696864111498263</v>
      </c>
      <c r="H126" s="38" t="n">
        <f aca="false">'2026 Forecast A'!J76</f>
        <v>3.02363014511423</v>
      </c>
      <c r="I126" s="38" t="n">
        <f aca="false">'2026 Forecast B'!J76</f>
        <v>2.87918965002339</v>
      </c>
      <c r="J126" s="38" t="n">
        <f aca="false">'2026 Forecast C'!J76</f>
        <v>3.15466234357281</v>
      </c>
      <c r="K126" s="18" t="n">
        <f aca="false">'2026 Forecast A'!F76</f>
        <v>574</v>
      </c>
      <c r="L126" s="39" t="str">
        <f aca="false">IF(OR(AND(D126&gt;0.5,E126&gt;0.5,F126&gt;0.5),AND(D126&lt;0.5,E126&lt;0.5,F126&lt;0.5)),"Yes","No — toss-up")</f>
        <v>Yes</v>
      </c>
    </row>
    <row r="127" customFormat="false" ht="15" hidden="false" customHeight="false" outlineLevel="0" collapsed="false">
      <c r="A127" s="9" t="str">
        <f aca="false">'2026 Forecast A'!A77</f>
        <v>Lehigh</v>
      </c>
      <c r="B127" s="9" t="str">
        <f aca="false">'2026 Forecast A'!B77</f>
        <v>ALLENTOWN</v>
      </c>
      <c r="C127" s="9" t="str">
        <f aca="false">'2026 Forecast A'!C77</f>
        <v>ALLENTOWN 12TH WARD 4TH DIST</v>
      </c>
      <c r="D127" s="10" t="n">
        <f aca="false">'2026 Forecast A'!G77</f>
        <v>0.57685664939551</v>
      </c>
      <c r="E127" s="10" t="n">
        <f aca="false">'2026 Forecast B'!G77</f>
        <v>0.582037996545769</v>
      </c>
      <c r="F127" s="10" t="n">
        <f aca="false">'2026 Forecast C'!G77</f>
        <v>0.582037996545769</v>
      </c>
      <c r="G127" s="38" t="n">
        <f aca="false">(MAX(D127:F127)-MIN(D127:F127))*100</f>
        <v>0.518134715025909</v>
      </c>
      <c r="H127" s="38" t="n">
        <f aca="false">'2026 Forecast A'!J77</f>
        <v>3.02363014511423</v>
      </c>
      <c r="I127" s="38" t="n">
        <f aca="false">'2026 Forecast B'!J77</f>
        <v>2.87918965002339</v>
      </c>
      <c r="J127" s="38" t="n">
        <f aca="false">'2026 Forecast C'!J77</f>
        <v>3.15466234357281</v>
      </c>
      <c r="K127" s="18" t="n">
        <f aca="false">'2026 Forecast A'!F77</f>
        <v>579</v>
      </c>
      <c r="L127" s="39" t="str">
        <f aca="false">IF(OR(AND(D127&gt;0.5,E127&gt;0.5,F127&gt;0.5),AND(D127&lt;0.5,E127&lt;0.5,F127&lt;0.5)),"Yes","No — toss-up")</f>
        <v>Yes</v>
      </c>
    </row>
    <row r="128" customFormat="false" ht="15" hidden="false" customHeight="false" outlineLevel="0" collapsed="false">
      <c r="A128" s="9" t="str">
        <f aca="false">'2026 Forecast A'!A78</f>
        <v>Lehigh</v>
      </c>
      <c r="B128" s="9" t="str">
        <f aca="false">'2026 Forecast A'!B78</f>
        <v>ALLENTOWN</v>
      </c>
      <c r="C128" s="9" t="str">
        <f aca="false">'2026 Forecast A'!C78</f>
        <v>ALLENTOWN 12TH WARD 5TH DIST</v>
      </c>
      <c r="D128" s="10" t="n">
        <f aca="false">'2026 Forecast A'!G78</f>
        <v>0.611111111111111</v>
      </c>
      <c r="E128" s="10" t="n">
        <f aca="false">'2026 Forecast B'!G78</f>
        <v>0.615740740740741</v>
      </c>
      <c r="F128" s="10" t="n">
        <f aca="false">'2026 Forecast C'!G78</f>
        <v>0.613425925925926</v>
      </c>
      <c r="G128" s="38" t="n">
        <f aca="false">(MAX(D128:F128)-MIN(D128:F128))*100</f>
        <v>0.462962962962954</v>
      </c>
      <c r="H128" s="38" t="n">
        <f aca="false">'2026 Forecast A'!J78</f>
        <v>3.02363014511423</v>
      </c>
      <c r="I128" s="38" t="n">
        <f aca="false">'2026 Forecast B'!J78</f>
        <v>2.87918965002339</v>
      </c>
      <c r="J128" s="38" t="n">
        <f aca="false">'2026 Forecast C'!J78</f>
        <v>3.15466234357281</v>
      </c>
      <c r="K128" s="18" t="n">
        <f aca="false">'2026 Forecast A'!F78</f>
        <v>432</v>
      </c>
      <c r="L128" s="39" t="str">
        <f aca="false">IF(OR(AND(D128&gt;0.5,E128&gt;0.5,F128&gt;0.5),AND(D128&lt;0.5,E128&lt;0.5,F128&lt;0.5)),"Yes","No — toss-up")</f>
        <v>Yes</v>
      </c>
    </row>
    <row r="129" customFormat="false" ht="15" hidden="false" customHeight="false" outlineLevel="0" collapsed="false">
      <c r="A129" s="9" t="str">
        <f aca="false">'2026 Forecast A'!A79</f>
        <v>Lehigh</v>
      </c>
      <c r="B129" s="9" t="str">
        <f aca="false">'2026 Forecast A'!B79</f>
        <v>ALLENTOWN</v>
      </c>
      <c r="C129" s="9" t="str">
        <f aca="false">'2026 Forecast A'!C79</f>
        <v>ALLENTOWN 13TH WARD 1ST DIST</v>
      </c>
      <c r="D129" s="10" t="n">
        <f aca="false">'2026 Forecast A'!G79</f>
        <v>0.692307692307692</v>
      </c>
      <c r="E129" s="10" t="n">
        <f aca="false">'2026 Forecast B'!G79</f>
        <v>0.706043956043956</v>
      </c>
      <c r="F129" s="10" t="n">
        <f aca="false">'2026 Forecast C'!G79</f>
        <v>0.700549450549451</v>
      </c>
      <c r="G129" s="38" t="n">
        <f aca="false">(MAX(D129:F129)-MIN(D129:F129))*100</f>
        <v>1.37362637362638</v>
      </c>
      <c r="H129" s="38" t="n">
        <f aca="false">'2026 Forecast A'!J79</f>
        <v>3.02363014511423</v>
      </c>
      <c r="I129" s="38" t="n">
        <f aca="false">'2026 Forecast B'!J79</f>
        <v>2.87918965002339</v>
      </c>
      <c r="J129" s="38" t="n">
        <f aca="false">'2026 Forecast C'!J79</f>
        <v>3.15466234357281</v>
      </c>
      <c r="K129" s="18" t="n">
        <f aca="false">'2026 Forecast A'!F79</f>
        <v>364</v>
      </c>
      <c r="L129" s="39" t="str">
        <f aca="false">IF(OR(AND(D129&gt;0.5,E129&gt;0.5,F129&gt;0.5),AND(D129&lt;0.5,E129&lt;0.5,F129&lt;0.5)),"Yes","No — toss-up")</f>
        <v>Yes</v>
      </c>
    </row>
    <row r="130" customFormat="false" ht="15" hidden="false" customHeight="false" outlineLevel="0" collapsed="false">
      <c r="A130" s="9" t="str">
        <f aca="false">'2026 Forecast A'!A80</f>
        <v>Lehigh</v>
      </c>
      <c r="B130" s="9" t="str">
        <f aca="false">'2026 Forecast A'!B80</f>
        <v>ALLENTOWN</v>
      </c>
      <c r="C130" s="9" t="str">
        <f aca="false">'2026 Forecast A'!C80</f>
        <v>ALLENTOWN 13TH WARD 2ND DIST</v>
      </c>
      <c r="D130" s="10" t="n">
        <f aca="false">'2026 Forecast A'!G80</f>
        <v>0.648026315789474</v>
      </c>
      <c r="E130" s="10" t="n">
        <f aca="false">'2026 Forecast B'!G80</f>
        <v>0.657894736842105</v>
      </c>
      <c r="F130" s="10" t="n">
        <f aca="false">'2026 Forecast C'!G80</f>
        <v>0.651315789473684</v>
      </c>
      <c r="G130" s="38" t="n">
        <f aca="false">(MAX(D130:F130)-MIN(D130:F130))*100</f>
        <v>0.986842105263164</v>
      </c>
      <c r="H130" s="38" t="n">
        <f aca="false">'2026 Forecast A'!J80</f>
        <v>3.02363014511423</v>
      </c>
      <c r="I130" s="38" t="n">
        <f aca="false">'2026 Forecast B'!J80</f>
        <v>2.87918965002339</v>
      </c>
      <c r="J130" s="38" t="n">
        <f aca="false">'2026 Forecast C'!J80</f>
        <v>3.15466234357281</v>
      </c>
      <c r="K130" s="18" t="n">
        <f aca="false">'2026 Forecast A'!F80</f>
        <v>304</v>
      </c>
      <c r="L130" s="39" t="str">
        <f aca="false">IF(OR(AND(D130&gt;0.5,E130&gt;0.5,F130&gt;0.5),AND(D130&lt;0.5,E130&lt;0.5,F130&lt;0.5)),"Yes","No — toss-up")</f>
        <v>Yes</v>
      </c>
    </row>
    <row r="131" customFormat="false" ht="15" hidden="false" customHeight="false" outlineLevel="0" collapsed="false">
      <c r="A131" s="9" t="str">
        <f aca="false">'2026 Forecast A'!A81</f>
        <v>Lehigh</v>
      </c>
      <c r="B131" s="9" t="str">
        <f aca="false">'2026 Forecast A'!B81</f>
        <v>ALLENTOWN</v>
      </c>
      <c r="C131" s="9" t="str">
        <f aca="false">'2026 Forecast A'!C81</f>
        <v>ALLENTOWN 13TH WARD 3RD DIST</v>
      </c>
      <c r="D131" s="10" t="n">
        <f aca="false">'2026 Forecast A'!G81</f>
        <v>0.650632911392405</v>
      </c>
      <c r="E131" s="10" t="n">
        <f aca="false">'2026 Forecast B'!G81</f>
        <v>0.650632911392405</v>
      </c>
      <c r="F131" s="10" t="n">
        <f aca="false">'2026 Forecast C'!G81</f>
        <v>0.655696202531646</v>
      </c>
      <c r="G131" s="38" t="n">
        <f aca="false">(MAX(D131:F131)-MIN(D131:F131))*100</f>
        <v>0.506329113924053</v>
      </c>
      <c r="H131" s="38" t="n">
        <f aca="false">'2026 Forecast A'!J81</f>
        <v>3.02363014511423</v>
      </c>
      <c r="I131" s="38" t="n">
        <f aca="false">'2026 Forecast B'!J81</f>
        <v>2.87918965002339</v>
      </c>
      <c r="J131" s="38" t="n">
        <f aca="false">'2026 Forecast C'!J81</f>
        <v>3.15466234357281</v>
      </c>
      <c r="K131" s="18" t="n">
        <f aca="false">'2026 Forecast A'!F81</f>
        <v>395</v>
      </c>
      <c r="L131" s="39" t="str">
        <f aca="false">IF(OR(AND(D131&gt;0.5,E131&gt;0.5,F131&gt;0.5),AND(D131&lt;0.5,E131&lt;0.5,F131&lt;0.5)),"Yes","No — toss-up")</f>
        <v>Yes</v>
      </c>
    </row>
    <row r="132" customFormat="false" ht="15" hidden="false" customHeight="false" outlineLevel="0" collapsed="false">
      <c r="A132" s="9" t="str">
        <f aca="false">'2026 Forecast A'!A82</f>
        <v>Lehigh</v>
      </c>
      <c r="B132" s="9" t="str">
        <f aca="false">'2026 Forecast A'!B82</f>
        <v>ALLENTOWN</v>
      </c>
      <c r="C132" s="9" t="str">
        <f aca="false">'2026 Forecast A'!C82</f>
        <v>ALLENTOWN 13TH WARD 4TH DIST</v>
      </c>
      <c r="D132" s="10" t="n">
        <f aca="false">'2026 Forecast A'!G82</f>
        <v>0.677740863787375</v>
      </c>
      <c r="E132" s="10" t="n">
        <f aca="false">'2026 Forecast B'!G82</f>
        <v>0.684385382059801</v>
      </c>
      <c r="F132" s="10" t="n">
        <f aca="false">'2026 Forecast C'!G82</f>
        <v>0.681063122923588</v>
      </c>
      <c r="G132" s="38" t="n">
        <f aca="false">(MAX(D132:F132)-MIN(D132:F132))*100</f>
        <v>0.664451827242529</v>
      </c>
      <c r="H132" s="38" t="n">
        <f aca="false">'2026 Forecast A'!J82</f>
        <v>3.02363014511423</v>
      </c>
      <c r="I132" s="38" t="n">
        <f aca="false">'2026 Forecast B'!J82</f>
        <v>2.87918965002339</v>
      </c>
      <c r="J132" s="38" t="n">
        <f aca="false">'2026 Forecast C'!J82</f>
        <v>3.15466234357281</v>
      </c>
      <c r="K132" s="18" t="n">
        <f aca="false">'2026 Forecast A'!F82</f>
        <v>301</v>
      </c>
      <c r="L132" s="39" t="str">
        <f aca="false">IF(OR(AND(D132&gt;0.5,E132&gt;0.5,F132&gt;0.5),AND(D132&lt;0.5,E132&lt;0.5,F132&lt;0.5)),"Yes","No — toss-up")</f>
        <v>Yes</v>
      </c>
    </row>
    <row r="133" customFormat="false" ht="15" hidden="false" customHeight="false" outlineLevel="0" collapsed="false">
      <c r="A133" s="9" t="str">
        <f aca="false">'2026 Forecast A'!A83</f>
        <v>Lehigh</v>
      </c>
      <c r="B133" s="9" t="str">
        <f aca="false">'2026 Forecast A'!B83</f>
        <v>ALLENTOWN</v>
      </c>
      <c r="C133" s="9" t="str">
        <f aca="false">'2026 Forecast A'!C83</f>
        <v>ALLENTOWN 14TH WARD 1ST DIST</v>
      </c>
      <c r="D133" s="10" t="n">
        <f aca="false">'2026 Forecast A'!G83</f>
        <v>0.638225255972696</v>
      </c>
      <c r="E133" s="10" t="n">
        <f aca="false">'2026 Forecast B'!G83</f>
        <v>0.639931740614334</v>
      </c>
      <c r="F133" s="10" t="n">
        <f aca="false">'2026 Forecast C'!G83</f>
        <v>0.641638225255973</v>
      </c>
      <c r="G133" s="38" t="n">
        <f aca="false">(MAX(D133:F133)-MIN(D133:F133))*100</f>
        <v>0.34129692832765</v>
      </c>
      <c r="H133" s="38" t="n">
        <f aca="false">'2026 Forecast A'!J83</f>
        <v>3.02363014511423</v>
      </c>
      <c r="I133" s="38" t="n">
        <f aca="false">'2026 Forecast B'!J83</f>
        <v>2.87918965002339</v>
      </c>
      <c r="J133" s="38" t="n">
        <f aca="false">'2026 Forecast C'!J83</f>
        <v>3.15466234357281</v>
      </c>
      <c r="K133" s="18" t="n">
        <f aca="false">'2026 Forecast A'!F83</f>
        <v>586</v>
      </c>
      <c r="L133" s="39" t="str">
        <f aca="false">IF(OR(AND(D133&gt;0.5,E133&gt;0.5,F133&gt;0.5),AND(D133&lt;0.5,E133&lt;0.5,F133&lt;0.5)),"Yes","No — toss-up")</f>
        <v>Yes</v>
      </c>
    </row>
    <row r="134" customFormat="false" ht="15" hidden="false" customHeight="false" outlineLevel="0" collapsed="false">
      <c r="A134" s="9" t="str">
        <f aca="false">'2026 Forecast A'!A84</f>
        <v>Lehigh</v>
      </c>
      <c r="B134" s="9" t="str">
        <f aca="false">'2026 Forecast A'!B84</f>
        <v>ALLENTOWN</v>
      </c>
      <c r="C134" s="9" t="str">
        <f aca="false">'2026 Forecast A'!C84</f>
        <v>ALLENTOWN 14TH WARD 2ND DIST</v>
      </c>
      <c r="D134" s="10" t="n">
        <f aca="false">'2026 Forecast A'!G84</f>
        <v>0.640980735551664</v>
      </c>
      <c r="E134" s="10" t="n">
        <f aca="false">'2026 Forecast B'!G84</f>
        <v>0.649737302977233</v>
      </c>
      <c r="F134" s="10" t="n">
        <f aca="false">'2026 Forecast C'!G84</f>
        <v>0.646234676007005</v>
      </c>
      <c r="G134" s="38" t="n">
        <f aca="false">(MAX(D134:F134)-MIN(D134:F134))*100</f>
        <v>0.875656742556918</v>
      </c>
      <c r="H134" s="38" t="n">
        <f aca="false">'2026 Forecast A'!J84</f>
        <v>3.02363014511423</v>
      </c>
      <c r="I134" s="38" t="n">
        <f aca="false">'2026 Forecast B'!J84</f>
        <v>2.87918965002339</v>
      </c>
      <c r="J134" s="38" t="n">
        <f aca="false">'2026 Forecast C'!J84</f>
        <v>3.15466234357281</v>
      </c>
      <c r="K134" s="18" t="n">
        <f aca="false">'2026 Forecast A'!F84</f>
        <v>571</v>
      </c>
      <c r="L134" s="39" t="str">
        <f aca="false">IF(OR(AND(D134&gt;0.5,E134&gt;0.5,F134&gt;0.5),AND(D134&lt;0.5,E134&lt;0.5,F134&lt;0.5)),"Yes","No — toss-up")</f>
        <v>Yes</v>
      </c>
    </row>
    <row r="135" customFormat="false" ht="15" hidden="false" customHeight="false" outlineLevel="0" collapsed="false">
      <c r="A135" s="9" t="str">
        <f aca="false">'2026 Forecast A'!A85</f>
        <v>Lehigh</v>
      </c>
      <c r="B135" s="9" t="str">
        <f aca="false">'2026 Forecast A'!B85</f>
        <v>ALLENTOWN</v>
      </c>
      <c r="C135" s="9" t="str">
        <f aca="false">'2026 Forecast A'!C85</f>
        <v>ALLENTOWN 15TH WARD 1ST DIST</v>
      </c>
      <c r="D135" s="10" t="n">
        <f aca="false">'2026 Forecast A'!G85</f>
        <v>0.569789674952199</v>
      </c>
      <c r="E135" s="10" t="n">
        <f aca="false">'2026 Forecast B'!G85</f>
        <v>0.586998087954111</v>
      </c>
      <c r="F135" s="10" t="n">
        <f aca="false">'2026 Forecast C'!G85</f>
        <v>0.5717017208413</v>
      </c>
      <c r="G135" s="38" t="n">
        <f aca="false">(MAX(D135:F135)-MIN(D135:F135))*100</f>
        <v>1.7208413001912</v>
      </c>
      <c r="H135" s="38" t="n">
        <f aca="false">'2026 Forecast A'!J85</f>
        <v>3.02363014511423</v>
      </c>
      <c r="I135" s="38" t="n">
        <f aca="false">'2026 Forecast B'!J85</f>
        <v>2.87918965002339</v>
      </c>
      <c r="J135" s="38" t="n">
        <f aca="false">'2026 Forecast C'!J85</f>
        <v>3.15466234357281</v>
      </c>
      <c r="K135" s="18" t="n">
        <f aca="false">'2026 Forecast A'!F85</f>
        <v>523</v>
      </c>
      <c r="L135" s="39" t="str">
        <f aca="false">IF(OR(AND(D135&gt;0.5,E135&gt;0.5,F135&gt;0.5),AND(D135&lt;0.5,E135&lt;0.5,F135&lt;0.5)),"Yes","No — toss-up")</f>
        <v>Yes</v>
      </c>
    </row>
    <row r="136" customFormat="false" ht="15" hidden="false" customHeight="false" outlineLevel="0" collapsed="false">
      <c r="A136" s="9" t="str">
        <f aca="false">'2026 Forecast A'!A86</f>
        <v>Lehigh</v>
      </c>
      <c r="B136" s="9" t="str">
        <f aca="false">'2026 Forecast A'!B86</f>
        <v>ALLENTOWN</v>
      </c>
      <c r="C136" s="9" t="str">
        <f aca="false">'2026 Forecast A'!C86</f>
        <v>ALLENTOWN 15TH WARD 2ND DIST</v>
      </c>
      <c r="D136" s="10" t="n">
        <f aca="false">'2026 Forecast A'!G86</f>
        <v>0.616393442622951</v>
      </c>
      <c r="E136" s="10" t="n">
        <f aca="false">'2026 Forecast B'!G86</f>
        <v>0.627868852459016</v>
      </c>
      <c r="F136" s="10" t="n">
        <f aca="false">'2026 Forecast C'!G86</f>
        <v>0.621311475409836</v>
      </c>
      <c r="G136" s="38" t="n">
        <f aca="false">(MAX(D136:F136)-MIN(D136:F136))*100</f>
        <v>1.14754098360655</v>
      </c>
      <c r="H136" s="38" t="n">
        <f aca="false">'2026 Forecast A'!J86</f>
        <v>3.02363014511423</v>
      </c>
      <c r="I136" s="38" t="n">
        <f aca="false">'2026 Forecast B'!J86</f>
        <v>2.87918965002339</v>
      </c>
      <c r="J136" s="38" t="n">
        <f aca="false">'2026 Forecast C'!J86</f>
        <v>3.15466234357281</v>
      </c>
      <c r="K136" s="18" t="n">
        <f aca="false">'2026 Forecast A'!F86</f>
        <v>610</v>
      </c>
      <c r="L136" s="39" t="str">
        <f aca="false">IF(OR(AND(D136&gt;0.5,E136&gt;0.5,F136&gt;0.5),AND(D136&lt;0.5,E136&lt;0.5,F136&lt;0.5)),"Yes","No — toss-up")</f>
        <v>Yes</v>
      </c>
    </row>
    <row r="137" customFormat="false" ht="15" hidden="false" customHeight="false" outlineLevel="0" collapsed="false">
      <c r="A137" s="9" t="str">
        <f aca="false">'2026 Forecast A'!A87</f>
        <v>Lehigh</v>
      </c>
      <c r="B137" s="9" t="str">
        <f aca="false">'2026 Forecast A'!B87</f>
        <v>ALLENTOWN</v>
      </c>
      <c r="C137" s="9" t="str">
        <f aca="false">'2026 Forecast A'!C87</f>
        <v>ALLENTOWN 15TH WARD 3RD DIST</v>
      </c>
      <c r="D137" s="10" t="n">
        <f aca="false">'2026 Forecast A'!G87</f>
        <v>0.619676945668135</v>
      </c>
      <c r="E137" s="10" t="n">
        <f aca="false">'2026 Forecast B'!G87</f>
        <v>0.622613803230543</v>
      </c>
      <c r="F137" s="10" t="n">
        <f aca="false">'2026 Forecast C'!G87</f>
        <v>0.624082232011747</v>
      </c>
      <c r="G137" s="38" t="n">
        <f aca="false">(MAX(D137:F137)-MIN(D137:F137))*100</f>
        <v>0.440528634361226</v>
      </c>
      <c r="H137" s="38" t="n">
        <f aca="false">'2026 Forecast A'!J87</f>
        <v>3.02363014511423</v>
      </c>
      <c r="I137" s="38" t="n">
        <f aca="false">'2026 Forecast B'!J87</f>
        <v>2.87918965002339</v>
      </c>
      <c r="J137" s="38" t="n">
        <f aca="false">'2026 Forecast C'!J87</f>
        <v>3.15466234357281</v>
      </c>
      <c r="K137" s="18" t="n">
        <f aca="false">'2026 Forecast A'!F87</f>
        <v>681</v>
      </c>
      <c r="L137" s="39" t="str">
        <f aca="false">IF(OR(AND(D137&gt;0.5,E137&gt;0.5,F137&gt;0.5),AND(D137&lt;0.5,E137&lt;0.5,F137&lt;0.5)),"Yes","No — toss-up")</f>
        <v>Yes</v>
      </c>
    </row>
    <row r="138" customFormat="false" ht="15" hidden="false" customHeight="false" outlineLevel="0" collapsed="false">
      <c r="A138" s="9" t="str">
        <f aca="false">'2026 Forecast A'!A88</f>
        <v>Lehigh</v>
      </c>
      <c r="B138" s="9" t="str">
        <f aca="false">'2026 Forecast A'!B88</f>
        <v>ALLENTOWN</v>
      </c>
      <c r="C138" s="9" t="str">
        <f aca="false">'2026 Forecast A'!C88</f>
        <v>ALLENTOWN 15TH WARD 4TH DIST</v>
      </c>
      <c r="D138" s="10" t="n">
        <f aca="false">'2026 Forecast A'!G88</f>
        <v>0.579268292682927</v>
      </c>
      <c r="E138" s="10" t="n">
        <f aca="false">'2026 Forecast B'!G88</f>
        <v>0.59349593495935</v>
      </c>
      <c r="F138" s="10" t="n">
        <f aca="false">'2026 Forecast C'!G88</f>
        <v>0.583333333333333</v>
      </c>
      <c r="G138" s="38" t="n">
        <f aca="false">(MAX(D138:F138)-MIN(D138:F138))*100</f>
        <v>1.42276422764228</v>
      </c>
      <c r="H138" s="38" t="n">
        <f aca="false">'2026 Forecast A'!J88</f>
        <v>3.02363014511423</v>
      </c>
      <c r="I138" s="38" t="n">
        <f aca="false">'2026 Forecast B'!J88</f>
        <v>2.87918965002339</v>
      </c>
      <c r="J138" s="38" t="n">
        <f aca="false">'2026 Forecast C'!J88</f>
        <v>3.15466234357281</v>
      </c>
      <c r="K138" s="18" t="n">
        <f aca="false">'2026 Forecast A'!F88</f>
        <v>492</v>
      </c>
      <c r="L138" s="39" t="str">
        <f aca="false">IF(OR(AND(D138&gt;0.5,E138&gt;0.5,F138&gt;0.5),AND(D138&lt;0.5,E138&lt;0.5,F138&lt;0.5)),"Yes","No — toss-up")</f>
        <v>Yes</v>
      </c>
    </row>
    <row r="139" customFormat="false" ht="15" hidden="false" customHeight="false" outlineLevel="0" collapsed="false">
      <c r="A139" s="9" t="str">
        <f aca="false">'2026 Forecast A'!A89</f>
        <v>Lehigh</v>
      </c>
      <c r="B139" s="9" t="str">
        <f aca="false">'2026 Forecast A'!B89</f>
        <v>ALLENTOWN</v>
      </c>
      <c r="C139" s="9" t="str">
        <f aca="false">'2026 Forecast A'!C89</f>
        <v>ALLENTOWN 16TH WARD 1ST DIST</v>
      </c>
      <c r="D139" s="10" t="n">
        <f aca="false">'2026 Forecast A'!G89</f>
        <v>0.619565217391304</v>
      </c>
      <c r="E139" s="10" t="n">
        <f aca="false">'2026 Forecast B'!G89</f>
        <v>0.630434782608696</v>
      </c>
      <c r="F139" s="10" t="n">
        <f aca="false">'2026 Forecast C'!G89</f>
        <v>0.623913043478261</v>
      </c>
      <c r="G139" s="38" t="n">
        <f aca="false">(MAX(D139:F139)-MIN(D139:F139))*100</f>
        <v>1.08695652173914</v>
      </c>
      <c r="H139" s="38" t="n">
        <f aca="false">'2026 Forecast A'!J89</f>
        <v>3.02363014511423</v>
      </c>
      <c r="I139" s="38" t="n">
        <f aca="false">'2026 Forecast B'!J89</f>
        <v>2.87918965002339</v>
      </c>
      <c r="J139" s="38" t="n">
        <f aca="false">'2026 Forecast C'!J89</f>
        <v>3.15466234357281</v>
      </c>
      <c r="K139" s="18" t="n">
        <f aca="false">'2026 Forecast A'!F89</f>
        <v>460</v>
      </c>
      <c r="L139" s="39" t="str">
        <f aca="false">IF(OR(AND(D139&gt;0.5,E139&gt;0.5,F139&gt;0.5),AND(D139&lt;0.5,E139&lt;0.5,F139&lt;0.5)),"Yes","No — toss-up")</f>
        <v>Yes</v>
      </c>
    </row>
    <row r="140" customFormat="false" ht="15" hidden="false" customHeight="false" outlineLevel="0" collapsed="false">
      <c r="A140" s="9" t="str">
        <f aca="false">'2026 Forecast A'!A90</f>
        <v>Lehigh</v>
      </c>
      <c r="B140" s="9" t="str">
        <f aca="false">'2026 Forecast A'!B90</f>
        <v>ALLENTOWN</v>
      </c>
      <c r="C140" s="9" t="str">
        <f aca="false">'2026 Forecast A'!C90</f>
        <v>ALLENTOWN 16TH WARD 2ND DIST</v>
      </c>
      <c r="D140" s="10" t="n">
        <f aca="false">'2026 Forecast A'!G90</f>
        <v>0.591961023142509</v>
      </c>
      <c r="E140" s="10" t="n">
        <f aca="false">'2026 Forecast B'!G90</f>
        <v>0.602923264311815</v>
      </c>
      <c r="F140" s="10" t="n">
        <f aca="false">'2026 Forecast C'!G90</f>
        <v>0.594397076735688</v>
      </c>
      <c r="G140" s="38" t="n">
        <f aca="false">(MAX(D140:F140)-MIN(D140:F140))*100</f>
        <v>1.09622411693058</v>
      </c>
      <c r="H140" s="38" t="n">
        <f aca="false">'2026 Forecast A'!J90</f>
        <v>1.80877416096373</v>
      </c>
      <c r="I140" s="38" t="n">
        <f aca="false">'2026 Forecast B'!J90</f>
        <v>1.9254971424187</v>
      </c>
      <c r="J140" s="38" t="n">
        <f aca="false">'2026 Forecast C'!J90</f>
        <v>1.88510957763259</v>
      </c>
      <c r="K140" s="18" t="n">
        <f aca="false">'2026 Forecast A'!F90</f>
        <v>821</v>
      </c>
      <c r="L140" s="39" t="str">
        <f aca="false">IF(OR(AND(D140&gt;0.5,E140&gt;0.5,F140&gt;0.5),AND(D140&lt;0.5,E140&lt;0.5,F140&lt;0.5)),"Yes","No — toss-up")</f>
        <v>Yes</v>
      </c>
    </row>
    <row r="141" customFormat="false" ht="15" hidden="false" customHeight="false" outlineLevel="0" collapsed="false">
      <c r="A141" s="9" t="str">
        <f aca="false">'2026 Forecast A'!A91</f>
        <v>Lehigh</v>
      </c>
      <c r="B141" s="9" t="str">
        <f aca="false">'2026 Forecast A'!B91</f>
        <v>ALLENTOWN</v>
      </c>
      <c r="C141" s="9" t="str">
        <f aca="false">'2026 Forecast A'!C91</f>
        <v>ALLENTOWN 17TH WARD 1ST DIST</v>
      </c>
      <c r="D141" s="10" t="n">
        <f aca="false">'2026 Forecast A'!G91</f>
        <v>0.676923076923077</v>
      </c>
      <c r="E141" s="10" t="n">
        <f aca="false">'2026 Forecast B'!G91</f>
        <v>0.673076923076923</v>
      </c>
      <c r="F141" s="10" t="n">
        <f aca="false">'2026 Forecast C'!G91</f>
        <v>0.682692307692308</v>
      </c>
      <c r="G141" s="38" t="n">
        <f aca="false">(MAX(D141:F141)-MIN(D141:F141))*100</f>
        <v>0.961538461538458</v>
      </c>
      <c r="H141" s="38" t="n">
        <f aca="false">'2026 Forecast A'!J91</f>
        <v>3.02363014511423</v>
      </c>
      <c r="I141" s="38" t="n">
        <f aca="false">'2026 Forecast B'!J91</f>
        <v>2.87918965002339</v>
      </c>
      <c r="J141" s="38" t="n">
        <f aca="false">'2026 Forecast C'!J91</f>
        <v>3.15466234357281</v>
      </c>
      <c r="K141" s="18" t="n">
        <f aca="false">'2026 Forecast A'!F91</f>
        <v>520</v>
      </c>
      <c r="L141" s="39" t="str">
        <f aca="false">IF(OR(AND(D141&gt;0.5,E141&gt;0.5,F141&gt;0.5),AND(D141&lt;0.5,E141&lt;0.5,F141&lt;0.5)),"Yes","No — toss-up")</f>
        <v>Yes</v>
      </c>
    </row>
    <row r="142" customFormat="false" ht="15" hidden="false" customHeight="false" outlineLevel="0" collapsed="false">
      <c r="A142" s="9" t="str">
        <f aca="false">'2026 Forecast A'!A92</f>
        <v>Lehigh</v>
      </c>
      <c r="B142" s="9" t="str">
        <f aca="false">'2026 Forecast A'!B92</f>
        <v>ALLENTOWN</v>
      </c>
      <c r="C142" s="9" t="str">
        <f aca="false">'2026 Forecast A'!C92</f>
        <v>ALLENTOWN 17TH WARD 2ND DIST</v>
      </c>
      <c r="D142" s="10" t="n">
        <f aca="false">'2026 Forecast A'!G92</f>
        <v>0.645056726094003</v>
      </c>
      <c r="E142" s="10" t="n">
        <f aca="false">'2026 Forecast B'!G92</f>
        <v>0.630470016207456</v>
      </c>
      <c r="F142" s="10" t="n">
        <f aca="false">'2026 Forecast C'!G92</f>
        <v>0.651539708265802</v>
      </c>
      <c r="G142" s="38" t="n">
        <f aca="false">(MAX(D142:F142)-MIN(D142:F142))*100</f>
        <v>2.10696920583469</v>
      </c>
      <c r="H142" s="38" t="n">
        <f aca="false">'2026 Forecast A'!J92</f>
        <v>3.02363014511423</v>
      </c>
      <c r="I142" s="38" t="n">
        <f aca="false">'2026 Forecast B'!J92</f>
        <v>2.87918965002339</v>
      </c>
      <c r="J142" s="38" t="n">
        <f aca="false">'2026 Forecast C'!J92</f>
        <v>3.15466234357281</v>
      </c>
      <c r="K142" s="18" t="n">
        <f aca="false">'2026 Forecast A'!F92</f>
        <v>617</v>
      </c>
      <c r="L142" s="39" t="str">
        <f aca="false">IF(OR(AND(D142&gt;0.5,E142&gt;0.5,F142&gt;0.5),AND(D142&lt;0.5,E142&lt;0.5,F142&lt;0.5)),"Yes","No — toss-up")</f>
        <v>Yes</v>
      </c>
    </row>
    <row r="143" customFormat="false" ht="15" hidden="false" customHeight="false" outlineLevel="0" collapsed="false">
      <c r="A143" s="9" t="str">
        <f aca="false">'2026 Forecast A'!A93</f>
        <v>Lehigh</v>
      </c>
      <c r="B143" s="9" t="str">
        <f aca="false">'2026 Forecast A'!B93</f>
        <v>ALLENTOWN</v>
      </c>
      <c r="C143" s="9" t="str">
        <f aca="false">'2026 Forecast A'!C93</f>
        <v>ALLENTOWN 17TH WARD 3RD DIST</v>
      </c>
      <c r="D143" s="10" t="n">
        <f aca="false">'2026 Forecast A'!G93</f>
        <v>0.636094674556213</v>
      </c>
      <c r="E143" s="10" t="n">
        <f aca="false">'2026 Forecast B'!G93</f>
        <v>0.615384615384615</v>
      </c>
      <c r="F143" s="10" t="n">
        <f aca="false">'2026 Forecast C'!G93</f>
        <v>0.643491124260355</v>
      </c>
      <c r="G143" s="38" t="n">
        <f aca="false">(MAX(D143:F143)-MIN(D143:F143))*100</f>
        <v>2.81065088757396</v>
      </c>
      <c r="H143" s="38" t="n">
        <f aca="false">'2026 Forecast A'!J93</f>
        <v>3.02363014511423</v>
      </c>
      <c r="I143" s="38" t="n">
        <f aca="false">'2026 Forecast B'!J93</f>
        <v>2.87918965002339</v>
      </c>
      <c r="J143" s="38" t="n">
        <f aca="false">'2026 Forecast C'!J93</f>
        <v>3.15466234357281</v>
      </c>
      <c r="K143" s="18" t="n">
        <f aca="false">'2026 Forecast A'!F93</f>
        <v>676</v>
      </c>
      <c r="L143" s="39" t="str">
        <f aca="false">IF(OR(AND(D143&gt;0.5,E143&gt;0.5,F143&gt;0.5),AND(D143&lt;0.5,E143&lt;0.5,F143&lt;0.5)),"Yes","No — toss-up")</f>
        <v>Yes</v>
      </c>
    </row>
    <row r="144" customFormat="false" ht="15" hidden="false" customHeight="false" outlineLevel="0" collapsed="false">
      <c r="A144" s="9" t="str">
        <f aca="false">'2026 Forecast A'!A94</f>
        <v>Lehigh</v>
      </c>
      <c r="B144" s="9" t="str">
        <f aca="false">'2026 Forecast A'!B94</f>
        <v>ALLENTOWN</v>
      </c>
      <c r="C144" s="9" t="str">
        <f aca="false">'2026 Forecast A'!C94</f>
        <v>ALLENTOWN 17TH WARD 4TH DIST</v>
      </c>
      <c r="D144" s="10" t="n">
        <f aca="false">'2026 Forecast A'!G94</f>
        <v>0.558558558558559</v>
      </c>
      <c r="E144" s="10" t="n">
        <f aca="false">'2026 Forecast B'!G94</f>
        <v>0.556756756756757</v>
      </c>
      <c r="F144" s="10" t="n">
        <f aca="false">'2026 Forecast C'!G94</f>
        <v>0.56036036036036</v>
      </c>
      <c r="G144" s="38" t="n">
        <f aca="false">(MAX(D144:F144)-MIN(D144:F144))*100</f>
        <v>0.360360360360368</v>
      </c>
      <c r="H144" s="38" t="n">
        <f aca="false">'2026 Forecast A'!J94</f>
        <v>3.02363014511423</v>
      </c>
      <c r="I144" s="38" t="n">
        <f aca="false">'2026 Forecast B'!J94</f>
        <v>2.87918965002339</v>
      </c>
      <c r="J144" s="38" t="n">
        <f aca="false">'2026 Forecast C'!J94</f>
        <v>3.15466234357281</v>
      </c>
      <c r="K144" s="18" t="n">
        <f aca="false">'2026 Forecast A'!F94</f>
        <v>555</v>
      </c>
      <c r="L144" s="39" t="str">
        <f aca="false">IF(OR(AND(D144&gt;0.5,E144&gt;0.5,F144&gt;0.5),AND(D144&lt;0.5,E144&lt;0.5,F144&lt;0.5)),"Yes","No — toss-up")</f>
        <v>Yes</v>
      </c>
    </row>
    <row r="145" customFormat="false" ht="15" hidden="false" customHeight="false" outlineLevel="0" collapsed="false">
      <c r="A145" s="9" t="str">
        <f aca="false">'2026 Forecast A'!A95</f>
        <v>Lehigh</v>
      </c>
      <c r="B145" s="9" t="str">
        <f aca="false">'2026 Forecast A'!B95</f>
        <v>ALLENTOWN</v>
      </c>
      <c r="C145" s="9" t="str">
        <f aca="false">'2026 Forecast A'!C95</f>
        <v>ALLENTOWN 17TH WD 4TH DT PARK</v>
      </c>
      <c r="D145" s="10" t="n">
        <f aca="false">'2026 Forecast A'!G95</f>
        <v>0.558339859044636</v>
      </c>
      <c r="E145" s="10" t="n">
        <f aca="false">'2026 Forecast B'!G95</f>
        <v>0.563821456538763</v>
      </c>
      <c r="F145" s="10" t="n">
        <f aca="false">'2026 Forecast C'!G95</f>
        <v>0.55912294440094</v>
      </c>
      <c r="G145" s="38" t="n">
        <f aca="false">(MAX(D145:F145)-MIN(D145:F145))*100</f>
        <v>0.54815974941268</v>
      </c>
      <c r="H145" s="38" t="n">
        <f aca="false">'2026 Forecast A'!J95</f>
        <v>1.24981746705324</v>
      </c>
      <c r="I145" s="38" t="n">
        <f aca="false">'2026 Forecast B'!J95</f>
        <v>1.86991787188303</v>
      </c>
      <c r="J145" s="38" t="n">
        <f aca="false">'2026 Forecast C'!J95</f>
        <v>1.24424911322721</v>
      </c>
      <c r="K145" s="18" t="n">
        <f aca="false">'2026 Forecast A'!F95</f>
        <v>1277</v>
      </c>
      <c r="L145" s="39" t="str">
        <f aca="false">IF(OR(AND(D145&gt;0.5,E145&gt;0.5,F145&gt;0.5),AND(D145&lt;0.5,E145&lt;0.5,F145&lt;0.5)),"Yes","No — toss-up")</f>
        <v>Yes</v>
      </c>
    </row>
    <row r="146" customFormat="false" ht="15" hidden="false" customHeight="false" outlineLevel="0" collapsed="false">
      <c r="A146" s="9" t="str">
        <f aca="false">'2026 Forecast A'!A96</f>
        <v>Lehigh</v>
      </c>
      <c r="B146" s="9" t="str">
        <f aca="false">'2026 Forecast A'!B96</f>
        <v>ALLENTOWN</v>
      </c>
      <c r="C146" s="9" t="str">
        <f aca="false">'2026 Forecast A'!C96</f>
        <v>ALLENTOWN 18TH WARD 1ST DIST</v>
      </c>
      <c r="D146" s="10" t="n">
        <f aca="false">'2026 Forecast A'!G96</f>
        <v>0.676923076923077</v>
      </c>
      <c r="E146" s="10" t="n">
        <f aca="false">'2026 Forecast B'!G96</f>
        <v>0.67008547008547</v>
      </c>
      <c r="F146" s="10" t="n">
        <f aca="false">'2026 Forecast C'!G96</f>
        <v>0.683760683760684</v>
      </c>
      <c r="G146" s="38" t="n">
        <f aca="false">(MAX(D146:F146)-MIN(D146:F146))*100</f>
        <v>1.36752136752137</v>
      </c>
      <c r="H146" s="38" t="n">
        <f aca="false">'2026 Forecast A'!J96</f>
        <v>3.02363014511423</v>
      </c>
      <c r="I146" s="38" t="n">
        <f aca="false">'2026 Forecast B'!J96</f>
        <v>2.87918965002339</v>
      </c>
      <c r="J146" s="38" t="n">
        <f aca="false">'2026 Forecast C'!J96</f>
        <v>3.15466234357281</v>
      </c>
      <c r="K146" s="18" t="n">
        <f aca="false">'2026 Forecast A'!F96</f>
        <v>585</v>
      </c>
      <c r="L146" s="39" t="str">
        <f aca="false">IF(OR(AND(D146&gt;0.5,E146&gt;0.5,F146&gt;0.5),AND(D146&lt;0.5,E146&lt;0.5,F146&lt;0.5)),"Yes","No — toss-up")</f>
        <v>Yes</v>
      </c>
    </row>
    <row r="147" customFormat="false" ht="15" hidden="false" customHeight="false" outlineLevel="0" collapsed="false">
      <c r="A147" s="9" t="str">
        <f aca="false">'2026 Forecast A'!A97</f>
        <v>Lehigh</v>
      </c>
      <c r="B147" s="9" t="str">
        <f aca="false">'2026 Forecast A'!B97</f>
        <v>ALLENTOWN</v>
      </c>
      <c r="C147" s="9" t="str">
        <f aca="false">'2026 Forecast A'!C97</f>
        <v>ALLENTOWN 18TH WARD 2ND DIST</v>
      </c>
      <c r="D147" s="10" t="n">
        <f aca="false">'2026 Forecast A'!G97</f>
        <v>0.621656050955414</v>
      </c>
      <c r="E147" s="10" t="n">
        <f aca="false">'2026 Forecast B'!G97</f>
        <v>0.617834394904459</v>
      </c>
      <c r="F147" s="10" t="n">
        <f aca="false">'2026 Forecast C'!G97</f>
        <v>0.625477707006369</v>
      </c>
      <c r="G147" s="38" t="n">
        <f aca="false">(MAX(D147:F147)-MIN(D147:F147))*100</f>
        <v>0.764331210191083</v>
      </c>
      <c r="H147" s="38" t="n">
        <f aca="false">'2026 Forecast A'!J97</f>
        <v>1.80877416096373</v>
      </c>
      <c r="I147" s="38" t="n">
        <f aca="false">'2026 Forecast B'!J97</f>
        <v>1.9254971424187</v>
      </c>
      <c r="J147" s="38" t="n">
        <f aca="false">'2026 Forecast C'!J97</f>
        <v>1.88510957763259</v>
      </c>
      <c r="K147" s="18" t="n">
        <f aca="false">'2026 Forecast A'!F97</f>
        <v>785</v>
      </c>
      <c r="L147" s="39" t="str">
        <f aca="false">IF(OR(AND(D147&gt;0.5,E147&gt;0.5,F147&gt;0.5),AND(D147&lt;0.5,E147&lt;0.5,F147&lt;0.5)),"Yes","No — toss-up")</f>
        <v>Yes</v>
      </c>
    </row>
    <row r="148" customFormat="false" ht="15" hidden="false" customHeight="false" outlineLevel="0" collapsed="false">
      <c r="A148" s="9" t="str">
        <f aca="false">'2026 Forecast A'!A98</f>
        <v>Lehigh</v>
      </c>
      <c r="B148" s="9" t="str">
        <f aca="false">'2026 Forecast A'!B98</f>
        <v>ALLENTOWN</v>
      </c>
      <c r="C148" s="9" t="str">
        <f aca="false">'2026 Forecast A'!C98</f>
        <v>ALLENTOWN 18TH WD 2ND DT PARK</v>
      </c>
      <c r="D148" s="10" t="n">
        <f aca="false">'2026 Forecast A'!G98</f>
        <v>0.545454545454545</v>
      </c>
      <c r="E148" s="10" t="n">
        <f aca="false">'2026 Forecast B'!G98</f>
        <v>0.545454545454545</v>
      </c>
      <c r="F148" s="10" t="n">
        <f aca="false">'2026 Forecast C'!G98</f>
        <v>0.545454545454545</v>
      </c>
      <c r="G148" s="38" t="n">
        <f aca="false">(MAX(D148:F148)-MIN(D148:F148))*100</f>
        <v>0</v>
      </c>
      <c r="H148" s="38" t="n">
        <f aca="false">'2026 Forecast A'!J98</f>
        <v>3.02363014511423</v>
      </c>
      <c r="I148" s="38" t="n">
        <f aca="false">'2026 Forecast B'!J98</f>
        <v>2.87918965002339</v>
      </c>
      <c r="J148" s="38" t="n">
        <f aca="false">'2026 Forecast C'!J98</f>
        <v>3.15466234357281</v>
      </c>
      <c r="K148" s="18" t="n">
        <f aca="false">'2026 Forecast A'!F98</f>
        <v>22</v>
      </c>
      <c r="L148" s="39" t="str">
        <f aca="false">IF(OR(AND(D148&gt;0.5,E148&gt;0.5,F148&gt;0.5),AND(D148&lt;0.5,E148&lt;0.5,F148&lt;0.5)),"Yes","No — toss-up")</f>
        <v>Yes</v>
      </c>
    </row>
    <row r="149" customFormat="false" ht="15" hidden="false" customHeight="false" outlineLevel="0" collapsed="false">
      <c r="A149" s="9" t="str">
        <f aca="false">'2026 Forecast A'!A99</f>
        <v>Lehigh</v>
      </c>
      <c r="B149" s="9" t="str">
        <f aca="false">'2026 Forecast A'!B99</f>
        <v>ALLENTOWN</v>
      </c>
      <c r="C149" s="9" t="str">
        <f aca="false">'2026 Forecast A'!C99</f>
        <v>ALLENTOWN 19TH WARD 1ST DIST</v>
      </c>
      <c r="D149" s="10" t="n">
        <f aca="false">'2026 Forecast A'!G99</f>
        <v>0.572178477690289</v>
      </c>
      <c r="E149" s="10" t="n">
        <f aca="false">'2026 Forecast B'!G99</f>
        <v>0.585301837270341</v>
      </c>
      <c r="F149" s="10" t="n">
        <f aca="false">'2026 Forecast C'!G99</f>
        <v>0.574803149606299</v>
      </c>
      <c r="G149" s="38" t="n">
        <f aca="false">(MAX(D149:F149)-MIN(D149:F149))*100</f>
        <v>1.31233595800525</v>
      </c>
      <c r="H149" s="38" t="n">
        <f aca="false">'2026 Forecast A'!J99</f>
        <v>3.02363014511423</v>
      </c>
      <c r="I149" s="38" t="n">
        <f aca="false">'2026 Forecast B'!J99</f>
        <v>2.87918965002339</v>
      </c>
      <c r="J149" s="38" t="n">
        <f aca="false">'2026 Forecast C'!J99</f>
        <v>3.15466234357281</v>
      </c>
      <c r="K149" s="18" t="n">
        <f aca="false">'2026 Forecast A'!F99</f>
        <v>381</v>
      </c>
      <c r="L149" s="39" t="str">
        <f aca="false">IF(OR(AND(D149&gt;0.5,E149&gt;0.5,F149&gt;0.5),AND(D149&lt;0.5,E149&lt;0.5,F149&lt;0.5)),"Yes","No — toss-up")</f>
        <v>Yes</v>
      </c>
    </row>
    <row r="150" customFormat="false" ht="15" hidden="false" customHeight="false" outlineLevel="0" collapsed="false">
      <c r="A150" s="9" t="str">
        <f aca="false">'2026 Forecast A'!A100</f>
        <v>Lehigh</v>
      </c>
      <c r="B150" s="9" t="str">
        <f aca="false">'2026 Forecast A'!B100</f>
        <v>ALLENTOWN</v>
      </c>
      <c r="C150" s="9" t="str">
        <f aca="false">'2026 Forecast A'!C100</f>
        <v>ALLENTOWN 19TH WARD 2ND DIST</v>
      </c>
      <c r="D150" s="10" t="n">
        <f aca="false">'2026 Forecast A'!G100</f>
        <v>0.641071428571429</v>
      </c>
      <c r="E150" s="10" t="n">
        <f aca="false">'2026 Forecast B'!G100</f>
        <v>0.655357142857143</v>
      </c>
      <c r="F150" s="10" t="n">
        <f aca="false">'2026 Forecast C'!G100</f>
        <v>0.646428571428572</v>
      </c>
      <c r="G150" s="38" t="n">
        <f aca="false">(MAX(D150:F150)-MIN(D150:F150))*100</f>
        <v>1.42857142857142</v>
      </c>
      <c r="H150" s="38" t="n">
        <f aca="false">'2026 Forecast A'!J100</f>
        <v>3.02363014511423</v>
      </c>
      <c r="I150" s="38" t="n">
        <f aca="false">'2026 Forecast B'!J100</f>
        <v>2.87918965002339</v>
      </c>
      <c r="J150" s="38" t="n">
        <f aca="false">'2026 Forecast C'!J100</f>
        <v>3.15466234357281</v>
      </c>
      <c r="K150" s="18" t="n">
        <f aca="false">'2026 Forecast A'!F100</f>
        <v>560</v>
      </c>
      <c r="L150" s="39" t="str">
        <f aca="false">IF(OR(AND(D150&gt;0.5,E150&gt;0.5,F150&gt;0.5),AND(D150&lt;0.5,E150&lt;0.5,F150&lt;0.5)),"Yes","No — toss-up")</f>
        <v>Yes</v>
      </c>
    </row>
    <row r="151" customFormat="false" ht="15" hidden="false" customHeight="false" outlineLevel="0" collapsed="false">
      <c r="A151" s="9" t="str">
        <f aca="false">'2026 Forecast A'!A101</f>
        <v>Lehigh</v>
      </c>
      <c r="B151" s="9" t="str">
        <f aca="false">'2026 Forecast A'!B101</f>
        <v>ALLENTOWN</v>
      </c>
      <c r="C151" s="9" t="str">
        <f aca="false">'2026 Forecast A'!C101</f>
        <v>ALLENTOWN 19TH WARD 3RD DIST</v>
      </c>
      <c r="D151" s="10" t="n">
        <f aca="false">'2026 Forecast A'!G101</f>
        <v>0.599088838268793</v>
      </c>
      <c r="E151" s="10" t="n">
        <f aca="false">'2026 Forecast B'!G101</f>
        <v>0.601366742596811</v>
      </c>
      <c r="F151" s="10" t="n">
        <f aca="false">'2026 Forecast C'!G101</f>
        <v>0.603644646924829</v>
      </c>
      <c r="G151" s="38" t="n">
        <f aca="false">(MAX(D151:F151)-MIN(D151:F151))*100</f>
        <v>0.455580865603644</v>
      </c>
      <c r="H151" s="38" t="n">
        <f aca="false">'2026 Forecast A'!J101</f>
        <v>3.02363014511423</v>
      </c>
      <c r="I151" s="38" t="n">
        <f aca="false">'2026 Forecast B'!J101</f>
        <v>2.87918965002339</v>
      </c>
      <c r="J151" s="38" t="n">
        <f aca="false">'2026 Forecast C'!J101</f>
        <v>3.15466234357281</v>
      </c>
      <c r="K151" s="18" t="n">
        <f aca="false">'2026 Forecast A'!F101</f>
        <v>439</v>
      </c>
      <c r="L151" s="39" t="str">
        <f aca="false">IF(OR(AND(D151&gt;0.5,E151&gt;0.5,F151&gt;0.5),AND(D151&lt;0.5,E151&lt;0.5,F151&lt;0.5)),"Yes","No — toss-up")</f>
        <v>Yes</v>
      </c>
    </row>
    <row r="152" customFormat="false" ht="15" hidden="false" customHeight="false" outlineLevel="0" collapsed="false">
      <c r="A152" s="9" t="str">
        <f aca="false">'2026 Forecast A'!A102</f>
        <v>Lehigh</v>
      </c>
      <c r="B152" s="9" t="str">
        <f aca="false">'2026 Forecast A'!B102</f>
        <v>ALLENTOWN</v>
      </c>
      <c r="C152" s="9" t="str">
        <f aca="false">'2026 Forecast A'!C102</f>
        <v>ALLENTOWN 19TH WARD 4TH DIST</v>
      </c>
      <c r="D152" s="10" t="n">
        <f aca="false">'2026 Forecast A'!G102</f>
        <v>0.634666666666667</v>
      </c>
      <c r="E152" s="10" t="n">
        <f aca="false">'2026 Forecast B'!G102</f>
        <v>0.645333333333333</v>
      </c>
      <c r="F152" s="10" t="n">
        <f aca="false">'2026 Forecast C'!G102</f>
        <v>0.637333333333333</v>
      </c>
      <c r="G152" s="38" t="n">
        <f aca="false">(MAX(D152:F152)-MIN(D152:F152))*100</f>
        <v>1.06666666666666</v>
      </c>
      <c r="H152" s="38" t="n">
        <f aca="false">'2026 Forecast A'!J102</f>
        <v>3.02363014511423</v>
      </c>
      <c r="I152" s="38" t="n">
        <f aca="false">'2026 Forecast B'!J102</f>
        <v>2.87918965002339</v>
      </c>
      <c r="J152" s="38" t="n">
        <f aca="false">'2026 Forecast C'!J102</f>
        <v>3.15466234357281</v>
      </c>
      <c r="K152" s="18" t="n">
        <f aca="false">'2026 Forecast A'!F102</f>
        <v>375</v>
      </c>
      <c r="L152" s="39" t="str">
        <f aca="false">IF(OR(AND(D152&gt;0.5,E152&gt;0.5,F152&gt;0.5),AND(D152&lt;0.5,E152&lt;0.5,F152&lt;0.5)),"Yes","No — toss-up")</f>
        <v>Yes</v>
      </c>
    </row>
    <row r="153" customFormat="false" ht="15" hidden="false" customHeight="false" outlineLevel="0" collapsed="false">
      <c r="A153" s="9" t="str">
        <f aca="false">'2026 Forecast A'!A103</f>
        <v>Lehigh</v>
      </c>
      <c r="B153" s="9" t="str">
        <f aca="false">'2026 Forecast A'!B103</f>
        <v>ALLENTOWN</v>
      </c>
      <c r="C153" s="9" t="str">
        <f aca="false">'2026 Forecast A'!C103</f>
        <v>ALLENTOWN 19TH WARD 5TH DIST</v>
      </c>
      <c r="D153" s="10" t="n">
        <f aca="false">'2026 Forecast A'!G103</f>
        <v>0.605657237936772</v>
      </c>
      <c r="E153" s="10" t="n">
        <f aca="false">'2026 Forecast B'!G103</f>
        <v>0.608985024958403</v>
      </c>
      <c r="F153" s="10" t="n">
        <f aca="false">'2026 Forecast C'!G103</f>
        <v>0.608985024958403</v>
      </c>
      <c r="G153" s="38" t="n">
        <f aca="false">(MAX(D153:F153)-MIN(D153:F153))*100</f>
        <v>0.332778702163061</v>
      </c>
      <c r="H153" s="38" t="n">
        <f aca="false">'2026 Forecast A'!J103</f>
        <v>3.02363014511423</v>
      </c>
      <c r="I153" s="38" t="n">
        <f aca="false">'2026 Forecast B'!J103</f>
        <v>2.87918965002339</v>
      </c>
      <c r="J153" s="38" t="n">
        <f aca="false">'2026 Forecast C'!J103</f>
        <v>3.15466234357281</v>
      </c>
      <c r="K153" s="18" t="n">
        <f aca="false">'2026 Forecast A'!F103</f>
        <v>601</v>
      </c>
      <c r="L153" s="39" t="str">
        <f aca="false">IF(OR(AND(D153&gt;0.5,E153&gt;0.5,F153&gt;0.5),AND(D153&lt;0.5,E153&lt;0.5,F153&lt;0.5)),"Yes","No — toss-up")</f>
        <v>Yes</v>
      </c>
    </row>
    <row r="154" customFormat="false" ht="15" hidden="false" customHeight="false" outlineLevel="0" collapsed="false">
      <c r="A154" s="9" t="str">
        <f aca="false">'2026 Forecast A'!A104</f>
        <v>Lehigh</v>
      </c>
      <c r="B154" s="9" t="str">
        <f aca="false">'2026 Forecast A'!B104</f>
        <v>ALLENTOWN</v>
      </c>
      <c r="C154" s="9" t="str">
        <f aca="false">'2026 Forecast A'!C104</f>
        <v>ALLENTOWN 19TH WARD 5TH DT SAL</v>
      </c>
      <c r="D154" s="10" t="n">
        <f aca="false">'2026 Forecast A'!G104</f>
        <v>0.5</v>
      </c>
      <c r="E154" s="10" t="n">
        <f aca="false">'2026 Forecast B'!G104</f>
        <v>0.5</v>
      </c>
      <c r="F154" s="10" t="n">
        <f aca="false">'2026 Forecast C'!G104</f>
        <v>0.5</v>
      </c>
      <c r="G154" s="38" t="n">
        <f aca="false">(MAX(D154:F154)-MIN(D154:F154))*100</f>
        <v>0</v>
      </c>
      <c r="H154" s="38" t="n">
        <f aca="false">'2026 Forecast A'!J104</f>
        <v>3.02363014511423</v>
      </c>
      <c r="I154" s="38" t="n">
        <f aca="false">'2026 Forecast B'!J104</f>
        <v>2.87918965002339</v>
      </c>
      <c r="J154" s="38" t="n">
        <f aca="false">'2026 Forecast C'!J104</f>
        <v>3.15466234357281</v>
      </c>
      <c r="K154" s="18" t="n">
        <f aca="false">'2026 Forecast A'!F104</f>
        <v>2</v>
      </c>
      <c r="L154" s="39" t="str">
        <f aca="false">IF(OR(AND(D154&gt;0.5,E154&gt;0.5,F154&gt;0.5),AND(D154&lt;0.5,E154&lt;0.5,F154&lt;0.5)),"Yes","No — toss-up")</f>
        <v>No — toss-up</v>
      </c>
    </row>
    <row r="155" customFormat="false" ht="15" hidden="false" customHeight="false" outlineLevel="0" collapsed="false">
      <c r="A155" s="9" t="str">
        <f aca="false">'2026 Forecast A'!A105</f>
        <v>Lehigh</v>
      </c>
      <c r="B155" s="9" t="str">
        <f aca="false">'2026 Forecast A'!B105</f>
        <v>ALLENTOWN</v>
      </c>
      <c r="C155" s="9" t="str">
        <f aca="false">'2026 Forecast A'!C105</f>
        <v>ALLENTOWN 19TH WARD 6TH DIST</v>
      </c>
      <c r="D155" s="10" t="n">
        <f aca="false">'2026 Forecast A'!G105</f>
        <v>0.621173469387755</v>
      </c>
      <c r="E155" s="10" t="n">
        <f aca="false">'2026 Forecast B'!G105</f>
        <v>0.628826530612245</v>
      </c>
      <c r="F155" s="10" t="n">
        <f aca="false">'2026 Forecast C'!G105</f>
        <v>0.625</v>
      </c>
      <c r="G155" s="38" t="n">
        <f aca="false">(MAX(D155:F155)-MIN(D155:F155))*100</f>
        <v>0.765306122448983</v>
      </c>
      <c r="H155" s="38" t="n">
        <f aca="false">'2026 Forecast A'!J105</f>
        <v>1.80877416096373</v>
      </c>
      <c r="I155" s="38" t="n">
        <f aca="false">'2026 Forecast B'!J105</f>
        <v>1.9254971424187</v>
      </c>
      <c r="J155" s="38" t="n">
        <f aca="false">'2026 Forecast C'!J105</f>
        <v>1.88510957763259</v>
      </c>
      <c r="K155" s="18" t="n">
        <f aca="false">'2026 Forecast A'!F105</f>
        <v>784</v>
      </c>
      <c r="L155" s="39" t="str">
        <f aca="false">IF(OR(AND(D155&gt;0.5,E155&gt;0.5,F155&gt;0.5),AND(D155&lt;0.5,E155&lt;0.5,F155&lt;0.5)),"Yes","No — toss-up")</f>
        <v>Yes</v>
      </c>
    </row>
    <row r="156" customFormat="false" ht="15" hidden="false" customHeight="false" outlineLevel="0" collapsed="false">
      <c r="A156" s="9" t="str">
        <f aca="false">'2026 Forecast A'!A106</f>
        <v>Lehigh</v>
      </c>
      <c r="B156" s="9" t="str">
        <f aca="false">'2026 Forecast A'!B106</f>
        <v>ALLENTOWN</v>
      </c>
      <c r="C156" s="9" t="str">
        <f aca="false">'2026 Forecast A'!C106</f>
        <v>ALLENTOWN 1ST WARD</v>
      </c>
      <c r="D156" s="10" t="n">
        <f aca="false">'2026 Forecast A'!G106</f>
        <v>0.730519480519481</v>
      </c>
      <c r="E156" s="10" t="n">
        <f aca="false">'2026 Forecast B'!G106</f>
        <v>0.743506493506494</v>
      </c>
      <c r="F156" s="10" t="n">
        <f aca="false">'2026 Forecast C'!G106</f>
        <v>0.737012987012987</v>
      </c>
      <c r="G156" s="38" t="n">
        <f aca="false">(MAX(D156:F156)-MIN(D156:F156))*100</f>
        <v>1.2987012987013</v>
      </c>
      <c r="H156" s="38" t="n">
        <f aca="false">'2026 Forecast A'!J106</f>
        <v>3.02363014511423</v>
      </c>
      <c r="I156" s="38" t="n">
        <f aca="false">'2026 Forecast B'!J106</f>
        <v>2.87918965002339</v>
      </c>
      <c r="J156" s="38" t="n">
        <f aca="false">'2026 Forecast C'!J106</f>
        <v>3.15466234357281</v>
      </c>
      <c r="K156" s="18" t="n">
        <f aca="false">'2026 Forecast A'!F106</f>
        <v>308</v>
      </c>
      <c r="L156" s="39" t="str">
        <f aca="false">IF(OR(AND(D156&gt;0.5,E156&gt;0.5,F156&gt;0.5),AND(D156&lt;0.5,E156&lt;0.5,F156&lt;0.5)),"Yes","No — toss-up")</f>
        <v>Yes</v>
      </c>
    </row>
    <row r="157" customFormat="false" ht="15" hidden="false" customHeight="false" outlineLevel="0" collapsed="false">
      <c r="A157" s="9" t="str">
        <f aca="false">'2026 Forecast A'!A107</f>
        <v>Lehigh</v>
      </c>
      <c r="B157" s="9" t="str">
        <f aca="false">'2026 Forecast A'!B107</f>
        <v>ALLENTOWN</v>
      </c>
      <c r="C157" s="9" t="str">
        <f aca="false">'2026 Forecast A'!C107</f>
        <v>ALLENTOWN 2ND WARD</v>
      </c>
      <c r="D157" s="10" t="n">
        <f aca="false">'2026 Forecast A'!G107</f>
        <v>0.698529411764706</v>
      </c>
      <c r="E157" s="10" t="n">
        <f aca="false">'2026 Forecast B'!G107</f>
        <v>0.6875</v>
      </c>
      <c r="F157" s="10" t="n">
        <f aca="false">'2026 Forecast C'!G107</f>
        <v>0.705882352941177</v>
      </c>
      <c r="G157" s="38" t="n">
        <f aca="false">(MAX(D157:F157)-MIN(D157:F157))*100</f>
        <v>1.83823529411765</v>
      </c>
      <c r="H157" s="38" t="n">
        <f aca="false">'2026 Forecast A'!J107</f>
        <v>3.02363014511423</v>
      </c>
      <c r="I157" s="38" t="n">
        <f aca="false">'2026 Forecast B'!J107</f>
        <v>2.87918965002339</v>
      </c>
      <c r="J157" s="38" t="n">
        <f aca="false">'2026 Forecast C'!J107</f>
        <v>3.15466234357281</v>
      </c>
      <c r="K157" s="18" t="n">
        <f aca="false">'2026 Forecast A'!F107</f>
        <v>272</v>
      </c>
      <c r="L157" s="39" t="str">
        <f aca="false">IF(OR(AND(D157&gt;0.5,E157&gt;0.5,F157&gt;0.5),AND(D157&lt;0.5,E157&lt;0.5,F157&lt;0.5)),"Yes","No — toss-up")</f>
        <v>Yes</v>
      </c>
    </row>
    <row r="158" customFormat="false" ht="15" hidden="false" customHeight="false" outlineLevel="0" collapsed="false">
      <c r="A158" s="9" t="str">
        <f aca="false">'2026 Forecast A'!A108</f>
        <v>Lehigh</v>
      </c>
      <c r="B158" s="9" t="str">
        <f aca="false">'2026 Forecast A'!B108</f>
        <v>ALLENTOWN</v>
      </c>
      <c r="C158" s="9" t="str">
        <f aca="false">'2026 Forecast A'!C108</f>
        <v>ALLENTOWN 3RD WARD</v>
      </c>
      <c r="D158" s="10" t="n">
        <f aca="false">'2026 Forecast A'!G108</f>
        <v>0.723636363636364</v>
      </c>
      <c r="E158" s="10" t="n">
        <f aca="false">'2026 Forecast B'!G108</f>
        <v>0.712727272727273</v>
      </c>
      <c r="F158" s="10" t="n">
        <f aca="false">'2026 Forecast C'!G108</f>
        <v>0.730909090909091</v>
      </c>
      <c r="G158" s="38" t="n">
        <f aca="false">(MAX(D158:F158)-MIN(D158:F158))*100</f>
        <v>1.81818181818182</v>
      </c>
      <c r="H158" s="38" t="n">
        <f aca="false">'2026 Forecast A'!J108</f>
        <v>3.02363014511423</v>
      </c>
      <c r="I158" s="38" t="n">
        <f aca="false">'2026 Forecast B'!J108</f>
        <v>2.87918965002339</v>
      </c>
      <c r="J158" s="38" t="n">
        <f aca="false">'2026 Forecast C'!J108</f>
        <v>3.15466234357281</v>
      </c>
      <c r="K158" s="18" t="n">
        <f aca="false">'2026 Forecast A'!F108</f>
        <v>550</v>
      </c>
      <c r="L158" s="39" t="str">
        <f aca="false">IF(OR(AND(D158&gt;0.5,E158&gt;0.5,F158&gt;0.5),AND(D158&lt;0.5,E158&lt;0.5,F158&lt;0.5)),"Yes","No — toss-up")</f>
        <v>Yes</v>
      </c>
    </row>
    <row r="159" customFormat="false" ht="15" hidden="false" customHeight="false" outlineLevel="0" collapsed="false">
      <c r="A159" s="9" t="str">
        <f aca="false">'2026 Forecast A'!A109</f>
        <v>Lehigh</v>
      </c>
      <c r="B159" s="9" t="str">
        <f aca="false">'2026 Forecast A'!B109</f>
        <v>ALLENTOWN</v>
      </c>
      <c r="C159" s="9" t="str">
        <f aca="false">'2026 Forecast A'!C109</f>
        <v>ALLENTOWN 4TH WARD</v>
      </c>
      <c r="D159" s="10" t="n">
        <f aca="false">'2026 Forecast A'!G109</f>
        <v>0.686695278969957</v>
      </c>
      <c r="E159" s="10" t="n">
        <f aca="false">'2026 Forecast B'!G109</f>
        <v>0.682403433476395</v>
      </c>
      <c r="F159" s="10" t="n">
        <f aca="false">'2026 Forecast C'!G109</f>
        <v>0.695278969957082</v>
      </c>
      <c r="G159" s="38" t="n">
        <f aca="false">(MAX(D159:F159)-MIN(D159:F159))*100</f>
        <v>1.28755364806866</v>
      </c>
      <c r="H159" s="38" t="n">
        <f aca="false">'2026 Forecast A'!J109</f>
        <v>3.02363014511423</v>
      </c>
      <c r="I159" s="38" t="n">
        <f aca="false">'2026 Forecast B'!J109</f>
        <v>2.87918965002339</v>
      </c>
      <c r="J159" s="38" t="n">
        <f aca="false">'2026 Forecast C'!J109</f>
        <v>3.15466234357281</v>
      </c>
      <c r="K159" s="18" t="n">
        <f aca="false">'2026 Forecast A'!F109</f>
        <v>233</v>
      </c>
      <c r="L159" s="39" t="str">
        <f aca="false">IF(OR(AND(D159&gt;0.5,E159&gt;0.5,F159&gt;0.5),AND(D159&lt;0.5,E159&lt;0.5,F159&lt;0.5)),"Yes","No — toss-up")</f>
        <v>Yes</v>
      </c>
    </row>
    <row r="160" customFormat="false" ht="15" hidden="false" customHeight="false" outlineLevel="0" collapsed="false">
      <c r="A160" s="9" t="str">
        <f aca="false">'2026 Forecast A'!A110</f>
        <v>Lehigh</v>
      </c>
      <c r="B160" s="9" t="str">
        <f aca="false">'2026 Forecast A'!B110</f>
        <v>ALLENTOWN</v>
      </c>
      <c r="C160" s="9" t="str">
        <f aca="false">'2026 Forecast A'!C110</f>
        <v>ALLENTOWN 5TH WARD</v>
      </c>
      <c r="D160" s="10" t="n">
        <f aca="false">'2026 Forecast A'!G110</f>
        <v>0.749185667752443</v>
      </c>
      <c r="E160" s="10" t="n">
        <f aca="false">'2026 Forecast B'!G110</f>
        <v>0.758957654723127</v>
      </c>
      <c r="F160" s="10" t="n">
        <f aca="false">'2026 Forecast C'!G110</f>
        <v>0.755700325732899</v>
      </c>
      <c r="G160" s="38" t="n">
        <f aca="false">(MAX(D160:F160)-MIN(D160:F160))*100</f>
        <v>0.977198697068404</v>
      </c>
      <c r="H160" s="38" t="n">
        <f aca="false">'2026 Forecast A'!J110</f>
        <v>3.02363014511423</v>
      </c>
      <c r="I160" s="38" t="n">
        <f aca="false">'2026 Forecast B'!J110</f>
        <v>2.87918965002339</v>
      </c>
      <c r="J160" s="38" t="n">
        <f aca="false">'2026 Forecast C'!J110</f>
        <v>3.15466234357281</v>
      </c>
      <c r="K160" s="18" t="n">
        <f aca="false">'2026 Forecast A'!F110</f>
        <v>307</v>
      </c>
      <c r="L160" s="39" t="str">
        <f aca="false">IF(OR(AND(D160&gt;0.5,E160&gt;0.5,F160&gt;0.5),AND(D160&lt;0.5,E160&lt;0.5,F160&lt;0.5)),"Yes","No — toss-up")</f>
        <v>Yes</v>
      </c>
    </row>
    <row r="161" customFormat="false" ht="15" hidden="false" customHeight="false" outlineLevel="0" collapsed="false">
      <c r="A161" s="9" t="str">
        <f aca="false">'2026 Forecast A'!A111</f>
        <v>Lehigh</v>
      </c>
      <c r="B161" s="9" t="str">
        <f aca="false">'2026 Forecast A'!B111</f>
        <v>ALLENTOWN</v>
      </c>
      <c r="C161" s="9" t="str">
        <f aca="false">'2026 Forecast A'!C111</f>
        <v>ALLENTOWN 6TH WARD 1ST DIST</v>
      </c>
      <c r="D161" s="10" t="n">
        <f aca="false">'2026 Forecast A'!G111</f>
        <v>0.647058823529412</v>
      </c>
      <c r="E161" s="10" t="n">
        <f aca="false">'2026 Forecast B'!G111</f>
        <v>0.65546218487395</v>
      </c>
      <c r="F161" s="10" t="n">
        <f aca="false">'2026 Forecast C'!G111</f>
        <v>0.65546218487395</v>
      </c>
      <c r="G161" s="38" t="n">
        <f aca="false">(MAX(D161:F161)-MIN(D161:F161))*100</f>
        <v>0.840336134453779</v>
      </c>
      <c r="H161" s="38" t="n">
        <f aca="false">'2026 Forecast A'!J111</f>
        <v>3.02363014511423</v>
      </c>
      <c r="I161" s="38" t="n">
        <f aca="false">'2026 Forecast B'!J111</f>
        <v>2.87918965002339</v>
      </c>
      <c r="J161" s="38" t="n">
        <f aca="false">'2026 Forecast C'!J111</f>
        <v>3.15466234357281</v>
      </c>
      <c r="K161" s="18" t="n">
        <f aca="false">'2026 Forecast A'!F111</f>
        <v>119</v>
      </c>
      <c r="L161" s="39" t="str">
        <f aca="false">IF(OR(AND(D161&gt;0.5,E161&gt;0.5,F161&gt;0.5),AND(D161&lt;0.5,E161&lt;0.5,F161&lt;0.5)),"Yes","No — toss-up")</f>
        <v>Yes</v>
      </c>
    </row>
    <row r="162" customFormat="false" ht="15" hidden="false" customHeight="false" outlineLevel="0" collapsed="false">
      <c r="A162" s="9" t="str">
        <f aca="false">'2026 Forecast A'!A112</f>
        <v>Lehigh</v>
      </c>
      <c r="B162" s="9" t="str">
        <f aca="false">'2026 Forecast A'!B112</f>
        <v>ALLENTOWN</v>
      </c>
      <c r="C162" s="9" t="str">
        <f aca="false">'2026 Forecast A'!C112</f>
        <v>ALLENTOWN 6TH WARD 2ND DIST</v>
      </c>
      <c r="D162" s="10" t="n">
        <f aca="false">'2026 Forecast A'!G112</f>
        <v>0.632302405498282</v>
      </c>
      <c r="E162" s="10" t="n">
        <f aca="false">'2026 Forecast B'!G112</f>
        <v>0.649484536082474</v>
      </c>
      <c r="F162" s="10" t="n">
        <f aca="false">'2026 Forecast C'!G112</f>
        <v>0.63573883161512</v>
      </c>
      <c r="G162" s="38" t="n">
        <f aca="false">(MAX(D162:F162)-MIN(D162:F162))*100</f>
        <v>1.71821305841925</v>
      </c>
      <c r="H162" s="38" t="n">
        <f aca="false">'2026 Forecast A'!J112</f>
        <v>3.02363014511423</v>
      </c>
      <c r="I162" s="38" t="n">
        <f aca="false">'2026 Forecast B'!J112</f>
        <v>2.87918965002339</v>
      </c>
      <c r="J162" s="38" t="n">
        <f aca="false">'2026 Forecast C'!J112</f>
        <v>3.15466234357281</v>
      </c>
      <c r="K162" s="18" t="n">
        <f aca="false">'2026 Forecast A'!F112</f>
        <v>291</v>
      </c>
      <c r="L162" s="39" t="str">
        <f aca="false">IF(OR(AND(D162&gt;0.5,E162&gt;0.5,F162&gt;0.5),AND(D162&lt;0.5,E162&lt;0.5,F162&lt;0.5)),"Yes","No — toss-up")</f>
        <v>Yes</v>
      </c>
    </row>
    <row r="163" customFormat="false" ht="15" hidden="false" customHeight="false" outlineLevel="0" collapsed="false">
      <c r="A163" s="9" t="str">
        <f aca="false">'2026 Forecast A'!A113</f>
        <v>Lehigh</v>
      </c>
      <c r="B163" s="9" t="str">
        <f aca="false">'2026 Forecast A'!B113</f>
        <v>ALLENTOWN</v>
      </c>
      <c r="C163" s="9" t="str">
        <f aca="false">'2026 Forecast A'!C113</f>
        <v>ALLENTOWN 7TH WARD</v>
      </c>
      <c r="D163" s="10" t="n">
        <f aca="false">'2026 Forecast A'!G113</f>
        <v>0.730666666666667</v>
      </c>
      <c r="E163" s="10" t="n">
        <f aca="false">'2026 Forecast B'!G113</f>
        <v>0.722666666666667</v>
      </c>
      <c r="F163" s="10" t="n">
        <f aca="false">'2026 Forecast C'!G113</f>
        <v>0.736</v>
      </c>
      <c r="G163" s="38" t="n">
        <f aca="false">(MAX(D163:F163)-MIN(D163:F163))*100</f>
        <v>1.33333333333333</v>
      </c>
      <c r="H163" s="38" t="n">
        <f aca="false">'2026 Forecast A'!J113</f>
        <v>3.02363014511423</v>
      </c>
      <c r="I163" s="38" t="n">
        <f aca="false">'2026 Forecast B'!J113</f>
        <v>2.87918965002339</v>
      </c>
      <c r="J163" s="38" t="n">
        <f aca="false">'2026 Forecast C'!J113</f>
        <v>3.15466234357281</v>
      </c>
      <c r="K163" s="18" t="n">
        <f aca="false">'2026 Forecast A'!F113</f>
        <v>375</v>
      </c>
      <c r="L163" s="39" t="str">
        <f aca="false">IF(OR(AND(D163&gt;0.5,E163&gt;0.5,F163&gt;0.5),AND(D163&lt;0.5,E163&lt;0.5,F163&lt;0.5)),"Yes","No — toss-up")</f>
        <v>Yes</v>
      </c>
    </row>
    <row r="164" customFormat="false" ht="15" hidden="false" customHeight="false" outlineLevel="0" collapsed="false">
      <c r="A164" s="9" t="str">
        <f aca="false">'2026 Forecast A'!A114</f>
        <v>Lehigh</v>
      </c>
      <c r="B164" s="9" t="str">
        <f aca="false">'2026 Forecast A'!B114</f>
        <v>ALLENTOWN</v>
      </c>
      <c r="C164" s="9" t="str">
        <f aca="false">'2026 Forecast A'!C114</f>
        <v>ALLENTOWN 8TH WARD 1ST DIST</v>
      </c>
      <c r="D164" s="10" t="n">
        <f aca="false">'2026 Forecast A'!G114</f>
        <v>0.736111111111111</v>
      </c>
      <c r="E164" s="10" t="n">
        <f aca="false">'2026 Forecast B'!G114</f>
        <v>0.729166666666667</v>
      </c>
      <c r="F164" s="10" t="n">
        <f aca="false">'2026 Forecast C'!G114</f>
        <v>0.736111111111111</v>
      </c>
      <c r="G164" s="38" t="n">
        <f aca="false">(MAX(D164:F164)-MIN(D164:F164))*100</f>
        <v>0.694444444444453</v>
      </c>
      <c r="H164" s="38" t="n">
        <f aca="false">'2026 Forecast A'!J114</f>
        <v>3.02363014511423</v>
      </c>
      <c r="I164" s="38" t="n">
        <f aca="false">'2026 Forecast B'!J114</f>
        <v>2.87918965002339</v>
      </c>
      <c r="J164" s="38" t="n">
        <f aca="false">'2026 Forecast C'!J114</f>
        <v>3.15466234357281</v>
      </c>
      <c r="K164" s="18" t="n">
        <f aca="false">'2026 Forecast A'!F114</f>
        <v>144</v>
      </c>
      <c r="L164" s="39" t="str">
        <f aca="false">IF(OR(AND(D164&gt;0.5,E164&gt;0.5,F164&gt;0.5),AND(D164&lt;0.5,E164&lt;0.5,F164&lt;0.5)),"Yes","No — toss-up")</f>
        <v>Yes</v>
      </c>
    </row>
    <row r="165" customFormat="false" ht="15" hidden="false" customHeight="false" outlineLevel="0" collapsed="false">
      <c r="A165" s="9" t="str">
        <f aca="false">'2026 Forecast A'!A115</f>
        <v>Lehigh</v>
      </c>
      <c r="B165" s="9" t="str">
        <f aca="false">'2026 Forecast A'!B115</f>
        <v>ALLENTOWN</v>
      </c>
      <c r="C165" s="9" t="str">
        <f aca="false">'2026 Forecast A'!C115</f>
        <v>ALLENTOWN 8TH WARD 2ND DIST</v>
      </c>
      <c r="D165" s="10" t="n">
        <f aca="false">'2026 Forecast A'!G115</f>
        <v>0.725714285714286</v>
      </c>
      <c r="E165" s="10" t="n">
        <f aca="false">'2026 Forecast B'!G115</f>
        <v>0.748571428571429</v>
      </c>
      <c r="F165" s="10" t="n">
        <f aca="false">'2026 Forecast C'!G115</f>
        <v>0.731428571428571</v>
      </c>
      <c r="G165" s="38" t="n">
        <f aca="false">(MAX(D165:F165)-MIN(D165:F165))*100</f>
        <v>2.28571428571428</v>
      </c>
      <c r="H165" s="38" t="n">
        <f aca="false">'2026 Forecast A'!J115</f>
        <v>3.02363014511423</v>
      </c>
      <c r="I165" s="38" t="n">
        <f aca="false">'2026 Forecast B'!J115</f>
        <v>2.87918965002339</v>
      </c>
      <c r="J165" s="38" t="n">
        <f aca="false">'2026 Forecast C'!J115</f>
        <v>3.15466234357281</v>
      </c>
      <c r="K165" s="18" t="n">
        <f aca="false">'2026 Forecast A'!F115</f>
        <v>175</v>
      </c>
      <c r="L165" s="39" t="str">
        <f aca="false">IF(OR(AND(D165&gt;0.5,E165&gt;0.5,F165&gt;0.5),AND(D165&lt;0.5,E165&lt;0.5,F165&lt;0.5)),"Yes","No — toss-up")</f>
        <v>Yes</v>
      </c>
    </row>
    <row r="166" customFormat="false" ht="15" hidden="false" customHeight="false" outlineLevel="0" collapsed="false">
      <c r="A166" s="9" t="str">
        <f aca="false">'2026 Forecast A'!A116</f>
        <v>Lehigh</v>
      </c>
      <c r="B166" s="9" t="str">
        <f aca="false">'2026 Forecast A'!B116</f>
        <v>ALLENTOWN</v>
      </c>
      <c r="C166" s="9" t="str">
        <f aca="false">'2026 Forecast A'!C116</f>
        <v>ALLENTOWN 8TH WARD 3RD DIST</v>
      </c>
      <c r="D166" s="10" t="n">
        <f aca="false">'2026 Forecast A'!G116</f>
        <v>0.730038022813688</v>
      </c>
      <c r="E166" s="10" t="n">
        <f aca="false">'2026 Forecast B'!G116</f>
        <v>0.749049429657795</v>
      </c>
      <c r="F166" s="10" t="n">
        <f aca="false">'2026 Forecast C'!G116</f>
        <v>0.737642585551331</v>
      </c>
      <c r="G166" s="38" t="n">
        <f aca="false">(MAX(D166:F166)-MIN(D166:F166))*100</f>
        <v>1.90114068441064</v>
      </c>
      <c r="H166" s="38" t="n">
        <f aca="false">'2026 Forecast A'!J116</f>
        <v>3.02363014511423</v>
      </c>
      <c r="I166" s="38" t="n">
        <f aca="false">'2026 Forecast B'!J116</f>
        <v>2.87918965002339</v>
      </c>
      <c r="J166" s="38" t="n">
        <f aca="false">'2026 Forecast C'!J116</f>
        <v>3.15466234357281</v>
      </c>
      <c r="K166" s="18" t="n">
        <f aca="false">'2026 Forecast A'!F116</f>
        <v>263</v>
      </c>
      <c r="L166" s="39" t="str">
        <f aca="false">IF(OR(AND(D166&gt;0.5,E166&gt;0.5,F166&gt;0.5),AND(D166&lt;0.5,E166&lt;0.5,F166&lt;0.5)),"Yes","No — toss-up")</f>
        <v>Yes</v>
      </c>
    </row>
    <row r="167" customFormat="false" ht="15" hidden="false" customHeight="false" outlineLevel="0" collapsed="false">
      <c r="A167" s="9" t="str">
        <f aca="false">'2026 Forecast A'!A117</f>
        <v>Lehigh</v>
      </c>
      <c r="B167" s="9" t="str">
        <f aca="false">'2026 Forecast A'!B117</f>
        <v>ALLENTOWN</v>
      </c>
      <c r="C167" s="9" t="str">
        <f aca="false">'2026 Forecast A'!C117</f>
        <v>ALLENTOWN 8TH WARD 4TH DIST</v>
      </c>
      <c r="D167" s="10" t="n">
        <f aca="false">'2026 Forecast A'!G117</f>
        <v>0.663286004056795</v>
      </c>
      <c r="E167" s="10" t="n">
        <f aca="false">'2026 Forecast B'!G117</f>
        <v>0.663286004056795</v>
      </c>
      <c r="F167" s="10" t="n">
        <f aca="false">'2026 Forecast C'!G117</f>
        <v>0.669371196754564</v>
      </c>
      <c r="G167" s="38" t="n">
        <f aca="false">(MAX(D167:F167)-MIN(D167:F167))*100</f>
        <v>0.608519269776875</v>
      </c>
      <c r="H167" s="38" t="n">
        <f aca="false">'2026 Forecast A'!J117</f>
        <v>3.02363014511423</v>
      </c>
      <c r="I167" s="38" t="n">
        <f aca="false">'2026 Forecast B'!J117</f>
        <v>2.87918965002339</v>
      </c>
      <c r="J167" s="38" t="n">
        <f aca="false">'2026 Forecast C'!J117</f>
        <v>3.15466234357281</v>
      </c>
      <c r="K167" s="18" t="n">
        <f aca="false">'2026 Forecast A'!F117</f>
        <v>493</v>
      </c>
      <c r="L167" s="39" t="str">
        <f aca="false">IF(OR(AND(D167&gt;0.5,E167&gt;0.5,F167&gt;0.5),AND(D167&lt;0.5,E167&lt;0.5,F167&lt;0.5)),"Yes","No — toss-up")</f>
        <v>Yes</v>
      </c>
    </row>
    <row r="168" customFormat="false" ht="15" hidden="false" customHeight="false" outlineLevel="0" collapsed="false">
      <c r="A168" s="9" t="str">
        <f aca="false">'2026 Forecast A'!A118</f>
        <v>Lehigh</v>
      </c>
      <c r="B168" s="9" t="str">
        <f aca="false">'2026 Forecast A'!B118</f>
        <v>ALLENTOWN</v>
      </c>
      <c r="C168" s="9" t="str">
        <f aca="false">'2026 Forecast A'!C118</f>
        <v>ALLENTOWN 8TH WARD 5TH DIST</v>
      </c>
      <c r="D168" s="10" t="n">
        <f aca="false">'2026 Forecast A'!G118</f>
        <v>0.678571428571429</v>
      </c>
      <c r="E168" s="10" t="n">
        <f aca="false">'2026 Forecast B'!G118</f>
        <v>0.674107142857143</v>
      </c>
      <c r="F168" s="10" t="n">
        <f aca="false">'2026 Forecast C'!G118</f>
        <v>0.683035714285714</v>
      </c>
      <c r="G168" s="38" t="n">
        <f aca="false">(MAX(D168:F168)-MIN(D168:F168))*100</f>
        <v>0.89285714285714</v>
      </c>
      <c r="H168" s="38" t="n">
        <f aca="false">'2026 Forecast A'!J118</f>
        <v>3.02363014511423</v>
      </c>
      <c r="I168" s="38" t="n">
        <f aca="false">'2026 Forecast B'!J118</f>
        <v>2.87918965002339</v>
      </c>
      <c r="J168" s="38" t="n">
        <f aca="false">'2026 Forecast C'!J118</f>
        <v>3.15466234357281</v>
      </c>
      <c r="K168" s="18" t="n">
        <f aca="false">'2026 Forecast A'!F118</f>
        <v>224</v>
      </c>
      <c r="L168" s="39" t="str">
        <f aca="false">IF(OR(AND(D168&gt;0.5,E168&gt;0.5,F168&gt;0.5),AND(D168&lt;0.5,E168&lt;0.5,F168&lt;0.5)),"Yes","No — toss-up")</f>
        <v>Yes</v>
      </c>
    </row>
    <row r="169" customFormat="false" ht="15" hidden="false" customHeight="false" outlineLevel="0" collapsed="false">
      <c r="A169" s="9" t="str">
        <f aca="false">'2026 Forecast A'!A119</f>
        <v>Lehigh</v>
      </c>
      <c r="B169" s="9" t="str">
        <f aca="false">'2026 Forecast A'!B119</f>
        <v>ALLENTOWN</v>
      </c>
      <c r="C169" s="9" t="str">
        <f aca="false">'2026 Forecast A'!C119</f>
        <v>ALLENTOWN 8TH WARD 6TH DIST</v>
      </c>
      <c r="D169" s="10" t="n">
        <f aca="false">'2026 Forecast A'!G119</f>
        <v>0.690082644628099</v>
      </c>
      <c r="E169" s="10" t="n">
        <f aca="false">'2026 Forecast B'!G119</f>
        <v>0.694214876033058</v>
      </c>
      <c r="F169" s="10" t="n">
        <f aca="false">'2026 Forecast C'!G119</f>
        <v>0.694214876033058</v>
      </c>
      <c r="G169" s="38" t="n">
        <f aca="false">(MAX(D169:F169)-MIN(D169:F169))*100</f>
        <v>0.413223140495866</v>
      </c>
      <c r="H169" s="38" t="n">
        <f aca="false">'2026 Forecast A'!J119</f>
        <v>3.02363014511423</v>
      </c>
      <c r="I169" s="38" t="n">
        <f aca="false">'2026 Forecast B'!J119</f>
        <v>2.87918965002339</v>
      </c>
      <c r="J169" s="38" t="n">
        <f aca="false">'2026 Forecast C'!J119</f>
        <v>3.15466234357281</v>
      </c>
      <c r="K169" s="18" t="n">
        <f aca="false">'2026 Forecast A'!F119</f>
        <v>242</v>
      </c>
      <c r="L169" s="39" t="str">
        <f aca="false">IF(OR(AND(D169&gt;0.5,E169&gt;0.5,F169&gt;0.5),AND(D169&lt;0.5,E169&lt;0.5,F169&lt;0.5)),"Yes","No — toss-up")</f>
        <v>Yes</v>
      </c>
    </row>
    <row r="170" customFormat="false" ht="15" hidden="false" customHeight="false" outlineLevel="0" collapsed="false">
      <c r="A170" s="9" t="str">
        <f aca="false">'2026 Forecast A'!A120</f>
        <v>Lehigh</v>
      </c>
      <c r="B170" s="9" t="str">
        <f aca="false">'2026 Forecast A'!B120</f>
        <v>ALLENTOWN</v>
      </c>
      <c r="C170" s="9" t="str">
        <f aca="false">'2026 Forecast A'!C120</f>
        <v>ALLENTOWN 8TH WARD 7TH DIST</v>
      </c>
      <c r="D170" s="10" t="n">
        <f aca="false">'2026 Forecast A'!G120</f>
        <v>0.623608017817372</v>
      </c>
      <c r="E170" s="10" t="n">
        <f aca="false">'2026 Forecast B'!G120</f>
        <v>0.630289532293987</v>
      </c>
      <c r="F170" s="10" t="n">
        <f aca="false">'2026 Forecast C'!G120</f>
        <v>0.628062360801782</v>
      </c>
      <c r="G170" s="38" t="n">
        <f aca="false">(MAX(D170:F170)-MIN(D170:F170))*100</f>
        <v>0.668151447661469</v>
      </c>
      <c r="H170" s="38" t="n">
        <f aca="false">'2026 Forecast A'!J120</f>
        <v>3.02363014511423</v>
      </c>
      <c r="I170" s="38" t="n">
        <f aca="false">'2026 Forecast B'!J120</f>
        <v>2.87918965002339</v>
      </c>
      <c r="J170" s="38" t="n">
        <f aca="false">'2026 Forecast C'!J120</f>
        <v>3.15466234357281</v>
      </c>
      <c r="K170" s="18" t="n">
        <f aca="false">'2026 Forecast A'!F120</f>
        <v>449</v>
      </c>
      <c r="L170" s="39" t="str">
        <f aca="false">IF(OR(AND(D170&gt;0.5,E170&gt;0.5,F170&gt;0.5),AND(D170&lt;0.5,E170&lt;0.5,F170&lt;0.5)),"Yes","No — toss-up")</f>
        <v>Yes</v>
      </c>
    </row>
    <row r="171" customFormat="false" ht="15" hidden="false" customHeight="false" outlineLevel="0" collapsed="false">
      <c r="A171" s="9" t="str">
        <f aca="false">'2026 Forecast A'!A121</f>
        <v>Lehigh</v>
      </c>
      <c r="B171" s="9" t="str">
        <f aca="false">'2026 Forecast A'!B121</f>
        <v>ALLENTOWN</v>
      </c>
      <c r="C171" s="9" t="str">
        <f aca="false">'2026 Forecast A'!C121</f>
        <v>ALLENTOWN 9TH WARD</v>
      </c>
      <c r="D171" s="10" t="n">
        <f aca="false">'2026 Forecast A'!G121</f>
        <v>0.706451612903226</v>
      </c>
      <c r="E171" s="10" t="n">
        <f aca="false">'2026 Forecast B'!G121</f>
        <v>0.709677419354839</v>
      </c>
      <c r="F171" s="10" t="n">
        <f aca="false">'2026 Forecast C'!G121</f>
        <v>0.712903225806452</v>
      </c>
      <c r="G171" s="38" t="n">
        <f aca="false">(MAX(D171:F171)-MIN(D171:F171))*100</f>
        <v>0.645161290322582</v>
      </c>
      <c r="H171" s="38" t="n">
        <f aca="false">'2026 Forecast A'!J121</f>
        <v>3.02363014511423</v>
      </c>
      <c r="I171" s="38" t="n">
        <f aca="false">'2026 Forecast B'!J121</f>
        <v>2.87918965002339</v>
      </c>
      <c r="J171" s="38" t="n">
        <f aca="false">'2026 Forecast C'!J121</f>
        <v>3.15466234357281</v>
      </c>
      <c r="K171" s="18" t="n">
        <f aca="false">'2026 Forecast A'!F121</f>
        <v>310</v>
      </c>
      <c r="L171" s="39" t="str">
        <f aca="false">IF(OR(AND(D171&gt;0.5,E171&gt;0.5,F171&gt;0.5),AND(D171&lt;0.5,E171&lt;0.5,F171&lt;0.5)),"Yes","No — toss-up")</f>
        <v>Yes</v>
      </c>
    </row>
    <row r="172" customFormat="false" ht="15" hidden="false" customHeight="false" outlineLevel="0" collapsed="false">
      <c r="A172" s="9" t="str">
        <f aca="false">'2026 Forecast A'!A122</f>
        <v>Lehigh</v>
      </c>
      <c r="B172" s="9" t="str">
        <f aca="false">'2026 Forecast A'!B122</f>
        <v>BETHLEHEM</v>
      </c>
      <c r="C172" s="9" t="str">
        <f aca="false">'2026 Forecast A'!C122</f>
        <v>BETHLEHEM 10TH WARD</v>
      </c>
      <c r="D172" s="10" t="n">
        <f aca="false">'2026 Forecast A'!G122</f>
        <v>0.704718417047184</v>
      </c>
      <c r="E172" s="10" t="n">
        <f aca="false">'2026 Forecast B'!G122</f>
        <v>0.701674277016743</v>
      </c>
      <c r="F172" s="10" t="n">
        <f aca="false">'2026 Forecast C'!G122</f>
        <v>0.710806697108067</v>
      </c>
      <c r="G172" s="38" t="n">
        <f aca="false">(MAX(D172:F172)-MIN(D172:F172))*100</f>
        <v>0.91324200913242</v>
      </c>
      <c r="H172" s="38" t="n">
        <f aca="false">'2026 Forecast A'!J122</f>
        <v>3.02363014511423</v>
      </c>
      <c r="I172" s="38" t="n">
        <f aca="false">'2026 Forecast B'!J122</f>
        <v>2.87918965002339</v>
      </c>
      <c r="J172" s="38" t="n">
        <f aca="false">'2026 Forecast C'!J122</f>
        <v>3.15466234357281</v>
      </c>
      <c r="K172" s="18" t="n">
        <f aca="false">'2026 Forecast A'!F122</f>
        <v>657</v>
      </c>
      <c r="L172" s="39" t="str">
        <f aca="false">IF(OR(AND(D172&gt;0.5,E172&gt;0.5,F172&gt;0.5),AND(D172&lt;0.5,E172&lt;0.5,F172&lt;0.5)),"Yes","No — toss-up")</f>
        <v>Yes</v>
      </c>
    </row>
    <row r="173" customFormat="false" ht="15" hidden="false" customHeight="false" outlineLevel="0" collapsed="false">
      <c r="A173" s="9" t="str">
        <f aca="false">'2026 Forecast A'!A123</f>
        <v>Lehigh</v>
      </c>
      <c r="B173" s="9" t="str">
        <f aca="false">'2026 Forecast A'!B123</f>
        <v>BETHLEHEM</v>
      </c>
      <c r="C173" s="9" t="str">
        <f aca="false">'2026 Forecast A'!C123</f>
        <v>BETHLEHEM 11TH WARD</v>
      </c>
      <c r="D173" s="10" t="n">
        <f aca="false">'2026 Forecast A'!G123</f>
        <v>0.67381974248927</v>
      </c>
      <c r="E173" s="10" t="n">
        <f aca="false">'2026 Forecast B'!G123</f>
        <v>0.671673819742489</v>
      </c>
      <c r="F173" s="10" t="n">
        <f aca="false">'2026 Forecast C'!G123</f>
        <v>0.680257510729614</v>
      </c>
      <c r="G173" s="38" t="n">
        <f aca="false">(MAX(D173:F173)-MIN(D173:F173))*100</f>
        <v>0.858369098712442</v>
      </c>
      <c r="H173" s="38" t="n">
        <f aca="false">'2026 Forecast A'!J123</f>
        <v>3.02363014511423</v>
      </c>
      <c r="I173" s="38" t="n">
        <f aca="false">'2026 Forecast B'!J123</f>
        <v>2.87918965002339</v>
      </c>
      <c r="J173" s="38" t="n">
        <f aca="false">'2026 Forecast C'!J123</f>
        <v>3.15466234357281</v>
      </c>
      <c r="K173" s="18" t="n">
        <f aca="false">'2026 Forecast A'!F123</f>
        <v>466</v>
      </c>
      <c r="L173" s="39" t="str">
        <f aca="false">IF(OR(AND(D173&gt;0.5,E173&gt;0.5,F173&gt;0.5),AND(D173&lt;0.5,E173&lt;0.5,F173&lt;0.5)),"Yes","No — toss-up")</f>
        <v>Yes</v>
      </c>
    </row>
    <row r="174" customFormat="false" ht="15" hidden="false" customHeight="false" outlineLevel="0" collapsed="false">
      <c r="A174" s="9" t="str">
        <f aca="false">'2026 Forecast A'!A124</f>
        <v>Lehigh</v>
      </c>
      <c r="B174" s="9" t="str">
        <f aca="false">'2026 Forecast A'!B124</f>
        <v>BETHLEHEM</v>
      </c>
      <c r="C174" s="9" t="str">
        <f aca="false">'2026 Forecast A'!C124</f>
        <v>BETHLEHEM 12TH WARD 1ST DIST</v>
      </c>
      <c r="D174" s="10" t="n">
        <f aca="false">'2026 Forecast A'!G124</f>
        <v>0.708418891170431</v>
      </c>
      <c r="E174" s="10" t="n">
        <f aca="false">'2026 Forecast B'!G124</f>
        <v>0.704312114989733</v>
      </c>
      <c r="F174" s="10" t="n">
        <f aca="false">'2026 Forecast C'!G124</f>
        <v>0.714579055441479</v>
      </c>
      <c r="G174" s="38" t="n">
        <f aca="false">(MAX(D174:F174)-MIN(D174:F174))*100</f>
        <v>1.02669404517455</v>
      </c>
      <c r="H174" s="38" t="n">
        <f aca="false">'2026 Forecast A'!J124</f>
        <v>3.02363014511423</v>
      </c>
      <c r="I174" s="38" t="n">
        <f aca="false">'2026 Forecast B'!J124</f>
        <v>2.87918965002339</v>
      </c>
      <c r="J174" s="38" t="n">
        <f aca="false">'2026 Forecast C'!J124</f>
        <v>3.15466234357281</v>
      </c>
      <c r="K174" s="18" t="n">
        <f aca="false">'2026 Forecast A'!F124</f>
        <v>487</v>
      </c>
      <c r="L174" s="39" t="str">
        <f aca="false">IF(OR(AND(D174&gt;0.5,E174&gt;0.5,F174&gt;0.5),AND(D174&lt;0.5,E174&lt;0.5,F174&lt;0.5)),"Yes","No — toss-up")</f>
        <v>Yes</v>
      </c>
    </row>
    <row r="175" customFormat="false" ht="15" hidden="false" customHeight="false" outlineLevel="0" collapsed="false">
      <c r="A175" s="9" t="str">
        <f aca="false">'2026 Forecast A'!A125</f>
        <v>Lehigh</v>
      </c>
      <c r="B175" s="9" t="str">
        <f aca="false">'2026 Forecast A'!B125</f>
        <v>BETHLEHEM</v>
      </c>
      <c r="C175" s="9" t="str">
        <f aca="false">'2026 Forecast A'!C125</f>
        <v>BETHLEHEM 12TH WARD 2ND DIST</v>
      </c>
      <c r="D175" s="10" t="n">
        <f aca="false">'2026 Forecast A'!G125</f>
        <v>0.689213893967093</v>
      </c>
      <c r="E175" s="10" t="n">
        <f aca="false">'2026 Forecast B'!G125</f>
        <v>0.687385740402194</v>
      </c>
      <c r="F175" s="10" t="n">
        <f aca="false">'2026 Forecast C'!G125</f>
        <v>0.694698354661792</v>
      </c>
      <c r="G175" s="38" t="n">
        <f aca="false">(MAX(D175:F175)-MIN(D175:F175))*100</f>
        <v>0.731261425959784</v>
      </c>
      <c r="H175" s="38" t="n">
        <f aca="false">'2026 Forecast A'!J125</f>
        <v>3.02363014511423</v>
      </c>
      <c r="I175" s="38" t="n">
        <f aca="false">'2026 Forecast B'!J125</f>
        <v>2.87918965002339</v>
      </c>
      <c r="J175" s="38" t="n">
        <f aca="false">'2026 Forecast C'!J125</f>
        <v>3.15466234357281</v>
      </c>
      <c r="K175" s="18" t="n">
        <f aca="false">'2026 Forecast A'!F125</f>
        <v>547</v>
      </c>
      <c r="L175" s="39" t="str">
        <f aca="false">IF(OR(AND(D175&gt;0.5,E175&gt;0.5,F175&gt;0.5),AND(D175&lt;0.5,E175&lt;0.5,F175&lt;0.5)),"Yes","No — toss-up")</f>
        <v>Yes</v>
      </c>
    </row>
    <row r="176" customFormat="false" ht="15" hidden="false" customHeight="false" outlineLevel="0" collapsed="false">
      <c r="A176" s="9" t="str">
        <f aca="false">'2026 Forecast A'!A126</f>
        <v>Lehigh</v>
      </c>
      <c r="B176" s="9" t="str">
        <f aca="false">'2026 Forecast A'!B126</f>
        <v>BETHLEHEM</v>
      </c>
      <c r="C176" s="9" t="str">
        <f aca="false">'2026 Forecast A'!C126</f>
        <v>BETHLEHEM 13TH WARD 1ST DIST</v>
      </c>
      <c r="D176" s="10" t="n">
        <f aca="false">'2026 Forecast A'!G126</f>
        <v>0.651447661469933</v>
      </c>
      <c r="E176" s="10" t="n">
        <f aca="false">'2026 Forecast B'!G126</f>
        <v>0.641425389755011</v>
      </c>
      <c r="F176" s="10" t="n">
        <f aca="false">'2026 Forecast C'!G126</f>
        <v>0.657015590200445</v>
      </c>
      <c r="G176" s="38" t="n">
        <f aca="false">(MAX(D176:F176)-MIN(D176:F176))*100</f>
        <v>1.55902004454342</v>
      </c>
      <c r="H176" s="38" t="n">
        <f aca="false">'2026 Forecast A'!J126</f>
        <v>1.80877416096373</v>
      </c>
      <c r="I176" s="38" t="n">
        <f aca="false">'2026 Forecast B'!J126</f>
        <v>1.9254971424187</v>
      </c>
      <c r="J176" s="38" t="n">
        <f aca="false">'2026 Forecast C'!J126</f>
        <v>1.88510957763259</v>
      </c>
      <c r="K176" s="18" t="n">
        <f aca="false">'2026 Forecast A'!F126</f>
        <v>898</v>
      </c>
      <c r="L176" s="39" t="str">
        <f aca="false">IF(OR(AND(D176&gt;0.5,E176&gt;0.5,F176&gt;0.5),AND(D176&lt;0.5,E176&lt;0.5,F176&lt;0.5)),"Yes","No — toss-up")</f>
        <v>Yes</v>
      </c>
    </row>
    <row r="177" customFormat="false" ht="15" hidden="false" customHeight="false" outlineLevel="0" collapsed="false">
      <c r="A177" s="9" t="str">
        <f aca="false">'2026 Forecast A'!A127</f>
        <v>Lehigh</v>
      </c>
      <c r="B177" s="9" t="str">
        <f aca="false">'2026 Forecast A'!B127</f>
        <v>BETHLEHEM</v>
      </c>
      <c r="C177" s="9" t="str">
        <f aca="false">'2026 Forecast A'!C127</f>
        <v>BETHLEHEM 13TH WARD 2ND DIST</v>
      </c>
      <c r="D177" s="10" t="n">
        <f aca="false">'2026 Forecast A'!G127</f>
        <v>0.623028391167192</v>
      </c>
      <c r="E177" s="10" t="n">
        <f aca="false">'2026 Forecast B'!G127</f>
        <v>0.623028391167192</v>
      </c>
      <c r="F177" s="10" t="n">
        <f aca="false">'2026 Forecast C'!G127</f>
        <v>0.627760252365931</v>
      </c>
      <c r="G177" s="38" t="n">
        <f aca="false">(MAX(D177:F177)-MIN(D177:F177))*100</f>
        <v>0.473186119873814</v>
      </c>
      <c r="H177" s="38" t="n">
        <f aca="false">'2026 Forecast A'!J127</f>
        <v>3.02363014511423</v>
      </c>
      <c r="I177" s="38" t="n">
        <f aca="false">'2026 Forecast B'!J127</f>
        <v>2.87918965002339</v>
      </c>
      <c r="J177" s="38" t="n">
        <f aca="false">'2026 Forecast C'!J127</f>
        <v>3.15466234357281</v>
      </c>
      <c r="K177" s="18" t="n">
        <f aca="false">'2026 Forecast A'!F127</f>
        <v>634</v>
      </c>
      <c r="L177" s="39" t="str">
        <f aca="false">IF(OR(AND(D177&gt;0.5,E177&gt;0.5,F177&gt;0.5),AND(D177&lt;0.5,E177&lt;0.5,F177&lt;0.5)),"Yes","No — toss-up")</f>
        <v>Yes</v>
      </c>
    </row>
    <row r="178" customFormat="false" ht="15" hidden="false" customHeight="false" outlineLevel="0" collapsed="false">
      <c r="A178" s="9" t="str">
        <f aca="false">'2026 Forecast A'!A128</f>
        <v>Lehigh</v>
      </c>
      <c r="B178" s="9" t="str">
        <f aca="false">'2026 Forecast A'!B128</f>
        <v>BETHLEHEM</v>
      </c>
      <c r="C178" s="9" t="str">
        <f aca="false">'2026 Forecast A'!C128</f>
        <v>BETHLEHEM 13TH WARD 3RD DIST</v>
      </c>
      <c r="D178" s="10" t="n">
        <f aca="false">'2026 Forecast A'!G128</f>
        <v>0.605226960110041</v>
      </c>
      <c r="E178" s="10" t="n">
        <f aca="false">'2026 Forecast B'!G128</f>
        <v>0.601100412654746</v>
      </c>
      <c r="F178" s="10" t="n">
        <f aca="false">'2026 Forecast C'!G128</f>
        <v>0.610729023383769</v>
      </c>
      <c r="G178" s="38" t="n">
        <f aca="false">(MAX(D178:F178)-MIN(D178:F178))*100</f>
        <v>0.962861072902332</v>
      </c>
      <c r="H178" s="38" t="n">
        <f aca="false">'2026 Forecast A'!J128</f>
        <v>3.02363014511423</v>
      </c>
      <c r="I178" s="38" t="n">
        <f aca="false">'2026 Forecast B'!J128</f>
        <v>2.87918965002339</v>
      </c>
      <c r="J178" s="38" t="n">
        <f aca="false">'2026 Forecast C'!J128</f>
        <v>3.15466234357281</v>
      </c>
      <c r="K178" s="18" t="n">
        <f aca="false">'2026 Forecast A'!F128</f>
        <v>727</v>
      </c>
      <c r="L178" s="39" t="str">
        <f aca="false">IF(OR(AND(D178&gt;0.5,E178&gt;0.5,F178&gt;0.5),AND(D178&lt;0.5,E178&lt;0.5,F178&lt;0.5)),"Yes","No — toss-up")</f>
        <v>Yes</v>
      </c>
    </row>
    <row r="179" customFormat="false" ht="15" hidden="false" customHeight="false" outlineLevel="0" collapsed="false">
      <c r="A179" s="9" t="str">
        <f aca="false">'2026 Forecast A'!A129</f>
        <v>Lehigh</v>
      </c>
      <c r="B179" s="9" t="str">
        <f aca="false">'2026 Forecast A'!B129</f>
        <v>BETHLEHEM</v>
      </c>
      <c r="C179" s="9" t="str">
        <f aca="false">'2026 Forecast A'!C129</f>
        <v>BETHLEHEM 13TH WARD 4TH DIST</v>
      </c>
      <c r="D179" s="10" t="n">
        <f aca="false">'2026 Forecast A'!G129</f>
        <v>0.61358574610245</v>
      </c>
      <c r="E179" s="10" t="n">
        <f aca="false">'2026 Forecast B'!G129</f>
        <v>0.60467706013363</v>
      </c>
      <c r="F179" s="10" t="n">
        <f aca="false">'2026 Forecast C'!G129</f>
        <v>0.619153674832962</v>
      </c>
      <c r="G179" s="38" t="n">
        <f aca="false">(MAX(D179:F179)-MIN(D179:F179))*100</f>
        <v>1.44766146993318</v>
      </c>
      <c r="H179" s="38" t="n">
        <f aca="false">'2026 Forecast A'!J129</f>
        <v>1.80877416096373</v>
      </c>
      <c r="I179" s="38" t="n">
        <f aca="false">'2026 Forecast B'!J129</f>
        <v>1.9254971424187</v>
      </c>
      <c r="J179" s="38" t="n">
        <f aca="false">'2026 Forecast C'!J129</f>
        <v>1.88510957763259</v>
      </c>
      <c r="K179" s="18" t="n">
        <f aca="false">'2026 Forecast A'!F129</f>
        <v>898</v>
      </c>
      <c r="L179" s="39" t="str">
        <f aca="false">IF(OR(AND(D179&gt;0.5,E179&gt;0.5,F179&gt;0.5),AND(D179&lt;0.5,E179&lt;0.5,F179&lt;0.5)),"Yes","No — toss-up")</f>
        <v>Yes</v>
      </c>
    </row>
    <row r="180" customFormat="false" ht="15" hidden="false" customHeight="false" outlineLevel="0" collapsed="false">
      <c r="A180" s="9" t="str">
        <f aca="false">'2026 Forecast A'!A130</f>
        <v>Lehigh</v>
      </c>
      <c r="B180" s="9" t="str">
        <f aca="false">'2026 Forecast A'!B130</f>
        <v>BETHLEHEM</v>
      </c>
      <c r="C180" s="9" t="str">
        <f aca="false">'2026 Forecast A'!C130</f>
        <v>BETHLEHEM 13TH WARD 5TH DIST</v>
      </c>
      <c r="D180" s="10" t="n">
        <f aca="false">'2026 Forecast A'!G130</f>
        <v>0.618045112781955</v>
      </c>
      <c r="E180" s="10" t="n">
        <f aca="false">'2026 Forecast B'!G130</f>
        <v>0.61203007518797</v>
      </c>
      <c r="F180" s="10" t="n">
        <f aca="false">'2026 Forecast C'!G130</f>
        <v>0.622556390977444</v>
      </c>
      <c r="G180" s="38" t="n">
        <f aca="false">(MAX(D180:F180)-MIN(D180:F180))*100</f>
        <v>1.05263157894737</v>
      </c>
      <c r="H180" s="38" t="n">
        <f aca="false">'2026 Forecast A'!J130</f>
        <v>3.02363014511423</v>
      </c>
      <c r="I180" s="38" t="n">
        <f aca="false">'2026 Forecast B'!J130</f>
        <v>2.87918965002339</v>
      </c>
      <c r="J180" s="38" t="n">
        <f aca="false">'2026 Forecast C'!J130</f>
        <v>3.15466234357281</v>
      </c>
      <c r="K180" s="18" t="n">
        <f aca="false">'2026 Forecast A'!F130</f>
        <v>665</v>
      </c>
      <c r="L180" s="39" t="str">
        <f aca="false">IF(OR(AND(D180&gt;0.5,E180&gt;0.5,F180&gt;0.5),AND(D180&lt;0.5,E180&lt;0.5,F180&lt;0.5)),"Yes","No — toss-up")</f>
        <v>Yes</v>
      </c>
    </row>
    <row r="181" customFormat="false" ht="15" hidden="false" customHeight="false" outlineLevel="0" collapsed="false">
      <c r="A181" s="9" t="str">
        <f aca="false">'2026 Forecast A'!A131</f>
        <v>Lehigh</v>
      </c>
      <c r="B181" s="9" t="str">
        <f aca="false">'2026 Forecast A'!B131</f>
        <v>BETHLEHEM</v>
      </c>
      <c r="C181" s="9" t="str">
        <f aca="false">'2026 Forecast A'!C131</f>
        <v>BETHLEHEM 13TH WARD 6TH DIST</v>
      </c>
      <c r="D181" s="10" t="n">
        <f aca="false">'2026 Forecast A'!G131</f>
        <v>0.574137931034483</v>
      </c>
      <c r="E181" s="10" t="n">
        <f aca="false">'2026 Forecast B'!G131</f>
        <v>0.577586206896552</v>
      </c>
      <c r="F181" s="10" t="n">
        <f aca="false">'2026 Forecast C'!G131</f>
        <v>0.581034482758621</v>
      </c>
      <c r="G181" s="38" t="n">
        <f aca="false">(MAX(D181:F181)-MIN(D181:F181))*100</f>
        <v>0.689655172413795</v>
      </c>
      <c r="H181" s="38" t="n">
        <f aca="false">'2026 Forecast A'!J131</f>
        <v>3.02363014511423</v>
      </c>
      <c r="I181" s="38" t="n">
        <f aca="false">'2026 Forecast B'!J131</f>
        <v>2.87918965002339</v>
      </c>
      <c r="J181" s="38" t="n">
        <f aca="false">'2026 Forecast C'!J131</f>
        <v>3.15466234357281</v>
      </c>
      <c r="K181" s="18" t="n">
        <f aca="false">'2026 Forecast A'!F131</f>
        <v>580</v>
      </c>
      <c r="L181" s="39" t="str">
        <f aca="false">IF(OR(AND(D181&gt;0.5,E181&gt;0.5,F181&gt;0.5),AND(D181&lt;0.5,E181&lt;0.5,F181&lt;0.5)),"Yes","No — toss-up")</f>
        <v>Yes</v>
      </c>
    </row>
    <row r="182" customFormat="false" ht="15" hidden="false" customHeight="false" outlineLevel="0" collapsed="false">
      <c r="A182" s="9" t="str">
        <f aca="false">'2026 Forecast A'!A132</f>
        <v>Lehigh</v>
      </c>
      <c r="B182" s="9" t="str">
        <f aca="false">'2026 Forecast A'!B132</f>
        <v>BETHLEHEM</v>
      </c>
      <c r="C182" s="9" t="str">
        <f aca="false">'2026 Forecast A'!C132</f>
        <v>BETHLEHEM 13TH WARD 7TH DIST</v>
      </c>
      <c r="D182" s="10" t="n">
        <f aca="false">'2026 Forecast A'!G132</f>
        <v>0.631419939577039</v>
      </c>
      <c r="E182" s="10" t="n">
        <f aca="false">'2026 Forecast B'!G132</f>
        <v>0.625377643504532</v>
      </c>
      <c r="F182" s="10" t="n">
        <f aca="false">'2026 Forecast C'!G132</f>
        <v>0.63595166163142</v>
      </c>
      <c r="G182" s="38" t="n">
        <f aca="false">(MAX(D182:F182)-MIN(D182:F182))*100</f>
        <v>1.05740181268882</v>
      </c>
      <c r="H182" s="38" t="n">
        <f aca="false">'2026 Forecast A'!J132</f>
        <v>3.02363014511423</v>
      </c>
      <c r="I182" s="38" t="n">
        <f aca="false">'2026 Forecast B'!J132</f>
        <v>2.87918965002339</v>
      </c>
      <c r="J182" s="38" t="n">
        <f aca="false">'2026 Forecast C'!J132</f>
        <v>3.15466234357281</v>
      </c>
      <c r="K182" s="18" t="n">
        <f aca="false">'2026 Forecast A'!F132</f>
        <v>662</v>
      </c>
      <c r="L182" s="39" t="str">
        <f aca="false">IF(OR(AND(D182&gt;0.5,E182&gt;0.5,F182&gt;0.5),AND(D182&lt;0.5,E182&lt;0.5,F182&lt;0.5)),"Yes","No — toss-up")</f>
        <v>Yes</v>
      </c>
    </row>
    <row r="183" customFormat="false" ht="15" hidden="false" customHeight="false" outlineLevel="0" collapsed="false">
      <c r="A183" s="9" t="str">
        <f aca="false">'2026 Forecast A'!A133</f>
        <v>Lehigh</v>
      </c>
      <c r="B183" s="9" t="str">
        <f aca="false">'2026 Forecast A'!B133</f>
        <v>BETHLEHEM</v>
      </c>
      <c r="C183" s="9" t="str">
        <f aca="false">'2026 Forecast A'!C133</f>
        <v>BETHLEHEM 13TH WARD 8TH DIST</v>
      </c>
      <c r="D183" s="10" t="n">
        <f aca="false">'2026 Forecast A'!G133</f>
        <v>0.609756097560976</v>
      </c>
      <c r="E183" s="10" t="n">
        <f aca="false">'2026 Forecast B'!G133</f>
        <v>0.60840108401084</v>
      </c>
      <c r="F183" s="10" t="n">
        <f aca="false">'2026 Forecast C'!G133</f>
        <v>0.613821138211382</v>
      </c>
      <c r="G183" s="38" t="n">
        <f aca="false">(MAX(D183:F183)-MIN(D183:F183))*100</f>
        <v>0.542005420054192</v>
      </c>
      <c r="H183" s="38" t="n">
        <f aca="false">'2026 Forecast A'!J133</f>
        <v>3.02363014511423</v>
      </c>
      <c r="I183" s="38" t="n">
        <f aca="false">'2026 Forecast B'!J133</f>
        <v>2.87918965002339</v>
      </c>
      <c r="J183" s="38" t="n">
        <f aca="false">'2026 Forecast C'!J133</f>
        <v>3.15466234357281</v>
      </c>
      <c r="K183" s="18" t="n">
        <f aca="false">'2026 Forecast A'!F133</f>
        <v>738</v>
      </c>
      <c r="L183" s="39" t="str">
        <f aca="false">IF(OR(AND(D183&gt;0.5,E183&gt;0.5,F183&gt;0.5),AND(D183&lt;0.5,E183&lt;0.5,F183&lt;0.5)),"Yes","No — toss-up")</f>
        <v>Yes</v>
      </c>
    </row>
    <row r="184" customFormat="false" ht="15" hidden="false" customHeight="false" outlineLevel="0" collapsed="false">
      <c r="A184" s="9" t="str">
        <f aca="false">'2026 Forecast A'!A134</f>
        <v>Lehigh</v>
      </c>
      <c r="B184" s="9" t="str">
        <f aca="false">'2026 Forecast A'!B134</f>
        <v>CATASAUQUA</v>
      </c>
      <c r="C184" s="9" t="str">
        <f aca="false">'2026 Forecast A'!C134</f>
        <v>CATASAUQUA 1ST DIST</v>
      </c>
      <c r="D184" s="10" t="n">
        <f aca="false">'2026 Forecast A'!G134</f>
        <v>0.562043795620438</v>
      </c>
      <c r="E184" s="10" t="n">
        <f aca="false">'2026 Forecast B'!G134</f>
        <v>0.564963503649635</v>
      </c>
      <c r="F184" s="10" t="n">
        <f aca="false">'2026 Forecast C'!G134</f>
        <v>0.564963503649635</v>
      </c>
      <c r="G184" s="38" t="n">
        <f aca="false">(MAX(D184:F184)-MIN(D184:F184))*100</f>
        <v>0.291970802919705</v>
      </c>
      <c r="H184" s="38" t="n">
        <f aca="false">'2026 Forecast A'!J134</f>
        <v>3.02363014511423</v>
      </c>
      <c r="I184" s="38" t="n">
        <f aca="false">'2026 Forecast B'!J134</f>
        <v>2.87918965002339</v>
      </c>
      <c r="J184" s="38" t="n">
        <f aca="false">'2026 Forecast C'!J134</f>
        <v>3.15466234357281</v>
      </c>
      <c r="K184" s="18" t="n">
        <f aca="false">'2026 Forecast A'!F134</f>
        <v>685</v>
      </c>
      <c r="L184" s="39" t="str">
        <f aca="false">IF(OR(AND(D184&gt;0.5,E184&gt;0.5,F184&gt;0.5),AND(D184&lt;0.5,E184&lt;0.5,F184&lt;0.5)),"Yes","No — toss-up")</f>
        <v>Yes</v>
      </c>
    </row>
    <row r="185" customFormat="false" ht="15" hidden="false" customHeight="false" outlineLevel="0" collapsed="false">
      <c r="A185" s="9" t="str">
        <f aca="false">'2026 Forecast A'!A135</f>
        <v>Lehigh</v>
      </c>
      <c r="B185" s="9" t="str">
        <f aca="false">'2026 Forecast A'!B135</f>
        <v>CATASAUQUA</v>
      </c>
      <c r="C185" s="9" t="str">
        <f aca="false">'2026 Forecast A'!C135</f>
        <v>CATASAUQUA 2ND DIST</v>
      </c>
      <c r="D185" s="10" t="n">
        <f aca="false">'2026 Forecast A'!G135</f>
        <v>0.50070126227209</v>
      </c>
      <c r="E185" s="10" t="n">
        <f aca="false">'2026 Forecast B'!G135</f>
        <v>0.509116409537167</v>
      </c>
      <c r="F185" s="10" t="n">
        <f aca="false">'2026 Forecast C'!G135</f>
        <v>0.50070126227209</v>
      </c>
      <c r="G185" s="38" t="n">
        <f aca="false">(MAX(D185:F185)-MIN(D185:F185))*100</f>
        <v>0.841514726507708</v>
      </c>
      <c r="H185" s="38" t="n">
        <f aca="false">'2026 Forecast A'!J135</f>
        <v>3.02363014511423</v>
      </c>
      <c r="I185" s="38" t="n">
        <f aca="false">'2026 Forecast B'!J135</f>
        <v>2.87918965002339</v>
      </c>
      <c r="J185" s="38" t="n">
        <f aca="false">'2026 Forecast C'!J135</f>
        <v>3.15466234357281</v>
      </c>
      <c r="K185" s="18" t="n">
        <f aca="false">'2026 Forecast A'!F135</f>
        <v>713</v>
      </c>
      <c r="L185" s="39" t="str">
        <f aca="false">IF(OR(AND(D185&gt;0.5,E185&gt;0.5,F185&gt;0.5),AND(D185&lt;0.5,E185&lt;0.5,F185&lt;0.5)),"Yes","No — toss-up")</f>
        <v>Yes</v>
      </c>
    </row>
    <row r="186" customFormat="false" ht="15" hidden="false" customHeight="false" outlineLevel="0" collapsed="false">
      <c r="A186" s="9" t="str">
        <f aca="false">'2026 Forecast A'!A136</f>
        <v>Lehigh</v>
      </c>
      <c r="B186" s="9" t="str">
        <f aca="false">'2026 Forecast A'!B136</f>
        <v>CATASAUQUA</v>
      </c>
      <c r="C186" s="9" t="str">
        <f aca="false">'2026 Forecast A'!C136</f>
        <v>CATASAUQUA 3RD DIST</v>
      </c>
      <c r="D186" s="10" t="n">
        <f aca="false">'2026 Forecast A'!G136</f>
        <v>0.512163892445583</v>
      </c>
      <c r="E186" s="10" t="n">
        <f aca="false">'2026 Forecast B'!G136</f>
        <v>0.517285531370038</v>
      </c>
      <c r="F186" s="10" t="n">
        <f aca="false">'2026 Forecast C'!G136</f>
        <v>0.513444302176697</v>
      </c>
      <c r="G186" s="38" t="n">
        <f aca="false">(MAX(D186:F186)-MIN(D186:F186))*100</f>
        <v>0.512163892445583</v>
      </c>
      <c r="H186" s="38" t="n">
        <f aca="false">'2026 Forecast A'!J136</f>
        <v>1.80877416096373</v>
      </c>
      <c r="I186" s="38" t="n">
        <f aca="false">'2026 Forecast B'!J136</f>
        <v>1.9254971424187</v>
      </c>
      <c r="J186" s="38" t="n">
        <f aca="false">'2026 Forecast C'!J136</f>
        <v>1.88510957763259</v>
      </c>
      <c r="K186" s="18" t="n">
        <f aca="false">'2026 Forecast A'!F136</f>
        <v>781</v>
      </c>
      <c r="L186" s="39" t="str">
        <f aca="false">IF(OR(AND(D186&gt;0.5,E186&gt;0.5,F186&gt;0.5),AND(D186&lt;0.5,E186&lt;0.5,F186&lt;0.5)),"Yes","No — toss-up")</f>
        <v>Yes</v>
      </c>
    </row>
    <row r="187" customFormat="false" ht="15" hidden="false" customHeight="false" outlineLevel="0" collapsed="false">
      <c r="A187" s="9" t="str">
        <f aca="false">'2026 Forecast A'!A137</f>
        <v>Lehigh</v>
      </c>
      <c r="B187" s="9" t="str">
        <f aca="false">'2026 Forecast A'!B137</f>
        <v>COOPERSBURG</v>
      </c>
      <c r="C187" s="9" t="str">
        <f aca="false">'2026 Forecast A'!C137</f>
        <v>COOPERSBURG</v>
      </c>
      <c r="D187" s="10" t="n">
        <f aca="false">'2026 Forecast A'!G137</f>
        <v>0.500787401574803</v>
      </c>
      <c r="E187" s="10" t="n">
        <f aca="false">'2026 Forecast B'!G137</f>
        <v>0.499212598425197</v>
      </c>
      <c r="F187" s="10" t="n">
        <f aca="false">'2026 Forecast C'!G137</f>
        <v>0.501574803149606</v>
      </c>
      <c r="G187" s="38" t="n">
        <f aca="false">(MAX(D187:F187)-MIN(D187:F187))*100</f>
        <v>0.236220472440951</v>
      </c>
      <c r="H187" s="38" t="n">
        <f aca="false">'2026 Forecast A'!J137</f>
        <v>1.24981746705324</v>
      </c>
      <c r="I187" s="38" t="n">
        <f aca="false">'2026 Forecast B'!J137</f>
        <v>1.86991787188303</v>
      </c>
      <c r="J187" s="38" t="n">
        <f aca="false">'2026 Forecast C'!J137</f>
        <v>1.24424911322721</v>
      </c>
      <c r="K187" s="18" t="n">
        <f aca="false">'2026 Forecast A'!F137</f>
        <v>1270</v>
      </c>
      <c r="L187" s="39" t="str">
        <f aca="false">IF(OR(AND(D187&gt;0.5,E187&gt;0.5,F187&gt;0.5),AND(D187&lt;0.5,E187&lt;0.5,F187&lt;0.5)),"Yes","No — toss-up")</f>
        <v>No — toss-up</v>
      </c>
    </row>
    <row r="188" customFormat="false" ht="15" hidden="false" customHeight="false" outlineLevel="0" collapsed="false">
      <c r="A188" s="9" t="str">
        <f aca="false">'2026 Forecast A'!A138</f>
        <v>Lehigh</v>
      </c>
      <c r="B188" s="9" t="str">
        <f aca="false">'2026 Forecast A'!B138</f>
        <v>COPLAY</v>
      </c>
      <c r="C188" s="9" t="str">
        <f aca="false">'2026 Forecast A'!C138</f>
        <v>COPLAY 1ST DISTRICT</v>
      </c>
      <c r="D188" s="10" t="n">
        <f aca="false">'2026 Forecast A'!G138</f>
        <v>0.51304347826087</v>
      </c>
      <c r="E188" s="10" t="n">
        <f aca="false">'2026 Forecast B'!G138</f>
        <v>0.523478260869565</v>
      </c>
      <c r="F188" s="10" t="n">
        <f aca="false">'2026 Forecast C'!G138</f>
        <v>0.514782608695652</v>
      </c>
      <c r="G188" s="38" t="n">
        <f aca="false">(MAX(D188:F188)-MIN(D188:F188))*100</f>
        <v>1.04347826086956</v>
      </c>
      <c r="H188" s="38" t="n">
        <f aca="false">'2026 Forecast A'!J138</f>
        <v>3.02363014511423</v>
      </c>
      <c r="I188" s="38" t="n">
        <f aca="false">'2026 Forecast B'!J138</f>
        <v>2.87918965002339</v>
      </c>
      <c r="J188" s="38" t="n">
        <f aca="false">'2026 Forecast C'!J138</f>
        <v>3.15466234357281</v>
      </c>
      <c r="K188" s="18" t="n">
        <f aca="false">'2026 Forecast A'!F138</f>
        <v>575</v>
      </c>
      <c r="L188" s="39" t="str">
        <f aca="false">IF(OR(AND(D188&gt;0.5,E188&gt;0.5,F188&gt;0.5),AND(D188&lt;0.5,E188&lt;0.5,F188&lt;0.5)),"Yes","No — toss-up")</f>
        <v>Yes</v>
      </c>
    </row>
    <row r="189" customFormat="false" ht="15" hidden="false" customHeight="false" outlineLevel="0" collapsed="false">
      <c r="A189" s="9" t="str">
        <f aca="false">'2026 Forecast A'!A139</f>
        <v>Lehigh</v>
      </c>
      <c r="B189" s="9" t="str">
        <f aca="false">'2026 Forecast A'!B139</f>
        <v>COPLAY</v>
      </c>
      <c r="C189" s="9" t="str">
        <f aca="false">'2026 Forecast A'!C139</f>
        <v>COPLAY 2ND DISTRICT</v>
      </c>
      <c r="D189" s="10" t="n">
        <f aca="false">'2026 Forecast A'!G139</f>
        <v>0.522179974651458</v>
      </c>
      <c r="E189" s="10" t="n">
        <f aca="false">'2026 Forecast B'!G139</f>
        <v>0.5297845373891</v>
      </c>
      <c r="F189" s="10" t="n">
        <f aca="false">'2026 Forecast C'!G139</f>
        <v>0.523447401774398</v>
      </c>
      <c r="G189" s="38" t="n">
        <f aca="false">(MAX(D189:F189)-MIN(D189:F189))*100</f>
        <v>0.760456273764265</v>
      </c>
      <c r="H189" s="38" t="n">
        <f aca="false">'2026 Forecast A'!J139</f>
        <v>1.80877416096373</v>
      </c>
      <c r="I189" s="38" t="n">
        <f aca="false">'2026 Forecast B'!J139</f>
        <v>1.9254971424187</v>
      </c>
      <c r="J189" s="38" t="n">
        <f aca="false">'2026 Forecast C'!J139</f>
        <v>1.88510957763259</v>
      </c>
      <c r="K189" s="18" t="n">
        <f aca="false">'2026 Forecast A'!F139</f>
        <v>789</v>
      </c>
      <c r="L189" s="39" t="str">
        <f aca="false">IF(OR(AND(D189&gt;0.5,E189&gt;0.5,F189&gt;0.5),AND(D189&lt;0.5,E189&lt;0.5,F189&lt;0.5)),"Yes","No — toss-up")</f>
        <v>Yes</v>
      </c>
    </row>
    <row r="190" customFormat="false" ht="15" hidden="false" customHeight="false" outlineLevel="0" collapsed="false">
      <c r="A190" s="9" t="str">
        <f aca="false">'2026 Forecast A'!A140</f>
        <v>Lehigh</v>
      </c>
      <c r="B190" s="9" t="str">
        <f aca="false">'2026 Forecast A'!B140</f>
        <v>EMMAUS</v>
      </c>
      <c r="C190" s="9" t="str">
        <f aca="false">'2026 Forecast A'!C140</f>
        <v>EMMAUS 1ST DISTRICT</v>
      </c>
      <c r="D190" s="10" t="n">
        <f aca="false">'2026 Forecast A'!G140</f>
        <v>0.53921568627451</v>
      </c>
      <c r="E190" s="10" t="n">
        <f aca="false">'2026 Forecast B'!G140</f>
        <v>0.545343137254902</v>
      </c>
      <c r="F190" s="10" t="n">
        <f aca="false">'2026 Forecast C'!G140</f>
        <v>0.541666666666667</v>
      </c>
      <c r="G190" s="38" t="n">
        <f aca="false">(MAX(D190:F190)-MIN(D190:F190))*100</f>
        <v>0.612745098039214</v>
      </c>
      <c r="H190" s="38" t="n">
        <f aca="false">'2026 Forecast A'!J140</f>
        <v>1.80877416096373</v>
      </c>
      <c r="I190" s="38" t="n">
        <f aca="false">'2026 Forecast B'!J140</f>
        <v>1.9254971424187</v>
      </c>
      <c r="J190" s="38" t="n">
        <f aca="false">'2026 Forecast C'!J140</f>
        <v>1.88510957763259</v>
      </c>
      <c r="K190" s="18" t="n">
        <f aca="false">'2026 Forecast A'!F140</f>
        <v>816</v>
      </c>
      <c r="L190" s="39" t="str">
        <f aca="false">IF(OR(AND(D190&gt;0.5,E190&gt;0.5,F190&gt;0.5),AND(D190&lt;0.5,E190&lt;0.5,F190&lt;0.5)),"Yes","No — toss-up")</f>
        <v>Yes</v>
      </c>
    </row>
    <row r="191" customFormat="false" ht="15" hidden="false" customHeight="false" outlineLevel="0" collapsed="false">
      <c r="A191" s="9" t="str">
        <f aca="false">'2026 Forecast A'!A141</f>
        <v>Lehigh</v>
      </c>
      <c r="B191" s="9" t="str">
        <f aca="false">'2026 Forecast A'!B141</f>
        <v>EMMAUS</v>
      </c>
      <c r="C191" s="9" t="str">
        <f aca="false">'2026 Forecast A'!C141</f>
        <v>EMMAUS 2ND DISTRICT</v>
      </c>
      <c r="D191" s="10" t="n">
        <f aca="false">'2026 Forecast A'!G141</f>
        <v>0.530984204131227</v>
      </c>
      <c r="E191" s="10" t="n">
        <f aca="false">'2026 Forecast B'!G141</f>
        <v>0.534629404617254</v>
      </c>
      <c r="F191" s="10" t="n">
        <f aca="false">'2026 Forecast C'!G141</f>
        <v>0.534629404617254</v>
      </c>
      <c r="G191" s="38" t="n">
        <f aca="false">(MAX(D191:F191)-MIN(D191:F191))*100</f>
        <v>0.364520048602668</v>
      </c>
      <c r="H191" s="38" t="n">
        <f aca="false">'2026 Forecast A'!J141</f>
        <v>1.80877416096373</v>
      </c>
      <c r="I191" s="38" t="n">
        <f aca="false">'2026 Forecast B'!J141</f>
        <v>1.9254971424187</v>
      </c>
      <c r="J191" s="38" t="n">
        <f aca="false">'2026 Forecast C'!J141</f>
        <v>1.88510957763259</v>
      </c>
      <c r="K191" s="18" t="n">
        <f aca="false">'2026 Forecast A'!F141</f>
        <v>823</v>
      </c>
      <c r="L191" s="39" t="str">
        <f aca="false">IF(OR(AND(D191&gt;0.5,E191&gt;0.5,F191&gt;0.5),AND(D191&lt;0.5,E191&lt;0.5,F191&lt;0.5)),"Yes","No — toss-up")</f>
        <v>Yes</v>
      </c>
    </row>
    <row r="192" customFormat="false" ht="15" hidden="false" customHeight="false" outlineLevel="0" collapsed="false">
      <c r="A192" s="9" t="str">
        <f aca="false">'2026 Forecast A'!A142</f>
        <v>Lehigh</v>
      </c>
      <c r="B192" s="9" t="str">
        <f aca="false">'2026 Forecast A'!B142</f>
        <v>EMMAUS</v>
      </c>
      <c r="C192" s="9" t="str">
        <f aca="false">'2026 Forecast A'!C142</f>
        <v>EMMAUS 3RD DISTRICT</v>
      </c>
      <c r="D192" s="10" t="n">
        <f aca="false">'2026 Forecast A'!G142</f>
        <v>0.515028432168968</v>
      </c>
      <c r="E192" s="10" t="n">
        <f aca="false">'2026 Forecast B'!G142</f>
        <v>0.519090170593014</v>
      </c>
      <c r="F192" s="10" t="n">
        <f aca="false">'2026 Forecast C'!G142</f>
        <v>0.515840779853777</v>
      </c>
      <c r="G192" s="38" t="n">
        <f aca="false">(MAX(D192:F192)-MIN(D192:F192))*100</f>
        <v>0.406173842404545</v>
      </c>
      <c r="H192" s="38" t="n">
        <f aca="false">'2026 Forecast A'!J142</f>
        <v>1.24981746705324</v>
      </c>
      <c r="I192" s="38" t="n">
        <f aca="false">'2026 Forecast B'!J142</f>
        <v>1.86991787188303</v>
      </c>
      <c r="J192" s="38" t="n">
        <f aca="false">'2026 Forecast C'!J142</f>
        <v>1.24424911322721</v>
      </c>
      <c r="K192" s="18" t="n">
        <f aca="false">'2026 Forecast A'!F142</f>
        <v>1231</v>
      </c>
      <c r="L192" s="39" t="str">
        <f aca="false">IF(OR(AND(D192&gt;0.5,E192&gt;0.5,F192&gt;0.5),AND(D192&lt;0.5,E192&lt;0.5,F192&lt;0.5)),"Yes","No — toss-up")</f>
        <v>Yes</v>
      </c>
    </row>
    <row r="193" customFormat="false" ht="15" hidden="false" customHeight="false" outlineLevel="0" collapsed="false">
      <c r="A193" s="9" t="str">
        <f aca="false">'2026 Forecast A'!A143</f>
        <v>Lehigh</v>
      </c>
      <c r="B193" s="9" t="str">
        <f aca="false">'2026 Forecast A'!B143</f>
        <v>EMMAUS</v>
      </c>
      <c r="C193" s="9" t="str">
        <f aca="false">'2026 Forecast A'!C143</f>
        <v>EMMAUS 4TH DISTRICT</v>
      </c>
      <c r="D193" s="10" t="n">
        <f aca="false">'2026 Forecast A'!G143</f>
        <v>0.554476806903991</v>
      </c>
      <c r="E193" s="10" t="n">
        <f aca="false">'2026 Forecast B'!G143</f>
        <v>0.560949298813377</v>
      </c>
      <c r="F193" s="10" t="n">
        <f aca="false">'2026 Forecast C'!G143</f>
        <v>0.557713052858684</v>
      </c>
      <c r="G193" s="38" t="n">
        <f aca="false">(MAX(D193:F193)-MIN(D193:F193))*100</f>
        <v>0.647249190938515</v>
      </c>
      <c r="H193" s="38" t="n">
        <f aca="false">'2026 Forecast A'!J143</f>
        <v>1.80877416096373</v>
      </c>
      <c r="I193" s="38" t="n">
        <f aca="false">'2026 Forecast B'!J143</f>
        <v>1.9254971424187</v>
      </c>
      <c r="J193" s="38" t="n">
        <f aca="false">'2026 Forecast C'!J143</f>
        <v>1.88510957763259</v>
      </c>
      <c r="K193" s="18" t="n">
        <f aca="false">'2026 Forecast A'!F143</f>
        <v>927</v>
      </c>
      <c r="L193" s="39" t="str">
        <f aca="false">IF(OR(AND(D193&gt;0.5,E193&gt;0.5,F193&gt;0.5),AND(D193&lt;0.5,E193&lt;0.5,F193&lt;0.5)),"Yes","No — toss-up")</f>
        <v>Yes</v>
      </c>
    </row>
    <row r="194" customFormat="false" ht="15" hidden="false" customHeight="false" outlineLevel="0" collapsed="false">
      <c r="A194" s="9" t="str">
        <f aca="false">'2026 Forecast A'!A144</f>
        <v>Lehigh</v>
      </c>
      <c r="B194" s="9" t="str">
        <f aca="false">'2026 Forecast A'!B144</f>
        <v>EMMAUS</v>
      </c>
      <c r="C194" s="9" t="str">
        <f aca="false">'2026 Forecast A'!C144</f>
        <v>EMMAUS 5TH DISTRICT</v>
      </c>
      <c r="D194" s="10" t="n">
        <f aca="false">'2026 Forecast A'!G144</f>
        <v>0.509632224168126</v>
      </c>
      <c r="E194" s="10" t="n">
        <f aca="false">'2026 Forecast B'!G144</f>
        <v>0.51138353765324</v>
      </c>
      <c r="F194" s="10" t="n">
        <f aca="false">'2026 Forecast C'!G144</f>
        <v>0.51138353765324</v>
      </c>
      <c r="G194" s="38" t="n">
        <f aca="false">(MAX(D194:F194)-MIN(D194:F194))*100</f>
        <v>0.175131348511381</v>
      </c>
      <c r="H194" s="38" t="n">
        <f aca="false">'2026 Forecast A'!J144</f>
        <v>3.02363014511423</v>
      </c>
      <c r="I194" s="38" t="n">
        <f aca="false">'2026 Forecast B'!J144</f>
        <v>2.87918965002339</v>
      </c>
      <c r="J194" s="38" t="n">
        <f aca="false">'2026 Forecast C'!J144</f>
        <v>3.15466234357281</v>
      </c>
      <c r="K194" s="18" t="n">
        <f aca="false">'2026 Forecast A'!F144</f>
        <v>571</v>
      </c>
      <c r="L194" s="39" t="str">
        <f aca="false">IF(OR(AND(D194&gt;0.5,E194&gt;0.5,F194&gt;0.5),AND(D194&lt;0.5,E194&lt;0.5,F194&lt;0.5)),"Yes","No — toss-up")</f>
        <v>Yes</v>
      </c>
    </row>
    <row r="195" customFormat="false" ht="15" hidden="false" customHeight="false" outlineLevel="0" collapsed="false">
      <c r="A195" s="9" t="str">
        <f aca="false">'2026 Forecast A'!A145</f>
        <v>Lehigh</v>
      </c>
      <c r="B195" s="9" t="str">
        <f aca="false">'2026 Forecast A'!B145</f>
        <v>EMMAUS</v>
      </c>
      <c r="C195" s="9" t="str">
        <f aca="false">'2026 Forecast A'!C145</f>
        <v>EMMAUS 6TH DISTRICT</v>
      </c>
      <c r="D195" s="10" t="n">
        <f aca="false">'2026 Forecast A'!G145</f>
        <v>0.574129353233831</v>
      </c>
      <c r="E195" s="10" t="n">
        <f aca="false">'2026 Forecast B'!G145</f>
        <v>0.566169154228856</v>
      </c>
      <c r="F195" s="10" t="n">
        <f aca="false">'2026 Forecast C'!G145</f>
        <v>0.57910447761194</v>
      </c>
      <c r="G195" s="38" t="n">
        <f aca="false">(MAX(D195:F195)-MIN(D195:F195))*100</f>
        <v>1.29353233830846</v>
      </c>
      <c r="H195" s="38" t="n">
        <f aca="false">'2026 Forecast A'!J145</f>
        <v>1.80877416096373</v>
      </c>
      <c r="I195" s="38" t="n">
        <f aca="false">'2026 Forecast B'!J145</f>
        <v>1.9254971424187</v>
      </c>
      <c r="J195" s="38" t="n">
        <f aca="false">'2026 Forecast C'!J145</f>
        <v>1.88510957763259</v>
      </c>
      <c r="K195" s="18" t="n">
        <f aca="false">'2026 Forecast A'!F145</f>
        <v>1005</v>
      </c>
      <c r="L195" s="39" t="str">
        <f aca="false">IF(OR(AND(D195&gt;0.5,E195&gt;0.5,F195&gt;0.5),AND(D195&lt;0.5,E195&lt;0.5,F195&lt;0.5)),"Yes","No — toss-up")</f>
        <v>Yes</v>
      </c>
    </row>
    <row r="196" customFormat="false" ht="15" hidden="false" customHeight="false" outlineLevel="0" collapsed="false">
      <c r="A196" s="9" t="str">
        <f aca="false">'2026 Forecast A'!A146</f>
        <v>Lehigh</v>
      </c>
      <c r="B196" s="9" t="str">
        <f aca="false">'2026 Forecast A'!B146</f>
        <v>FOUNTAIN HILL</v>
      </c>
      <c r="C196" s="9" t="str">
        <f aca="false">'2026 Forecast A'!C146</f>
        <v>FOUNTAIN HILL 1ST DIST</v>
      </c>
      <c r="D196" s="10" t="n">
        <f aca="false">'2026 Forecast A'!G146</f>
        <v>0.671641791044776</v>
      </c>
      <c r="E196" s="10" t="n">
        <f aca="false">'2026 Forecast B'!G146</f>
        <v>0.683250414593698</v>
      </c>
      <c r="F196" s="10" t="n">
        <f aca="false">'2026 Forecast C'!G146</f>
        <v>0.678275290215589</v>
      </c>
      <c r="G196" s="38" t="n">
        <f aca="false">(MAX(D196:F196)-MIN(D196:F196))*100</f>
        <v>1.1608623548922</v>
      </c>
      <c r="H196" s="38" t="n">
        <f aca="false">'2026 Forecast A'!J146</f>
        <v>3.02363014511423</v>
      </c>
      <c r="I196" s="38" t="n">
        <f aca="false">'2026 Forecast B'!J146</f>
        <v>2.87918965002339</v>
      </c>
      <c r="J196" s="38" t="n">
        <f aca="false">'2026 Forecast C'!J146</f>
        <v>3.15466234357281</v>
      </c>
      <c r="K196" s="18" t="n">
        <f aca="false">'2026 Forecast A'!F146</f>
        <v>603</v>
      </c>
      <c r="L196" s="39" t="str">
        <f aca="false">IF(OR(AND(D196&gt;0.5,E196&gt;0.5,F196&gt;0.5),AND(D196&lt;0.5,E196&lt;0.5,F196&lt;0.5)),"Yes","No — toss-up")</f>
        <v>Yes</v>
      </c>
    </row>
    <row r="197" customFormat="false" ht="15" hidden="false" customHeight="false" outlineLevel="0" collapsed="false">
      <c r="A197" s="9" t="str">
        <f aca="false">'2026 Forecast A'!A147</f>
        <v>Lehigh</v>
      </c>
      <c r="B197" s="9" t="str">
        <f aca="false">'2026 Forecast A'!B147</f>
        <v>FOUNTAIN HILL</v>
      </c>
      <c r="C197" s="9" t="str">
        <f aca="false">'2026 Forecast A'!C147</f>
        <v>FOUNTAIN HILL 2ND DIST</v>
      </c>
      <c r="D197" s="10" t="n">
        <f aca="false">'2026 Forecast A'!G147</f>
        <v>0.642561983471074</v>
      </c>
      <c r="E197" s="10" t="n">
        <f aca="false">'2026 Forecast B'!G147</f>
        <v>0.644628099173554</v>
      </c>
      <c r="F197" s="10" t="n">
        <f aca="false">'2026 Forecast C'!G147</f>
        <v>0.646694214876033</v>
      </c>
      <c r="G197" s="38" t="n">
        <f aca="false">(MAX(D197:F197)-MIN(D197:F197))*100</f>
        <v>0.413223140495866</v>
      </c>
      <c r="H197" s="38" t="n">
        <f aca="false">'2026 Forecast A'!J147</f>
        <v>3.02363014511423</v>
      </c>
      <c r="I197" s="38" t="n">
        <f aca="false">'2026 Forecast B'!J147</f>
        <v>2.87918965002339</v>
      </c>
      <c r="J197" s="38" t="n">
        <f aca="false">'2026 Forecast C'!J147</f>
        <v>3.15466234357281</v>
      </c>
      <c r="K197" s="18" t="n">
        <f aca="false">'2026 Forecast A'!F147</f>
        <v>484</v>
      </c>
      <c r="L197" s="39" t="str">
        <f aca="false">IF(OR(AND(D197&gt;0.5,E197&gt;0.5,F197&gt;0.5),AND(D197&lt;0.5,E197&lt;0.5,F197&lt;0.5)),"Yes","No — toss-up")</f>
        <v>Yes</v>
      </c>
    </row>
    <row r="198" customFormat="false" ht="15" hidden="false" customHeight="false" outlineLevel="0" collapsed="false">
      <c r="A198" s="9" t="str">
        <f aca="false">'2026 Forecast A'!A148</f>
        <v>Lehigh</v>
      </c>
      <c r="B198" s="9" t="str">
        <f aca="false">'2026 Forecast A'!B148</f>
        <v>FOUNTAIN HILL</v>
      </c>
      <c r="C198" s="9" t="str">
        <f aca="false">'2026 Forecast A'!C148</f>
        <v>FOUNTAIN HILL 3RD DIST</v>
      </c>
      <c r="D198" s="10" t="n">
        <f aca="false">'2026 Forecast A'!G148</f>
        <v>0.658252427184466</v>
      </c>
      <c r="E198" s="10" t="n">
        <f aca="false">'2026 Forecast B'!G148</f>
        <v>0.652427184466019</v>
      </c>
      <c r="F198" s="10" t="n">
        <f aca="false">'2026 Forecast C'!G148</f>
        <v>0.664077669902913</v>
      </c>
      <c r="G198" s="38" t="n">
        <f aca="false">(MAX(D198:F198)-MIN(D198:F198))*100</f>
        <v>1.16504854368932</v>
      </c>
      <c r="H198" s="38" t="n">
        <f aca="false">'2026 Forecast A'!J148</f>
        <v>3.02363014511423</v>
      </c>
      <c r="I198" s="38" t="n">
        <f aca="false">'2026 Forecast B'!J148</f>
        <v>2.87918965002339</v>
      </c>
      <c r="J198" s="38" t="n">
        <f aca="false">'2026 Forecast C'!J148</f>
        <v>3.15466234357281</v>
      </c>
      <c r="K198" s="18" t="n">
        <f aca="false">'2026 Forecast A'!F148</f>
        <v>515</v>
      </c>
      <c r="L198" s="39" t="str">
        <f aca="false">IF(OR(AND(D198&gt;0.5,E198&gt;0.5,F198&gt;0.5),AND(D198&lt;0.5,E198&lt;0.5,F198&lt;0.5)),"Yes","No — toss-up")</f>
        <v>Yes</v>
      </c>
    </row>
    <row r="199" customFormat="false" ht="15" hidden="false" customHeight="false" outlineLevel="0" collapsed="false">
      <c r="A199" s="9" t="str">
        <f aca="false">'2026 Forecast A'!A149</f>
        <v>Lehigh</v>
      </c>
      <c r="B199" s="9" t="str">
        <f aca="false">'2026 Forecast A'!B149</f>
        <v>HANOVER</v>
      </c>
      <c r="C199" s="9" t="str">
        <f aca="false">'2026 Forecast A'!C149</f>
        <v>HANOVER</v>
      </c>
      <c r="D199" s="10" t="n">
        <f aca="false">'2026 Forecast A'!G149</f>
        <v>0.549586776859504</v>
      </c>
      <c r="E199" s="10" t="n">
        <f aca="false">'2026 Forecast B'!G149</f>
        <v>0.557851239669422</v>
      </c>
      <c r="F199" s="10" t="n">
        <f aca="false">'2026 Forecast C'!G149</f>
        <v>0.551652892561984</v>
      </c>
      <c r="G199" s="38" t="n">
        <f aca="false">(MAX(D199:F199)-MIN(D199:F199))*100</f>
        <v>0.826446280991744</v>
      </c>
      <c r="H199" s="38" t="n">
        <f aca="false">'2026 Forecast A'!J149</f>
        <v>3.02363014511423</v>
      </c>
      <c r="I199" s="38" t="n">
        <f aca="false">'2026 Forecast B'!J149</f>
        <v>2.87918965002339</v>
      </c>
      <c r="J199" s="38" t="n">
        <f aca="false">'2026 Forecast C'!J149</f>
        <v>3.15466234357281</v>
      </c>
      <c r="K199" s="18" t="n">
        <f aca="false">'2026 Forecast A'!F149</f>
        <v>484</v>
      </c>
      <c r="L199" s="39" t="str">
        <f aca="false">IF(OR(AND(D199&gt;0.5,E199&gt;0.5,F199&gt;0.5),AND(D199&lt;0.5,E199&lt;0.5,F199&lt;0.5)),"Yes","No — toss-up")</f>
        <v>Yes</v>
      </c>
    </row>
    <row r="200" customFormat="false" ht="15" hidden="false" customHeight="false" outlineLevel="0" collapsed="false">
      <c r="A200" s="9" t="str">
        <f aca="false">'2026 Forecast A'!A150</f>
        <v>Lehigh</v>
      </c>
      <c r="B200" s="9" t="str">
        <f aca="false">'2026 Forecast A'!B150</f>
        <v>HEIDELBERG</v>
      </c>
      <c r="C200" s="9" t="str">
        <f aca="false">'2026 Forecast A'!C150</f>
        <v>HEIDELBERG</v>
      </c>
      <c r="D200" s="10" t="n">
        <f aca="false">'2026 Forecast A'!G150</f>
        <v>0.317441158720579</v>
      </c>
      <c r="E200" s="10" t="n">
        <f aca="false">'2026 Forecast B'!G150</f>
        <v>0.310802655401328</v>
      </c>
      <c r="F200" s="10" t="n">
        <f aca="false">'2026 Forecast C'!G150</f>
        <v>0.308992154496077</v>
      </c>
      <c r="G200" s="38" t="n">
        <f aca="false">(MAX(D200:F200)-MIN(D200:F200))*100</f>
        <v>0.844900422450212</v>
      </c>
      <c r="H200" s="38" t="n">
        <f aca="false">'2026 Forecast A'!J150</f>
        <v>1.24981746705324</v>
      </c>
      <c r="I200" s="38" t="n">
        <f aca="false">'2026 Forecast B'!J150</f>
        <v>1.86991787188303</v>
      </c>
      <c r="J200" s="38" t="n">
        <f aca="false">'2026 Forecast C'!J150</f>
        <v>1.24424911322721</v>
      </c>
      <c r="K200" s="18" t="n">
        <f aca="false">'2026 Forecast A'!F150</f>
        <v>1657</v>
      </c>
      <c r="L200" s="39" t="str">
        <f aca="false">IF(OR(AND(D200&gt;0.5,E200&gt;0.5,F200&gt;0.5),AND(D200&lt;0.5,E200&lt;0.5,F200&lt;0.5)),"Yes","No — toss-up")</f>
        <v>Yes</v>
      </c>
    </row>
    <row r="201" customFormat="false" ht="15" hidden="false" customHeight="false" outlineLevel="0" collapsed="false">
      <c r="A201" s="9" t="str">
        <f aca="false">'2026 Forecast A'!A151</f>
        <v>Lehigh</v>
      </c>
      <c r="B201" s="9" t="str">
        <f aca="false">'2026 Forecast A'!B151</f>
        <v>LOWER MACUNGIE</v>
      </c>
      <c r="C201" s="9" t="str">
        <f aca="false">'2026 Forecast A'!C151</f>
        <v>LOWER MACUNGIE 10TH DISTRICT</v>
      </c>
      <c r="D201" s="10" t="n">
        <f aca="false">'2026 Forecast A'!G151</f>
        <v>0.505844155844156</v>
      </c>
      <c r="E201" s="10" t="n">
        <f aca="false">'2026 Forecast B'!G151</f>
        <v>0.502597402597403</v>
      </c>
      <c r="F201" s="10" t="n">
        <f aca="false">'2026 Forecast C'!G151</f>
        <v>0.507142857142857</v>
      </c>
      <c r="G201" s="38" t="n">
        <f aca="false">(MAX(D201:F201)-MIN(D201:F201))*100</f>
        <v>0.454545454545452</v>
      </c>
      <c r="H201" s="38" t="n">
        <f aca="false">'2026 Forecast A'!J151</f>
        <v>1.24981746705324</v>
      </c>
      <c r="I201" s="38" t="n">
        <f aca="false">'2026 Forecast B'!J151</f>
        <v>1.86991787188303</v>
      </c>
      <c r="J201" s="38" t="n">
        <f aca="false">'2026 Forecast C'!J151</f>
        <v>1.24424911322721</v>
      </c>
      <c r="K201" s="18" t="n">
        <f aca="false">'2026 Forecast A'!F151</f>
        <v>1540</v>
      </c>
      <c r="L201" s="39" t="str">
        <f aca="false">IF(OR(AND(D201&gt;0.5,E201&gt;0.5,F201&gt;0.5),AND(D201&lt;0.5,E201&lt;0.5,F201&lt;0.5)),"Yes","No — toss-up")</f>
        <v>Yes</v>
      </c>
    </row>
    <row r="202" customFormat="false" ht="15" hidden="false" customHeight="false" outlineLevel="0" collapsed="false">
      <c r="A202" s="9" t="str">
        <f aca="false">'2026 Forecast A'!A152</f>
        <v>Lehigh</v>
      </c>
      <c r="B202" s="9" t="str">
        <f aca="false">'2026 Forecast A'!B152</f>
        <v>LOWER MACUNGIE</v>
      </c>
      <c r="C202" s="9" t="str">
        <f aca="false">'2026 Forecast A'!C152</f>
        <v>LOWER MACUNGIE 1ST DISTRICT</v>
      </c>
      <c r="D202" s="10" t="n">
        <f aca="false">'2026 Forecast A'!G152</f>
        <v>0.510914454277286</v>
      </c>
      <c r="E202" s="10" t="n">
        <f aca="false">'2026 Forecast B'!G152</f>
        <v>0.507964601769912</v>
      </c>
      <c r="F202" s="10" t="n">
        <f aca="false">'2026 Forecast C'!G152</f>
        <v>0.512094395280236</v>
      </c>
      <c r="G202" s="38" t="n">
        <f aca="false">(MAX(D202:F202)-MIN(D202:F202))*100</f>
        <v>0.41297935103245</v>
      </c>
      <c r="H202" s="38" t="n">
        <f aca="false">'2026 Forecast A'!J152</f>
        <v>1.24981746705324</v>
      </c>
      <c r="I202" s="38" t="n">
        <f aca="false">'2026 Forecast B'!J152</f>
        <v>1.86991787188303</v>
      </c>
      <c r="J202" s="38" t="n">
        <f aca="false">'2026 Forecast C'!J152</f>
        <v>1.24424911322721</v>
      </c>
      <c r="K202" s="18" t="n">
        <f aca="false">'2026 Forecast A'!F152</f>
        <v>1695</v>
      </c>
      <c r="L202" s="39" t="str">
        <f aca="false">IF(OR(AND(D202&gt;0.5,E202&gt;0.5,F202&gt;0.5),AND(D202&lt;0.5,E202&lt;0.5,F202&lt;0.5)),"Yes","No — toss-up")</f>
        <v>Yes</v>
      </c>
    </row>
    <row r="203" customFormat="false" ht="15" hidden="false" customHeight="false" outlineLevel="0" collapsed="false">
      <c r="A203" s="9" t="str">
        <f aca="false">'2026 Forecast A'!A153</f>
        <v>Lehigh</v>
      </c>
      <c r="B203" s="9" t="str">
        <f aca="false">'2026 Forecast A'!B153</f>
        <v>LOWER MACUNGIE</v>
      </c>
      <c r="C203" s="9" t="str">
        <f aca="false">'2026 Forecast A'!C153</f>
        <v>LOWER MACUNGIE 2ND DISTRICT</v>
      </c>
      <c r="D203" s="10" t="n">
        <f aca="false">'2026 Forecast A'!G153</f>
        <v>0.509274873524452</v>
      </c>
      <c r="E203" s="10" t="n">
        <f aca="false">'2026 Forecast B'!G153</f>
        <v>0.505227655986509</v>
      </c>
      <c r="F203" s="10" t="n">
        <f aca="false">'2026 Forecast C'!G153</f>
        <v>0.5106239460371</v>
      </c>
      <c r="G203" s="38" t="n">
        <f aca="false">(MAX(D203:F203)-MIN(D203:F203))*100</f>
        <v>0.539629005059017</v>
      </c>
      <c r="H203" s="38" t="n">
        <f aca="false">'2026 Forecast A'!J153</f>
        <v>1.24981746705324</v>
      </c>
      <c r="I203" s="38" t="n">
        <f aca="false">'2026 Forecast B'!J153</f>
        <v>1.86991787188303</v>
      </c>
      <c r="J203" s="38" t="n">
        <f aca="false">'2026 Forecast C'!J153</f>
        <v>1.24424911322721</v>
      </c>
      <c r="K203" s="18" t="n">
        <f aca="false">'2026 Forecast A'!F153</f>
        <v>2965</v>
      </c>
      <c r="L203" s="39" t="str">
        <f aca="false">IF(OR(AND(D203&gt;0.5,E203&gt;0.5,F203&gt;0.5),AND(D203&lt;0.5,E203&lt;0.5,F203&lt;0.5)),"Yes","No — toss-up")</f>
        <v>Yes</v>
      </c>
    </row>
    <row r="204" customFormat="false" ht="15" hidden="false" customHeight="false" outlineLevel="0" collapsed="false">
      <c r="A204" s="9" t="str">
        <f aca="false">'2026 Forecast A'!A154</f>
        <v>Lehigh</v>
      </c>
      <c r="B204" s="9" t="str">
        <f aca="false">'2026 Forecast A'!B154</f>
        <v>LOWER MACUNGIE</v>
      </c>
      <c r="C204" s="9" t="str">
        <f aca="false">'2026 Forecast A'!C154</f>
        <v>LOWER MACUNGIE 3RD DISTRICT</v>
      </c>
      <c r="D204" s="10" t="n">
        <f aca="false">'2026 Forecast A'!G154</f>
        <v>0.503978779840849</v>
      </c>
      <c r="E204" s="10" t="n">
        <f aca="false">'2026 Forecast B'!G154</f>
        <v>0.500663129973475</v>
      </c>
      <c r="F204" s="10" t="n">
        <f aca="false">'2026 Forecast C'!G154</f>
        <v>0.504641909814324</v>
      </c>
      <c r="G204" s="38" t="n">
        <f aca="false">(MAX(D204:F204)-MIN(D204:F204))*100</f>
        <v>0.397877984084871</v>
      </c>
      <c r="H204" s="38" t="n">
        <f aca="false">'2026 Forecast A'!J154</f>
        <v>1.24981746705324</v>
      </c>
      <c r="I204" s="38" t="n">
        <f aca="false">'2026 Forecast B'!J154</f>
        <v>1.86991787188303</v>
      </c>
      <c r="J204" s="38" t="n">
        <f aca="false">'2026 Forecast C'!J154</f>
        <v>1.24424911322721</v>
      </c>
      <c r="K204" s="18" t="n">
        <f aca="false">'2026 Forecast A'!F154</f>
        <v>1508</v>
      </c>
      <c r="L204" s="39" t="str">
        <f aca="false">IF(OR(AND(D204&gt;0.5,E204&gt;0.5,F204&gt;0.5),AND(D204&lt;0.5,E204&lt;0.5,F204&lt;0.5)),"Yes","No — toss-up")</f>
        <v>Yes</v>
      </c>
    </row>
    <row r="205" customFormat="false" ht="15" hidden="false" customHeight="false" outlineLevel="0" collapsed="false">
      <c r="A205" s="9" t="str">
        <f aca="false">'2026 Forecast A'!A155</f>
        <v>Lehigh</v>
      </c>
      <c r="B205" s="9" t="str">
        <f aca="false">'2026 Forecast A'!B155</f>
        <v>LOWER MACUNGIE</v>
      </c>
      <c r="C205" s="9" t="str">
        <f aca="false">'2026 Forecast A'!C155</f>
        <v>LOWER MACUNGIE 4TH DISTRICT</v>
      </c>
      <c r="D205" s="10" t="n">
        <f aca="false">'2026 Forecast A'!G155</f>
        <v>0.503612716763006</v>
      </c>
      <c r="E205" s="10" t="n">
        <f aca="false">'2026 Forecast B'!G155</f>
        <v>0.505780346820809</v>
      </c>
      <c r="F205" s="10" t="n">
        <f aca="false">'2026 Forecast C'!G155</f>
        <v>0.505057803468208</v>
      </c>
      <c r="G205" s="38" t="n">
        <f aca="false">(MAX(D205:F205)-MIN(D205:F205))*100</f>
        <v>0.216763005780352</v>
      </c>
      <c r="H205" s="38" t="n">
        <f aca="false">'2026 Forecast A'!J155</f>
        <v>1.24981746705324</v>
      </c>
      <c r="I205" s="38" t="n">
        <f aca="false">'2026 Forecast B'!J155</f>
        <v>1.86991787188303</v>
      </c>
      <c r="J205" s="38" t="n">
        <f aca="false">'2026 Forecast C'!J155</f>
        <v>1.24424911322721</v>
      </c>
      <c r="K205" s="18" t="n">
        <f aca="false">'2026 Forecast A'!F155</f>
        <v>1384</v>
      </c>
      <c r="L205" s="39" t="str">
        <f aca="false">IF(OR(AND(D205&gt;0.5,E205&gt;0.5,F205&gt;0.5),AND(D205&lt;0.5,E205&lt;0.5,F205&lt;0.5)),"Yes","No — toss-up")</f>
        <v>Yes</v>
      </c>
    </row>
    <row r="206" customFormat="false" ht="15" hidden="false" customHeight="false" outlineLevel="0" collapsed="false">
      <c r="A206" s="9" t="str">
        <f aca="false">'2026 Forecast A'!A156</f>
        <v>Lehigh</v>
      </c>
      <c r="B206" s="9" t="str">
        <f aca="false">'2026 Forecast A'!B156</f>
        <v>LOWER MACUNGIE</v>
      </c>
      <c r="C206" s="9" t="str">
        <f aca="false">'2026 Forecast A'!C156</f>
        <v>LOWER MACUNGIE 5TH DISTRICT</v>
      </c>
      <c r="D206" s="10" t="n">
        <f aca="false">'2026 Forecast A'!G156</f>
        <v>0.519458544839256</v>
      </c>
      <c r="E206" s="10" t="n">
        <f aca="false">'2026 Forecast B'!G156</f>
        <v>0.50507614213198</v>
      </c>
      <c r="F206" s="10" t="n">
        <f aca="false">'2026 Forecast C'!G156</f>
        <v>0.521996615905245</v>
      </c>
      <c r="G206" s="38" t="n">
        <f aca="false">(MAX(D206:F206)-MIN(D206:F206))*100</f>
        <v>1.69204737732657</v>
      </c>
      <c r="H206" s="38" t="n">
        <f aca="false">'2026 Forecast A'!J156</f>
        <v>1.80877416096373</v>
      </c>
      <c r="I206" s="38" t="n">
        <f aca="false">'2026 Forecast B'!J156</f>
        <v>1.9254971424187</v>
      </c>
      <c r="J206" s="38" t="n">
        <f aca="false">'2026 Forecast C'!J156</f>
        <v>1.88510957763259</v>
      </c>
      <c r="K206" s="18" t="n">
        <f aca="false">'2026 Forecast A'!F156</f>
        <v>1182</v>
      </c>
      <c r="L206" s="39" t="str">
        <f aca="false">IF(OR(AND(D206&gt;0.5,E206&gt;0.5,F206&gt;0.5),AND(D206&lt;0.5,E206&lt;0.5,F206&lt;0.5)),"Yes","No — toss-up")</f>
        <v>Yes</v>
      </c>
    </row>
    <row r="207" customFormat="false" ht="15" hidden="false" customHeight="false" outlineLevel="0" collapsed="false">
      <c r="A207" s="9" t="str">
        <f aca="false">'2026 Forecast A'!A157</f>
        <v>Lehigh</v>
      </c>
      <c r="B207" s="9" t="str">
        <f aca="false">'2026 Forecast A'!B157</f>
        <v>LOWER MACUNGIE</v>
      </c>
      <c r="C207" s="9" t="str">
        <f aca="false">'2026 Forecast A'!C157</f>
        <v>LOWER MACUNGIE 6TH DISTRICT</v>
      </c>
      <c r="D207" s="10" t="n">
        <f aca="false">'2026 Forecast A'!G157</f>
        <v>0.503597122302158</v>
      </c>
      <c r="E207" s="10" t="n">
        <f aca="false">'2026 Forecast B'!G157</f>
        <v>0.511990407673861</v>
      </c>
      <c r="F207" s="10" t="n">
        <f aca="false">'2026 Forecast C'!G157</f>
        <v>0.504796163069544</v>
      </c>
      <c r="G207" s="38" t="n">
        <f aca="false">(MAX(D207:F207)-MIN(D207:F207))*100</f>
        <v>0.83932853717027</v>
      </c>
      <c r="H207" s="38" t="n">
        <f aca="false">'2026 Forecast A'!J157</f>
        <v>1.24981746705324</v>
      </c>
      <c r="I207" s="38" t="n">
        <f aca="false">'2026 Forecast B'!J157</f>
        <v>1.86991787188303</v>
      </c>
      <c r="J207" s="38" t="n">
        <f aca="false">'2026 Forecast C'!J157</f>
        <v>1.24424911322721</v>
      </c>
      <c r="K207" s="18" t="n">
        <f aca="false">'2026 Forecast A'!F157</f>
        <v>2502</v>
      </c>
      <c r="L207" s="39" t="str">
        <f aca="false">IF(OR(AND(D207&gt;0.5,E207&gt;0.5,F207&gt;0.5),AND(D207&lt;0.5,E207&lt;0.5,F207&lt;0.5)),"Yes","No — toss-up")</f>
        <v>Yes</v>
      </c>
    </row>
    <row r="208" customFormat="false" ht="15" hidden="false" customHeight="false" outlineLevel="0" collapsed="false">
      <c r="A208" s="9" t="str">
        <f aca="false">'2026 Forecast A'!A158</f>
        <v>Lehigh</v>
      </c>
      <c r="B208" s="9" t="str">
        <f aca="false">'2026 Forecast A'!B158</f>
        <v>LOWER MACUNGIE</v>
      </c>
      <c r="C208" s="9" t="str">
        <f aca="false">'2026 Forecast A'!C158</f>
        <v>LOWER MACUNGIE 7TH DISTRICT</v>
      </c>
      <c r="D208" s="10" t="n">
        <f aca="false">'2026 Forecast A'!G158</f>
        <v>0.533891850723534</v>
      </c>
      <c r="E208" s="10" t="n">
        <f aca="false">'2026 Forecast B'!G158</f>
        <v>0.523229246001523</v>
      </c>
      <c r="F208" s="10" t="n">
        <f aca="false">'2026 Forecast C'!G158</f>
        <v>0.536938309215537</v>
      </c>
      <c r="G208" s="38" t="n">
        <f aca="false">(MAX(D208:F208)-MIN(D208:F208))*100</f>
        <v>1.37090632140138</v>
      </c>
      <c r="H208" s="38" t="n">
        <f aca="false">'2026 Forecast A'!J158</f>
        <v>1.24981746705324</v>
      </c>
      <c r="I208" s="38" t="n">
        <f aca="false">'2026 Forecast B'!J158</f>
        <v>1.86991787188303</v>
      </c>
      <c r="J208" s="38" t="n">
        <f aca="false">'2026 Forecast C'!J158</f>
        <v>1.24424911322721</v>
      </c>
      <c r="K208" s="18" t="n">
        <f aca="false">'2026 Forecast A'!F158</f>
        <v>1313</v>
      </c>
      <c r="L208" s="39" t="str">
        <f aca="false">IF(OR(AND(D208&gt;0.5,E208&gt;0.5,F208&gt;0.5),AND(D208&lt;0.5,E208&lt;0.5,F208&lt;0.5)),"Yes","No — toss-up")</f>
        <v>Yes</v>
      </c>
    </row>
    <row r="209" customFormat="false" ht="15" hidden="false" customHeight="false" outlineLevel="0" collapsed="false">
      <c r="A209" s="9" t="str">
        <f aca="false">'2026 Forecast A'!A159</f>
        <v>Lehigh</v>
      </c>
      <c r="B209" s="9" t="str">
        <f aca="false">'2026 Forecast A'!B159</f>
        <v>LOWER MACUNGIE</v>
      </c>
      <c r="C209" s="9" t="str">
        <f aca="false">'2026 Forecast A'!C159</f>
        <v>LOWER MACUNGIE 8TH DISTRICT</v>
      </c>
      <c r="D209" s="10" t="n">
        <f aca="false">'2026 Forecast A'!G159</f>
        <v>0.514903129657228</v>
      </c>
      <c r="E209" s="10" t="n">
        <f aca="false">'2026 Forecast B'!G159</f>
        <v>0.50521609538003</v>
      </c>
      <c r="F209" s="10" t="n">
        <f aca="false">'2026 Forecast C'!G159</f>
        <v>0.517138599105812</v>
      </c>
      <c r="G209" s="38" t="n">
        <f aca="false">(MAX(D209:F209)-MIN(D209:F209))*100</f>
        <v>1.19225037257824</v>
      </c>
      <c r="H209" s="38" t="n">
        <f aca="false">'2026 Forecast A'!J159</f>
        <v>1.24981746705324</v>
      </c>
      <c r="I209" s="38" t="n">
        <f aca="false">'2026 Forecast B'!J159</f>
        <v>1.86991787188303</v>
      </c>
      <c r="J209" s="38" t="n">
        <f aca="false">'2026 Forecast C'!J159</f>
        <v>1.24424911322721</v>
      </c>
      <c r="K209" s="18" t="n">
        <f aca="false">'2026 Forecast A'!F159</f>
        <v>1342</v>
      </c>
      <c r="L209" s="39" t="str">
        <f aca="false">IF(OR(AND(D209&gt;0.5,E209&gt;0.5,F209&gt;0.5),AND(D209&lt;0.5,E209&lt;0.5,F209&lt;0.5)),"Yes","No — toss-up")</f>
        <v>Yes</v>
      </c>
    </row>
    <row r="210" customFormat="false" ht="15" hidden="false" customHeight="false" outlineLevel="0" collapsed="false">
      <c r="A210" s="9" t="str">
        <f aca="false">'2026 Forecast A'!A160</f>
        <v>Lehigh</v>
      </c>
      <c r="B210" s="9" t="str">
        <f aca="false">'2026 Forecast A'!B160</f>
        <v>LOWER MACUNGIE</v>
      </c>
      <c r="C210" s="9" t="str">
        <f aca="false">'2026 Forecast A'!C160</f>
        <v>LOWER MACUNGIE 9TH DISTRICT</v>
      </c>
      <c r="D210" s="10" t="n">
        <f aca="false">'2026 Forecast A'!G160</f>
        <v>0.514772727272727</v>
      </c>
      <c r="E210" s="10" t="n">
        <f aca="false">'2026 Forecast B'!G160</f>
        <v>0.511363636363636</v>
      </c>
      <c r="F210" s="10" t="n">
        <f aca="false">'2026 Forecast C'!G160</f>
        <v>0.515909090909091</v>
      </c>
      <c r="G210" s="38" t="n">
        <f aca="false">(MAX(D210:F210)-MIN(D210:F210))*100</f>
        <v>0.454545454545452</v>
      </c>
      <c r="H210" s="38" t="n">
        <f aca="false">'2026 Forecast A'!J160</f>
        <v>1.80877416096373</v>
      </c>
      <c r="I210" s="38" t="n">
        <f aca="false">'2026 Forecast B'!J160</f>
        <v>1.9254971424187</v>
      </c>
      <c r="J210" s="38" t="n">
        <f aca="false">'2026 Forecast C'!J160</f>
        <v>1.88510957763259</v>
      </c>
      <c r="K210" s="18" t="n">
        <f aca="false">'2026 Forecast A'!F160</f>
        <v>880</v>
      </c>
      <c r="L210" s="39" t="str">
        <f aca="false">IF(OR(AND(D210&gt;0.5,E210&gt;0.5,F210&gt;0.5),AND(D210&lt;0.5,E210&lt;0.5,F210&lt;0.5)),"Yes","No — toss-up")</f>
        <v>Yes</v>
      </c>
    </row>
    <row r="211" customFormat="false" ht="15" hidden="false" customHeight="false" outlineLevel="0" collapsed="false">
      <c r="A211" s="9" t="str">
        <f aca="false">'2026 Forecast A'!A161</f>
        <v>Lehigh</v>
      </c>
      <c r="B211" s="9" t="str">
        <f aca="false">'2026 Forecast A'!B161</f>
        <v>LOWER MILFORD</v>
      </c>
      <c r="C211" s="9" t="str">
        <f aca="false">'2026 Forecast A'!C161</f>
        <v>LOWER MILFORD</v>
      </c>
      <c r="D211" s="10" t="n">
        <f aca="false">'2026 Forecast A'!G161</f>
        <v>0.38475499092559</v>
      </c>
      <c r="E211" s="10" t="n">
        <f aca="false">'2026 Forecast B'!G161</f>
        <v>0.373865698729583</v>
      </c>
      <c r="F211" s="10" t="n">
        <f aca="false">'2026 Forecast C'!G161</f>
        <v>0.380671506352087</v>
      </c>
      <c r="G211" s="38" t="n">
        <f aca="false">(MAX(D211:F211)-MIN(D211:F211))*100</f>
        <v>1.08892921960073</v>
      </c>
      <c r="H211" s="38" t="n">
        <f aca="false">'2026 Forecast A'!J161</f>
        <v>1.24981746705324</v>
      </c>
      <c r="I211" s="38" t="n">
        <f aca="false">'2026 Forecast B'!J161</f>
        <v>1.86991787188303</v>
      </c>
      <c r="J211" s="38" t="n">
        <f aca="false">'2026 Forecast C'!J161</f>
        <v>1.24424911322721</v>
      </c>
      <c r="K211" s="18" t="n">
        <f aca="false">'2026 Forecast A'!F161</f>
        <v>2204</v>
      </c>
      <c r="L211" s="39" t="str">
        <f aca="false">IF(OR(AND(D211&gt;0.5,E211&gt;0.5,F211&gt;0.5),AND(D211&lt;0.5,E211&lt;0.5,F211&lt;0.5)),"Yes","No — toss-up")</f>
        <v>Yes</v>
      </c>
    </row>
    <row r="212" customFormat="false" ht="15" hidden="false" customHeight="false" outlineLevel="0" collapsed="false">
      <c r="A212" s="9" t="str">
        <f aca="false">'2026 Forecast A'!A162</f>
        <v>Lehigh</v>
      </c>
      <c r="B212" s="9" t="str">
        <f aca="false">'2026 Forecast A'!B162</f>
        <v>LOWHILL</v>
      </c>
      <c r="C212" s="9" t="str">
        <f aca="false">'2026 Forecast A'!C162</f>
        <v>LOWHILL</v>
      </c>
      <c r="D212" s="10" t="n">
        <f aca="false">'2026 Forecast A'!G162</f>
        <v>0.366208569118836</v>
      </c>
      <c r="E212" s="10" t="n">
        <f aca="false">'2026 Forecast B'!G162</f>
        <v>0.358124494745352</v>
      </c>
      <c r="F212" s="10" t="n">
        <f aca="false">'2026 Forecast C'!G162</f>
        <v>0.361358124494745</v>
      </c>
      <c r="G212" s="38" t="n">
        <f aca="false">(MAX(D212:F212)-MIN(D212:F212))*100</f>
        <v>0.808407437348419</v>
      </c>
      <c r="H212" s="38" t="n">
        <f aca="false">'2026 Forecast A'!J162</f>
        <v>1.24981746705324</v>
      </c>
      <c r="I212" s="38" t="n">
        <f aca="false">'2026 Forecast B'!J162</f>
        <v>1.86991787188303</v>
      </c>
      <c r="J212" s="38" t="n">
        <f aca="false">'2026 Forecast C'!J162</f>
        <v>1.24424911322721</v>
      </c>
      <c r="K212" s="18" t="n">
        <f aca="false">'2026 Forecast A'!F162</f>
        <v>1237</v>
      </c>
      <c r="L212" s="39" t="str">
        <f aca="false">IF(OR(AND(D212&gt;0.5,E212&gt;0.5,F212&gt;0.5),AND(D212&lt;0.5,E212&lt;0.5,F212&lt;0.5)),"Yes","No — toss-up")</f>
        <v>Yes</v>
      </c>
    </row>
    <row r="213" customFormat="false" ht="15" hidden="false" customHeight="false" outlineLevel="0" collapsed="false">
      <c r="A213" s="9" t="str">
        <f aca="false">'2026 Forecast A'!A163</f>
        <v>Lehigh</v>
      </c>
      <c r="B213" s="9" t="str">
        <f aca="false">'2026 Forecast A'!B163</f>
        <v>LYNN</v>
      </c>
      <c r="C213" s="9" t="str">
        <f aca="false">'2026 Forecast A'!C163</f>
        <v>LYNN JACKSONVILLE DISTRICT</v>
      </c>
      <c r="D213" s="10" t="n">
        <f aca="false">'2026 Forecast A'!G163</f>
        <v>0.282415630550622</v>
      </c>
      <c r="E213" s="10" t="n">
        <f aca="false">'2026 Forecast B'!G163</f>
        <v>0.27708703374778</v>
      </c>
      <c r="F213" s="10" t="n">
        <f aca="false">'2026 Forecast C'!G163</f>
        <v>0.273534635879218</v>
      </c>
      <c r="G213" s="38" t="n">
        <f aca="false">(MAX(D213:F213)-MIN(D213:F213))*100</f>
        <v>0.888099467140324</v>
      </c>
      <c r="H213" s="38" t="n">
        <f aca="false">'2026 Forecast A'!J163</f>
        <v>3.02363014511423</v>
      </c>
      <c r="I213" s="38" t="n">
        <f aca="false">'2026 Forecast B'!J163</f>
        <v>2.87918965002339</v>
      </c>
      <c r="J213" s="38" t="n">
        <f aca="false">'2026 Forecast C'!J163</f>
        <v>3.15466234357281</v>
      </c>
      <c r="K213" s="18" t="n">
        <f aca="false">'2026 Forecast A'!F163</f>
        <v>563</v>
      </c>
      <c r="L213" s="39" t="str">
        <f aca="false">IF(OR(AND(D213&gt;0.5,E213&gt;0.5,F213&gt;0.5),AND(D213&lt;0.5,E213&lt;0.5,F213&lt;0.5)),"Yes","No — toss-up")</f>
        <v>Yes</v>
      </c>
    </row>
    <row r="214" customFormat="false" ht="15" hidden="false" customHeight="false" outlineLevel="0" collapsed="false">
      <c r="A214" s="9" t="str">
        <f aca="false">'2026 Forecast A'!A164</f>
        <v>Lehigh</v>
      </c>
      <c r="B214" s="9" t="str">
        <f aca="false">'2026 Forecast A'!B164</f>
        <v>LYNN</v>
      </c>
      <c r="C214" s="9" t="str">
        <f aca="false">'2026 Forecast A'!C164</f>
        <v>LYNN LYNNVILLE DISTRICT</v>
      </c>
      <c r="D214" s="10" t="n">
        <f aca="false">'2026 Forecast A'!G164</f>
        <v>0.323759791122715</v>
      </c>
      <c r="E214" s="10" t="n">
        <f aca="false">'2026 Forecast B'!G164</f>
        <v>0.318537859007833</v>
      </c>
      <c r="F214" s="10" t="n">
        <f aca="false">'2026 Forecast C'!G164</f>
        <v>0.315926892950392</v>
      </c>
      <c r="G214" s="38" t="n">
        <f aca="false">(MAX(D214:F214)-MIN(D214:F214))*100</f>
        <v>0.783289817232374</v>
      </c>
      <c r="H214" s="38" t="n">
        <f aca="false">'2026 Forecast A'!J164</f>
        <v>3.02363014511423</v>
      </c>
      <c r="I214" s="38" t="n">
        <f aca="false">'2026 Forecast B'!J164</f>
        <v>2.87918965002339</v>
      </c>
      <c r="J214" s="38" t="n">
        <f aca="false">'2026 Forecast C'!J164</f>
        <v>3.15466234357281</v>
      </c>
      <c r="K214" s="18" t="n">
        <f aca="false">'2026 Forecast A'!F164</f>
        <v>383</v>
      </c>
      <c r="L214" s="39" t="str">
        <f aca="false">IF(OR(AND(D214&gt;0.5,E214&gt;0.5,F214&gt;0.5),AND(D214&lt;0.5,E214&lt;0.5,F214&lt;0.5)),"Yes","No — toss-up")</f>
        <v>Yes</v>
      </c>
    </row>
    <row r="215" customFormat="false" ht="15" hidden="false" customHeight="false" outlineLevel="0" collapsed="false">
      <c r="A215" s="9" t="str">
        <f aca="false">'2026 Forecast A'!A165</f>
        <v>Lehigh</v>
      </c>
      <c r="B215" s="9" t="str">
        <f aca="false">'2026 Forecast A'!B165</f>
        <v>LYNN</v>
      </c>
      <c r="C215" s="9" t="str">
        <f aca="false">'2026 Forecast A'!C165</f>
        <v>LYNN NEW TRIPOLI DISTRICT</v>
      </c>
      <c r="D215" s="10" t="n">
        <f aca="false">'2026 Forecast A'!G165</f>
        <v>0.33974358974359</v>
      </c>
      <c r="E215" s="10" t="n">
        <f aca="false">'2026 Forecast B'!G165</f>
        <v>0.332532051282051</v>
      </c>
      <c r="F215" s="10" t="n">
        <f aca="false">'2026 Forecast C'!G165</f>
        <v>0.332532051282051</v>
      </c>
      <c r="G215" s="38" t="n">
        <f aca="false">(MAX(D215:F215)-MIN(D215:F215))*100</f>
        <v>0.721153846153849</v>
      </c>
      <c r="H215" s="38" t="n">
        <f aca="false">'2026 Forecast A'!J165</f>
        <v>1.24981746705324</v>
      </c>
      <c r="I215" s="38" t="n">
        <f aca="false">'2026 Forecast B'!J165</f>
        <v>1.86991787188303</v>
      </c>
      <c r="J215" s="38" t="n">
        <f aca="false">'2026 Forecast C'!J165</f>
        <v>1.24424911322721</v>
      </c>
      <c r="K215" s="18" t="n">
        <f aca="false">'2026 Forecast A'!F165</f>
        <v>1248</v>
      </c>
      <c r="L215" s="39" t="str">
        <f aca="false">IF(OR(AND(D215&gt;0.5,E215&gt;0.5,F215&gt;0.5),AND(D215&lt;0.5,E215&lt;0.5,F215&lt;0.5)),"Yes","No — toss-up")</f>
        <v>Yes</v>
      </c>
    </row>
    <row r="216" customFormat="false" ht="15" hidden="false" customHeight="false" outlineLevel="0" collapsed="false">
      <c r="A216" s="9" t="str">
        <f aca="false">'2026 Forecast A'!A166</f>
        <v>Lehigh</v>
      </c>
      <c r="B216" s="9" t="str">
        <f aca="false">'2026 Forecast A'!B166</f>
        <v>MACUNGIE</v>
      </c>
      <c r="C216" s="9" t="str">
        <f aca="false">'2026 Forecast A'!C166</f>
        <v>MACUNGIE</v>
      </c>
      <c r="D216" s="10" t="n">
        <f aca="false">'2026 Forecast A'!G166</f>
        <v>0.528750826173166</v>
      </c>
      <c r="E216" s="10" t="n">
        <f aca="false">'2026 Forecast B'!G166</f>
        <v>0.530072703238599</v>
      </c>
      <c r="F216" s="10" t="n">
        <f aca="false">'2026 Forecast C'!G166</f>
        <v>0.532055518836748</v>
      </c>
      <c r="G216" s="38" t="n">
        <f aca="false">(MAX(D216:F216)-MIN(D216:F216))*100</f>
        <v>0.330469266358224</v>
      </c>
      <c r="H216" s="38" t="n">
        <f aca="false">'2026 Forecast A'!J166</f>
        <v>1.24981746705324</v>
      </c>
      <c r="I216" s="38" t="n">
        <f aca="false">'2026 Forecast B'!J166</f>
        <v>1.86991787188303</v>
      </c>
      <c r="J216" s="38" t="n">
        <f aca="false">'2026 Forecast C'!J166</f>
        <v>1.24424911322721</v>
      </c>
      <c r="K216" s="18" t="n">
        <f aca="false">'2026 Forecast A'!F166</f>
        <v>1513</v>
      </c>
      <c r="L216" s="39" t="str">
        <f aca="false">IF(OR(AND(D216&gt;0.5,E216&gt;0.5,F216&gt;0.5),AND(D216&lt;0.5,E216&lt;0.5,F216&lt;0.5)),"Yes","No — toss-up")</f>
        <v>Yes</v>
      </c>
    </row>
    <row r="217" customFormat="false" ht="15" hidden="false" customHeight="false" outlineLevel="0" collapsed="false">
      <c r="A217" s="9" t="str">
        <f aca="false">'2026 Forecast A'!A167</f>
        <v>Lehigh</v>
      </c>
      <c r="B217" s="9" t="str">
        <f aca="false">'2026 Forecast A'!B167</f>
        <v>NORTH WHITEHALL</v>
      </c>
      <c r="C217" s="9" t="str">
        <f aca="false">'2026 Forecast A'!C167</f>
        <v>NORTH WHITEHALL 1ST DISTRICT</v>
      </c>
      <c r="D217" s="10" t="n">
        <f aca="false">'2026 Forecast A'!G167</f>
        <v>0.438716465018411</v>
      </c>
      <c r="E217" s="10" t="n">
        <f aca="false">'2026 Forecast B'!G167</f>
        <v>0.41977906365071</v>
      </c>
      <c r="F217" s="10" t="n">
        <f aca="false">'2026 Forecast C'!G167</f>
        <v>0.438190426091531</v>
      </c>
      <c r="G217" s="38" t="n">
        <f aca="false">(MAX(D217:F217)-MIN(D217:F217))*100</f>
        <v>1.89374013677012</v>
      </c>
      <c r="H217" s="38" t="n">
        <f aca="false">'2026 Forecast A'!J167</f>
        <v>1.24981746705324</v>
      </c>
      <c r="I217" s="38" t="n">
        <f aca="false">'2026 Forecast B'!J167</f>
        <v>1.86991787188303</v>
      </c>
      <c r="J217" s="38" t="n">
        <f aca="false">'2026 Forecast C'!J167</f>
        <v>1.24424911322721</v>
      </c>
      <c r="K217" s="18" t="n">
        <f aca="false">'2026 Forecast A'!F167</f>
        <v>1901</v>
      </c>
      <c r="L217" s="39" t="str">
        <f aca="false">IF(OR(AND(D217&gt;0.5,E217&gt;0.5,F217&gt;0.5),AND(D217&lt;0.5,E217&lt;0.5,F217&lt;0.5)),"Yes","No — toss-up")</f>
        <v>Yes</v>
      </c>
    </row>
    <row r="218" customFormat="false" ht="15" hidden="false" customHeight="false" outlineLevel="0" collapsed="false">
      <c r="A218" s="9" t="str">
        <f aca="false">'2026 Forecast A'!A168</f>
        <v>Lehigh</v>
      </c>
      <c r="B218" s="9" t="str">
        <f aca="false">'2026 Forecast A'!B168</f>
        <v>NORTH WHITEHALL</v>
      </c>
      <c r="C218" s="9" t="str">
        <f aca="false">'2026 Forecast A'!C168</f>
        <v>NORTH WHITEHALL 2ND DISTRICT</v>
      </c>
      <c r="D218" s="10" t="n">
        <f aca="false">'2026 Forecast A'!G168</f>
        <v>0.402380952380952</v>
      </c>
      <c r="E218" s="10" t="n">
        <f aca="false">'2026 Forecast B'!G168</f>
        <v>0.401785714285714</v>
      </c>
      <c r="F218" s="10" t="n">
        <f aca="false">'2026 Forecast C'!G168</f>
        <v>0.399404761904762</v>
      </c>
      <c r="G218" s="38" t="n">
        <f aca="false">(MAX(D218:F218)-MIN(D218:F218))*100</f>
        <v>0.297619047619047</v>
      </c>
      <c r="H218" s="38" t="n">
        <f aca="false">'2026 Forecast A'!J168</f>
        <v>1.24981746705324</v>
      </c>
      <c r="I218" s="38" t="n">
        <f aca="false">'2026 Forecast B'!J168</f>
        <v>1.86991787188303</v>
      </c>
      <c r="J218" s="38" t="n">
        <f aca="false">'2026 Forecast C'!J168</f>
        <v>1.24424911322721</v>
      </c>
      <c r="K218" s="18" t="n">
        <f aca="false">'2026 Forecast A'!F168</f>
        <v>1680</v>
      </c>
      <c r="L218" s="39" t="str">
        <f aca="false">IF(OR(AND(D218&gt;0.5,E218&gt;0.5,F218&gt;0.5),AND(D218&lt;0.5,E218&lt;0.5,F218&lt;0.5)),"Yes","No — toss-up")</f>
        <v>Yes</v>
      </c>
    </row>
    <row r="219" customFormat="false" ht="15" hidden="false" customHeight="false" outlineLevel="0" collapsed="false">
      <c r="A219" s="9" t="str">
        <f aca="false">'2026 Forecast A'!A169</f>
        <v>Lehigh</v>
      </c>
      <c r="B219" s="9" t="str">
        <f aca="false">'2026 Forecast A'!B169</f>
        <v>NORTH WHITEHALL</v>
      </c>
      <c r="C219" s="9" t="str">
        <f aca="false">'2026 Forecast A'!C169</f>
        <v>NORTH WHITEHALL 3RD DISTRICT</v>
      </c>
      <c r="D219" s="10" t="n">
        <f aca="false">'2026 Forecast A'!G169</f>
        <v>0.400444938820912</v>
      </c>
      <c r="E219" s="10" t="n">
        <f aca="false">'2026 Forecast B'!G169</f>
        <v>0.398220244716352</v>
      </c>
      <c r="F219" s="10" t="n">
        <f aca="false">'2026 Forecast C'!G169</f>
        <v>0.398220244716352</v>
      </c>
      <c r="G219" s="38" t="n">
        <f aca="false">(MAX(D219:F219)-MIN(D219:F219))*100</f>
        <v>0.222469410456067</v>
      </c>
      <c r="H219" s="38" t="n">
        <f aca="false">'2026 Forecast A'!J169</f>
        <v>1.80877416096373</v>
      </c>
      <c r="I219" s="38" t="n">
        <f aca="false">'2026 Forecast B'!J169</f>
        <v>1.9254971424187</v>
      </c>
      <c r="J219" s="38" t="n">
        <f aca="false">'2026 Forecast C'!J169</f>
        <v>1.88510957763259</v>
      </c>
      <c r="K219" s="18" t="n">
        <f aca="false">'2026 Forecast A'!F169</f>
        <v>899</v>
      </c>
      <c r="L219" s="39" t="str">
        <f aca="false">IF(OR(AND(D219&gt;0.5,E219&gt;0.5,F219&gt;0.5),AND(D219&lt;0.5,E219&lt;0.5,F219&lt;0.5)),"Yes","No — toss-up")</f>
        <v>Yes</v>
      </c>
    </row>
    <row r="220" customFormat="false" ht="15" hidden="false" customHeight="false" outlineLevel="0" collapsed="false">
      <c r="A220" s="9" t="str">
        <f aca="false">'2026 Forecast A'!A170</f>
        <v>Lehigh</v>
      </c>
      <c r="B220" s="9" t="str">
        <f aca="false">'2026 Forecast A'!B170</f>
        <v>NORTH WHITEHALL</v>
      </c>
      <c r="C220" s="9" t="str">
        <f aca="false">'2026 Forecast A'!C170</f>
        <v>NORTH WHITEHALL 4TH DISTRICT</v>
      </c>
      <c r="D220" s="10" t="n">
        <f aca="false">'2026 Forecast A'!G170</f>
        <v>0.41145440844009</v>
      </c>
      <c r="E220" s="10" t="n">
        <f aca="false">'2026 Forecast B'!G170</f>
        <v>0.40542577241899</v>
      </c>
      <c r="F220" s="10" t="n">
        <f aca="false">'2026 Forecast C'!G170</f>
        <v>0.409193669932178</v>
      </c>
      <c r="G220" s="38" t="n">
        <f aca="false">(MAX(D220:F220)-MIN(D220:F220))*100</f>
        <v>0.602863602110021</v>
      </c>
      <c r="H220" s="38" t="n">
        <f aca="false">'2026 Forecast A'!J170</f>
        <v>1.24981746705324</v>
      </c>
      <c r="I220" s="38" t="n">
        <f aca="false">'2026 Forecast B'!J170</f>
        <v>1.86991787188303</v>
      </c>
      <c r="J220" s="38" t="n">
        <f aca="false">'2026 Forecast C'!J170</f>
        <v>1.24424911322721</v>
      </c>
      <c r="K220" s="18" t="n">
        <f aca="false">'2026 Forecast A'!F170</f>
        <v>1327</v>
      </c>
      <c r="L220" s="39" t="str">
        <f aca="false">IF(OR(AND(D220&gt;0.5,E220&gt;0.5,F220&gt;0.5),AND(D220&lt;0.5,E220&lt;0.5,F220&lt;0.5)),"Yes","No — toss-up")</f>
        <v>Yes</v>
      </c>
    </row>
    <row r="221" customFormat="false" ht="15" hidden="false" customHeight="false" outlineLevel="0" collapsed="false">
      <c r="A221" s="9" t="str">
        <f aca="false">'2026 Forecast A'!A171</f>
        <v>Lehigh</v>
      </c>
      <c r="B221" s="9" t="str">
        <f aca="false">'2026 Forecast A'!B171</f>
        <v>NORTH WHITEHALL</v>
      </c>
      <c r="C221" s="9" t="str">
        <f aca="false">'2026 Forecast A'!C171</f>
        <v>NORTH WHITEHALL 5TH DISTRICT</v>
      </c>
      <c r="D221" s="10" t="n">
        <f aca="false">'2026 Forecast A'!G171</f>
        <v>0.390264730999146</v>
      </c>
      <c r="E221" s="10" t="n">
        <f aca="false">'2026 Forecast B'!G171</f>
        <v>0.384286934244236</v>
      </c>
      <c r="F221" s="10" t="n">
        <f aca="false">'2026 Forecast C'!G171</f>
        <v>0.386848847139197</v>
      </c>
      <c r="G221" s="38" t="n">
        <f aca="false">(MAX(D221:F221)-MIN(D221:F221))*100</f>
        <v>0.597779675491034</v>
      </c>
      <c r="H221" s="38" t="n">
        <f aca="false">'2026 Forecast A'!J171</f>
        <v>1.80877416096373</v>
      </c>
      <c r="I221" s="38" t="n">
        <f aca="false">'2026 Forecast B'!J171</f>
        <v>1.9254971424187</v>
      </c>
      <c r="J221" s="38" t="n">
        <f aca="false">'2026 Forecast C'!J171</f>
        <v>1.88510957763259</v>
      </c>
      <c r="K221" s="18" t="n">
        <f aca="false">'2026 Forecast A'!F171</f>
        <v>1171</v>
      </c>
      <c r="L221" s="39" t="str">
        <f aca="false">IF(OR(AND(D221&gt;0.5,E221&gt;0.5,F221&gt;0.5),AND(D221&lt;0.5,E221&lt;0.5,F221&lt;0.5)),"Yes","No — toss-up")</f>
        <v>Yes</v>
      </c>
    </row>
    <row r="222" customFormat="false" ht="15" hidden="false" customHeight="false" outlineLevel="0" collapsed="false">
      <c r="A222" s="9" t="str">
        <f aca="false">'2026 Forecast A'!A172</f>
        <v>Lehigh</v>
      </c>
      <c r="B222" s="9" t="str">
        <f aca="false">'2026 Forecast A'!B172</f>
        <v>NORTH WHITEHALL</v>
      </c>
      <c r="C222" s="9" t="str">
        <f aca="false">'2026 Forecast A'!C172</f>
        <v>NORTH WHITEHALL 6TH DISTRICT</v>
      </c>
      <c r="D222" s="10" t="n">
        <f aca="false">'2026 Forecast A'!G172</f>
        <v>0.43921139101862</v>
      </c>
      <c r="E222" s="10" t="n">
        <f aca="false">'2026 Forecast B'!G172</f>
        <v>0.434830230010953</v>
      </c>
      <c r="F222" s="10" t="n">
        <f aca="false">'2026 Forecast C'!G172</f>
        <v>0.438116100766703</v>
      </c>
      <c r="G222" s="38" t="n">
        <f aca="false">(MAX(D222:F222)-MIN(D222:F222))*100</f>
        <v>0.438116100766706</v>
      </c>
      <c r="H222" s="38" t="n">
        <f aca="false">'2026 Forecast A'!J172</f>
        <v>1.80877416096373</v>
      </c>
      <c r="I222" s="38" t="n">
        <f aca="false">'2026 Forecast B'!J172</f>
        <v>1.9254971424187</v>
      </c>
      <c r="J222" s="38" t="n">
        <f aca="false">'2026 Forecast C'!J172</f>
        <v>1.88510957763259</v>
      </c>
      <c r="K222" s="18" t="n">
        <f aca="false">'2026 Forecast A'!F172</f>
        <v>913</v>
      </c>
      <c r="L222" s="39" t="str">
        <f aca="false">IF(OR(AND(D222&gt;0.5,E222&gt;0.5,F222&gt;0.5),AND(D222&lt;0.5,E222&lt;0.5,F222&lt;0.5)),"Yes","No — toss-up")</f>
        <v>Yes</v>
      </c>
    </row>
    <row r="223" customFormat="false" ht="15" hidden="false" customHeight="false" outlineLevel="0" collapsed="false">
      <c r="A223" s="9" t="str">
        <f aca="false">'2026 Forecast A'!A173</f>
        <v>Lehigh</v>
      </c>
      <c r="B223" s="9" t="str">
        <f aca="false">'2026 Forecast A'!B173</f>
        <v>SALISBURY</v>
      </c>
      <c r="C223" s="9" t="str">
        <f aca="false">'2026 Forecast A'!C173</f>
        <v>SALISBURY 1ST WARD</v>
      </c>
      <c r="D223" s="10" t="n">
        <f aca="false">'2026 Forecast A'!G173</f>
        <v>0.507360157016683</v>
      </c>
      <c r="E223" s="10" t="n">
        <f aca="false">'2026 Forecast B'!G173</f>
        <v>0.517173699705594</v>
      </c>
      <c r="F223" s="10" t="n">
        <f aca="false">'2026 Forecast C'!G173</f>
        <v>0.508341511285574</v>
      </c>
      <c r="G223" s="38" t="n">
        <f aca="false">(MAX(D223:F223)-MIN(D223:F223))*100</f>
        <v>0.981354268891066</v>
      </c>
      <c r="H223" s="38" t="n">
        <f aca="false">'2026 Forecast A'!J173</f>
        <v>1.80877416096373</v>
      </c>
      <c r="I223" s="38" t="n">
        <f aca="false">'2026 Forecast B'!J173</f>
        <v>1.9254971424187</v>
      </c>
      <c r="J223" s="38" t="n">
        <f aca="false">'2026 Forecast C'!J173</f>
        <v>1.88510957763259</v>
      </c>
      <c r="K223" s="18" t="n">
        <f aca="false">'2026 Forecast A'!F173</f>
        <v>1019</v>
      </c>
      <c r="L223" s="39" t="str">
        <f aca="false">IF(OR(AND(D223&gt;0.5,E223&gt;0.5,F223&gt;0.5),AND(D223&lt;0.5,E223&lt;0.5,F223&lt;0.5)),"Yes","No — toss-up")</f>
        <v>Yes</v>
      </c>
    </row>
    <row r="224" customFormat="false" ht="15" hidden="false" customHeight="false" outlineLevel="0" collapsed="false">
      <c r="A224" s="9" t="str">
        <f aca="false">'2026 Forecast A'!A174</f>
        <v>Lehigh</v>
      </c>
      <c r="B224" s="9" t="str">
        <f aca="false">'2026 Forecast A'!B174</f>
        <v>SALISBURY</v>
      </c>
      <c r="C224" s="9" t="str">
        <f aca="false">'2026 Forecast A'!C174</f>
        <v>SALISBURY 2ND WARD</v>
      </c>
      <c r="D224" s="10" t="n">
        <f aca="false">'2026 Forecast A'!G174</f>
        <v>0.515028432168968</v>
      </c>
      <c r="E224" s="10" t="n">
        <f aca="false">'2026 Forecast B'!G174</f>
        <v>0.523964256701868</v>
      </c>
      <c r="F224" s="10" t="n">
        <f aca="false">'2026 Forecast C'!G174</f>
        <v>0.516653127538587</v>
      </c>
      <c r="G224" s="38" t="n">
        <f aca="false">(MAX(D224:F224)-MIN(D224:F224))*100</f>
        <v>0.893582453290009</v>
      </c>
      <c r="H224" s="38" t="n">
        <f aca="false">'2026 Forecast A'!J174</f>
        <v>1.24981746705324</v>
      </c>
      <c r="I224" s="38" t="n">
        <f aca="false">'2026 Forecast B'!J174</f>
        <v>1.86991787188303</v>
      </c>
      <c r="J224" s="38" t="n">
        <f aca="false">'2026 Forecast C'!J174</f>
        <v>1.24424911322721</v>
      </c>
      <c r="K224" s="18" t="n">
        <f aca="false">'2026 Forecast A'!F174</f>
        <v>1231</v>
      </c>
      <c r="L224" s="39" t="str">
        <f aca="false">IF(OR(AND(D224&gt;0.5,E224&gt;0.5,F224&gt;0.5),AND(D224&lt;0.5,E224&lt;0.5,F224&lt;0.5)),"Yes","No — toss-up")</f>
        <v>Yes</v>
      </c>
    </row>
    <row r="225" customFormat="false" ht="15" hidden="false" customHeight="false" outlineLevel="0" collapsed="false">
      <c r="A225" s="9" t="str">
        <f aca="false">'2026 Forecast A'!A175</f>
        <v>Lehigh</v>
      </c>
      <c r="B225" s="9" t="str">
        <f aca="false">'2026 Forecast A'!B175</f>
        <v>SALISBURY</v>
      </c>
      <c r="C225" s="9" t="str">
        <f aca="false">'2026 Forecast A'!C175</f>
        <v>SALISBURY 3RD WARD 1ST DIST</v>
      </c>
      <c r="D225" s="10" t="n">
        <f aca="false">'2026 Forecast A'!G175</f>
        <v>0.507220216606498</v>
      </c>
      <c r="E225" s="10" t="n">
        <f aca="false">'2026 Forecast B'!G175</f>
        <v>0.505415162454874</v>
      </c>
      <c r="F225" s="10" t="n">
        <f aca="false">'2026 Forecast C'!G175</f>
        <v>0.509025270758123</v>
      </c>
      <c r="G225" s="38" t="n">
        <f aca="false">(MAX(D225:F225)-MIN(D225:F225))*100</f>
        <v>0.361010830324915</v>
      </c>
      <c r="H225" s="38" t="n">
        <f aca="false">'2026 Forecast A'!J175</f>
        <v>3.02363014511423</v>
      </c>
      <c r="I225" s="38" t="n">
        <f aca="false">'2026 Forecast B'!J175</f>
        <v>2.87918965002339</v>
      </c>
      <c r="J225" s="38" t="n">
        <f aca="false">'2026 Forecast C'!J175</f>
        <v>3.15466234357281</v>
      </c>
      <c r="K225" s="18" t="n">
        <f aca="false">'2026 Forecast A'!F175</f>
        <v>554</v>
      </c>
      <c r="L225" s="39" t="str">
        <f aca="false">IF(OR(AND(D225&gt;0.5,E225&gt;0.5,F225&gt;0.5),AND(D225&lt;0.5,E225&lt;0.5,F225&lt;0.5)),"Yes","No — toss-up")</f>
        <v>Yes</v>
      </c>
    </row>
    <row r="226" customFormat="false" ht="15" hidden="false" customHeight="false" outlineLevel="0" collapsed="false">
      <c r="A226" s="9" t="str">
        <f aca="false">'2026 Forecast A'!A176</f>
        <v>Lehigh</v>
      </c>
      <c r="B226" s="9" t="str">
        <f aca="false">'2026 Forecast A'!B176</f>
        <v>SALISBURY</v>
      </c>
      <c r="C226" s="9" t="str">
        <f aca="false">'2026 Forecast A'!C176</f>
        <v>SALISBURY 3RD WARD 2ND DIST</v>
      </c>
      <c r="D226" s="10" t="n">
        <f aca="false">'2026 Forecast A'!G176</f>
        <v>0.515673981191223</v>
      </c>
      <c r="E226" s="10" t="n">
        <f aca="false">'2026 Forecast B'!G176</f>
        <v>0.515673981191223</v>
      </c>
      <c r="F226" s="10" t="n">
        <f aca="false">'2026 Forecast C'!G176</f>
        <v>0.515673981191223</v>
      </c>
      <c r="G226" s="38" t="n">
        <f aca="false">(MAX(D226:F226)-MIN(D226:F226))*100</f>
        <v>0</v>
      </c>
      <c r="H226" s="38" t="n">
        <f aca="false">'2026 Forecast A'!J176</f>
        <v>3.02363014511423</v>
      </c>
      <c r="I226" s="38" t="n">
        <f aca="false">'2026 Forecast B'!J176</f>
        <v>2.87918965002339</v>
      </c>
      <c r="J226" s="38" t="n">
        <f aca="false">'2026 Forecast C'!J176</f>
        <v>3.15466234357281</v>
      </c>
      <c r="K226" s="18" t="n">
        <f aca="false">'2026 Forecast A'!F176</f>
        <v>638</v>
      </c>
      <c r="L226" s="39" t="str">
        <f aca="false">IF(OR(AND(D226&gt;0.5,E226&gt;0.5,F226&gt;0.5),AND(D226&lt;0.5,E226&lt;0.5,F226&lt;0.5)),"Yes","No — toss-up")</f>
        <v>Yes</v>
      </c>
    </row>
    <row r="227" customFormat="false" ht="15" hidden="false" customHeight="false" outlineLevel="0" collapsed="false">
      <c r="A227" s="9" t="str">
        <f aca="false">'2026 Forecast A'!A177</f>
        <v>Lehigh</v>
      </c>
      <c r="B227" s="9" t="str">
        <f aca="false">'2026 Forecast A'!B177</f>
        <v>SALISBURY</v>
      </c>
      <c r="C227" s="9" t="str">
        <f aca="false">'2026 Forecast A'!C177</f>
        <v>SALISBURY 4TH WARD 1ST DIST</v>
      </c>
      <c r="D227" s="10" t="n">
        <f aca="false">'2026 Forecast A'!G177</f>
        <v>0.497663551401869</v>
      </c>
      <c r="E227" s="10" t="n">
        <f aca="false">'2026 Forecast B'!G177</f>
        <v>0.496495327102804</v>
      </c>
      <c r="F227" s="10" t="n">
        <f aca="false">'2026 Forecast C'!G177</f>
        <v>0.498831775700935</v>
      </c>
      <c r="G227" s="38" t="n">
        <f aca="false">(MAX(D227:F227)-MIN(D227:F227))*100</f>
        <v>0.233644859813081</v>
      </c>
      <c r="H227" s="38" t="n">
        <f aca="false">'2026 Forecast A'!J177</f>
        <v>1.80877416096373</v>
      </c>
      <c r="I227" s="38" t="n">
        <f aca="false">'2026 Forecast B'!J177</f>
        <v>1.9254971424187</v>
      </c>
      <c r="J227" s="38" t="n">
        <f aca="false">'2026 Forecast C'!J177</f>
        <v>1.88510957763259</v>
      </c>
      <c r="K227" s="18" t="n">
        <f aca="false">'2026 Forecast A'!F177</f>
        <v>856</v>
      </c>
      <c r="L227" s="39" t="str">
        <f aca="false">IF(OR(AND(D227&gt;0.5,E227&gt;0.5,F227&gt;0.5),AND(D227&lt;0.5,E227&lt;0.5,F227&lt;0.5)),"Yes","No — toss-up")</f>
        <v>Yes</v>
      </c>
    </row>
    <row r="228" customFormat="false" ht="15" hidden="false" customHeight="false" outlineLevel="0" collapsed="false">
      <c r="A228" s="9" t="str">
        <f aca="false">'2026 Forecast A'!A178</f>
        <v>Lehigh</v>
      </c>
      <c r="B228" s="9" t="str">
        <f aca="false">'2026 Forecast A'!B178</f>
        <v>SALISBURY</v>
      </c>
      <c r="C228" s="9" t="str">
        <f aca="false">'2026 Forecast A'!C178</f>
        <v>SALISBURY 4TH WARD 2ND DIST</v>
      </c>
      <c r="D228" s="10" t="n">
        <f aca="false">'2026 Forecast A'!G178</f>
        <v>0.490299823633157</v>
      </c>
      <c r="E228" s="10" t="n">
        <f aca="false">'2026 Forecast B'!G178</f>
        <v>0.492063492063492</v>
      </c>
      <c r="F228" s="10" t="n">
        <f aca="false">'2026 Forecast C'!G178</f>
        <v>0.490299823633157</v>
      </c>
      <c r="G228" s="38" t="n">
        <f aca="false">(MAX(D228:F228)-MIN(D228:F228))*100</f>
        <v>0.17636684303351</v>
      </c>
      <c r="H228" s="38" t="n">
        <f aca="false">'2026 Forecast A'!J178</f>
        <v>3.02363014511423</v>
      </c>
      <c r="I228" s="38" t="n">
        <f aca="false">'2026 Forecast B'!J178</f>
        <v>2.87918965002339</v>
      </c>
      <c r="J228" s="38" t="n">
        <f aca="false">'2026 Forecast C'!J178</f>
        <v>3.15466234357281</v>
      </c>
      <c r="K228" s="18" t="n">
        <f aca="false">'2026 Forecast A'!F178</f>
        <v>567</v>
      </c>
      <c r="L228" s="39" t="str">
        <f aca="false">IF(OR(AND(D228&gt;0.5,E228&gt;0.5,F228&gt;0.5),AND(D228&lt;0.5,E228&lt;0.5,F228&lt;0.5)),"Yes","No — toss-up")</f>
        <v>Yes</v>
      </c>
    </row>
    <row r="229" customFormat="false" ht="15" hidden="false" customHeight="false" outlineLevel="0" collapsed="false">
      <c r="A229" s="9" t="str">
        <f aca="false">'2026 Forecast A'!A179</f>
        <v>Lehigh</v>
      </c>
      <c r="B229" s="9" t="str">
        <f aca="false">'2026 Forecast A'!B179</f>
        <v>SALISBURY</v>
      </c>
      <c r="C229" s="9" t="str">
        <f aca="false">'2026 Forecast A'!C179</f>
        <v>SALISBURY 5TH WARD 1ST DIST</v>
      </c>
      <c r="D229" s="10" t="n">
        <f aca="false">'2026 Forecast A'!G179</f>
        <v>0.52959028831563</v>
      </c>
      <c r="E229" s="10" t="n">
        <f aca="false">'2026 Forecast B'!G179</f>
        <v>0.517450682852807</v>
      </c>
      <c r="F229" s="10" t="n">
        <f aca="false">'2026 Forecast C'!G179</f>
        <v>0.534142640364188</v>
      </c>
      <c r="G229" s="38" t="n">
        <f aca="false">(MAX(D229:F229)-MIN(D229:F229))*100</f>
        <v>1.66919575113809</v>
      </c>
      <c r="H229" s="38" t="n">
        <f aca="false">'2026 Forecast A'!J179</f>
        <v>3.02363014511423</v>
      </c>
      <c r="I229" s="38" t="n">
        <f aca="false">'2026 Forecast B'!J179</f>
        <v>2.87918965002339</v>
      </c>
      <c r="J229" s="38" t="n">
        <f aca="false">'2026 Forecast C'!J179</f>
        <v>3.15466234357281</v>
      </c>
      <c r="K229" s="18" t="n">
        <f aca="false">'2026 Forecast A'!F179</f>
        <v>659</v>
      </c>
      <c r="L229" s="39" t="str">
        <f aca="false">IF(OR(AND(D229&gt;0.5,E229&gt;0.5,F229&gt;0.5),AND(D229&lt;0.5,E229&lt;0.5,F229&lt;0.5)),"Yes","No — toss-up")</f>
        <v>Yes</v>
      </c>
    </row>
    <row r="230" customFormat="false" ht="15" hidden="false" customHeight="false" outlineLevel="0" collapsed="false">
      <c r="A230" s="9" t="str">
        <f aca="false">'2026 Forecast A'!A180</f>
        <v>Lehigh</v>
      </c>
      <c r="B230" s="9" t="str">
        <f aca="false">'2026 Forecast A'!B180</f>
        <v>SALISBURY</v>
      </c>
      <c r="C230" s="9" t="str">
        <f aca="false">'2026 Forecast A'!C180</f>
        <v>SALISBURY 5TH WARD 2ND DIST</v>
      </c>
      <c r="D230" s="10" t="n">
        <f aca="false">'2026 Forecast A'!G180</f>
        <v>0.507777777777778</v>
      </c>
      <c r="E230" s="10" t="n">
        <f aca="false">'2026 Forecast B'!G180</f>
        <v>0.506666666666667</v>
      </c>
      <c r="F230" s="10" t="n">
        <f aca="false">'2026 Forecast C'!G180</f>
        <v>0.51</v>
      </c>
      <c r="G230" s="38" t="n">
        <f aca="false">(MAX(D230:F230)-MIN(D230:F230))*100</f>
        <v>0.33333333333333</v>
      </c>
      <c r="H230" s="38" t="n">
        <f aca="false">'2026 Forecast A'!J180</f>
        <v>1.80877416096373</v>
      </c>
      <c r="I230" s="38" t="n">
        <f aca="false">'2026 Forecast B'!J180</f>
        <v>1.9254971424187</v>
      </c>
      <c r="J230" s="38" t="n">
        <f aca="false">'2026 Forecast C'!J180</f>
        <v>1.88510957763259</v>
      </c>
      <c r="K230" s="18" t="n">
        <f aca="false">'2026 Forecast A'!F180</f>
        <v>900</v>
      </c>
      <c r="L230" s="39" t="str">
        <f aca="false">IF(OR(AND(D230&gt;0.5,E230&gt;0.5,F230&gt;0.5),AND(D230&lt;0.5,E230&lt;0.5,F230&lt;0.5)),"Yes","No — toss-up")</f>
        <v>Yes</v>
      </c>
    </row>
    <row r="231" customFormat="false" ht="15" hidden="false" customHeight="false" outlineLevel="0" collapsed="false">
      <c r="A231" s="9" t="str">
        <f aca="false">'2026 Forecast A'!A181</f>
        <v>Lehigh</v>
      </c>
      <c r="B231" s="9" t="str">
        <f aca="false">'2026 Forecast A'!B181</f>
        <v>SLATINGTON</v>
      </c>
      <c r="C231" s="9" t="str">
        <f aca="false">'2026 Forecast A'!C181</f>
        <v>SLATINGTON 1ST DIST</v>
      </c>
      <c r="D231" s="10" t="n">
        <f aca="false">'2026 Forecast A'!G181</f>
        <v>0.450127877237852</v>
      </c>
      <c r="E231" s="10" t="n">
        <f aca="false">'2026 Forecast B'!G181</f>
        <v>0.462915601023018</v>
      </c>
      <c r="F231" s="10" t="n">
        <f aca="false">'2026 Forecast C'!G181</f>
        <v>0.447570332480818</v>
      </c>
      <c r="G231" s="38" t="n">
        <f aca="false">(MAX(D231:F231)-MIN(D231:F231))*100</f>
        <v>1.53452685421995</v>
      </c>
      <c r="H231" s="38" t="n">
        <f aca="false">'2026 Forecast A'!J181</f>
        <v>3.02363014511423</v>
      </c>
      <c r="I231" s="38" t="n">
        <f aca="false">'2026 Forecast B'!J181</f>
        <v>2.87918965002339</v>
      </c>
      <c r="J231" s="38" t="n">
        <f aca="false">'2026 Forecast C'!J181</f>
        <v>3.15466234357281</v>
      </c>
      <c r="K231" s="18" t="n">
        <f aca="false">'2026 Forecast A'!F181</f>
        <v>391</v>
      </c>
      <c r="L231" s="39" t="str">
        <f aca="false">IF(OR(AND(D231&gt;0.5,E231&gt;0.5,F231&gt;0.5),AND(D231&lt;0.5,E231&lt;0.5,F231&lt;0.5)),"Yes","No — toss-up")</f>
        <v>Yes</v>
      </c>
    </row>
    <row r="232" customFormat="false" ht="15" hidden="false" customHeight="false" outlineLevel="0" collapsed="false">
      <c r="A232" s="9" t="str">
        <f aca="false">'2026 Forecast A'!A182</f>
        <v>Lehigh</v>
      </c>
      <c r="B232" s="9" t="str">
        <f aca="false">'2026 Forecast A'!B182</f>
        <v>SLATINGTON</v>
      </c>
      <c r="C232" s="9" t="str">
        <f aca="false">'2026 Forecast A'!C182</f>
        <v>SLATINGTON 2ND DIST</v>
      </c>
      <c r="D232" s="10" t="n">
        <f aca="false">'2026 Forecast A'!G182</f>
        <v>0.411392405063291</v>
      </c>
      <c r="E232" s="10" t="n">
        <f aca="false">'2026 Forecast B'!G182</f>
        <v>0.424050632911392</v>
      </c>
      <c r="F232" s="10" t="n">
        <f aca="false">'2026 Forecast C'!G182</f>
        <v>0.408227848101266</v>
      </c>
      <c r="G232" s="38" t="n">
        <f aca="false">(MAX(D232:F232)-MIN(D232:F232))*100</f>
        <v>1.58227848101266</v>
      </c>
      <c r="H232" s="38" t="n">
        <f aca="false">'2026 Forecast A'!J182</f>
        <v>3.02363014511423</v>
      </c>
      <c r="I232" s="38" t="n">
        <f aca="false">'2026 Forecast B'!J182</f>
        <v>2.87918965002339</v>
      </c>
      <c r="J232" s="38" t="n">
        <f aca="false">'2026 Forecast C'!J182</f>
        <v>3.15466234357281</v>
      </c>
      <c r="K232" s="18" t="n">
        <f aca="false">'2026 Forecast A'!F182</f>
        <v>316</v>
      </c>
      <c r="L232" s="39" t="str">
        <f aca="false">IF(OR(AND(D232&gt;0.5,E232&gt;0.5,F232&gt;0.5),AND(D232&lt;0.5,E232&lt;0.5,F232&lt;0.5)),"Yes","No — toss-up")</f>
        <v>Yes</v>
      </c>
    </row>
    <row r="233" customFormat="false" ht="15" hidden="false" customHeight="false" outlineLevel="0" collapsed="false">
      <c r="A233" s="9" t="str">
        <f aca="false">'2026 Forecast A'!A183</f>
        <v>Lehigh</v>
      </c>
      <c r="B233" s="9" t="str">
        <f aca="false">'2026 Forecast A'!B183</f>
        <v>SLATINGTON</v>
      </c>
      <c r="C233" s="9" t="str">
        <f aca="false">'2026 Forecast A'!C183</f>
        <v>SLATINGTON 3RD DIST</v>
      </c>
      <c r="D233" s="10" t="n">
        <f aca="false">'2026 Forecast A'!G183</f>
        <v>0.43421052631579</v>
      </c>
      <c r="E233" s="10" t="n">
        <f aca="false">'2026 Forecast B'!G183</f>
        <v>0.432748538011696</v>
      </c>
      <c r="F233" s="10" t="n">
        <f aca="false">'2026 Forecast C'!G183</f>
        <v>0.432748538011696</v>
      </c>
      <c r="G233" s="38" t="n">
        <f aca="false">(MAX(D233:F233)-MIN(D233:F233))*100</f>
        <v>0.146198830409361</v>
      </c>
      <c r="H233" s="38" t="n">
        <f aca="false">'2026 Forecast A'!J183</f>
        <v>3.02363014511423</v>
      </c>
      <c r="I233" s="38" t="n">
        <f aca="false">'2026 Forecast B'!J183</f>
        <v>2.87918965002339</v>
      </c>
      <c r="J233" s="38" t="n">
        <f aca="false">'2026 Forecast C'!J183</f>
        <v>3.15466234357281</v>
      </c>
      <c r="K233" s="18" t="n">
        <f aca="false">'2026 Forecast A'!F183</f>
        <v>684</v>
      </c>
      <c r="L233" s="39" t="str">
        <f aca="false">IF(OR(AND(D233&gt;0.5,E233&gt;0.5,F233&gt;0.5),AND(D233&lt;0.5,E233&lt;0.5,F233&lt;0.5)),"Yes","No — toss-up")</f>
        <v>Yes</v>
      </c>
    </row>
    <row r="234" customFormat="false" ht="15" hidden="false" customHeight="false" outlineLevel="0" collapsed="false">
      <c r="A234" s="9" t="str">
        <f aca="false">'2026 Forecast A'!A184</f>
        <v>Lehigh</v>
      </c>
      <c r="B234" s="9" t="str">
        <f aca="false">'2026 Forecast A'!B184</f>
        <v>SOUTH WHITEHALL</v>
      </c>
      <c r="C234" s="9" t="str">
        <f aca="false">'2026 Forecast A'!C184</f>
        <v>SOUTH WHITEHALL 1ST DISTRICT</v>
      </c>
      <c r="D234" s="10" t="n">
        <f aca="false">'2026 Forecast A'!G184</f>
        <v>0.508809020436927</v>
      </c>
      <c r="E234" s="10" t="n">
        <f aca="false">'2026 Forecast B'!G184</f>
        <v>0.514446793516561</v>
      </c>
      <c r="F234" s="10" t="n">
        <f aca="false">'2026 Forecast C'!G184</f>
        <v>0.510218463706836</v>
      </c>
      <c r="G234" s="38" t="n">
        <f aca="false">(MAX(D234:F234)-MIN(D234:F234))*100</f>
        <v>0.563777307963354</v>
      </c>
      <c r="H234" s="38" t="n">
        <f aca="false">'2026 Forecast A'!J184</f>
        <v>1.24981746705324</v>
      </c>
      <c r="I234" s="38" t="n">
        <f aca="false">'2026 Forecast B'!J184</f>
        <v>1.86991787188303</v>
      </c>
      <c r="J234" s="38" t="n">
        <f aca="false">'2026 Forecast C'!J184</f>
        <v>1.24424911322721</v>
      </c>
      <c r="K234" s="18" t="n">
        <f aca="false">'2026 Forecast A'!F184</f>
        <v>1419</v>
      </c>
      <c r="L234" s="39" t="str">
        <f aca="false">IF(OR(AND(D234&gt;0.5,E234&gt;0.5,F234&gt;0.5),AND(D234&lt;0.5,E234&lt;0.5,F234&lt;0.5)),"Yes","No — toss-up")</f>
        <v>Yes</v>
      </c>
    </row>
    <row r="235" customFormat="false" ht="15" hidden="false" customHeight="false" outlineLevel="0" collapsed="false">
      <c r="A235" s="9" t="str">
        <f aca="false">'2026 Forecast A'!A185</f>
        <v>Lehigh</v>
      </c>
      <c r="B235" s="9" t="str">
        <f aca="false">'2026 Forecast A'!B185</f>
        <v>SOUTH WHITEHALL</v>
      </c>
      <c r="C235" s="9" t="str">
        <f aca="false">'2026 Forecast A'!C185</f>
        <v>SOUTH WHITEHALL 2ND DISTRICT</v>
      </c>
      <c r="D235" s="10" t="n">
        <f aca="false">'2026 Forecast A'!G185</f>
        <v>0.509833585476551</v>
      </c>
      <c r="E235" s="10" t="n">
        <f aca="false">'2026 Forecast B'!G185</f>
        <v>0.51588502269289</v>
      </c>
      <c r="F235" s="10" t="n">
        <f aca="false">'2026 Forecast C'!G185</f>
        <v>0.51285930408472</v>
      </c>
      <c r="G235" s="38" t="n">
        <f aca="false">(MAX(D235:F235)-MIN(D235:F235))*100</f>
        <v>0.605143721633894</v>
      </c>
      <c r="H235" s="38" t="n">
        <f aca="false">'2026 Forecast A'!J185</f>
        <v>3.02363014511423</v>
      </c>
      <c r="I235" s="38" t="n">
        <f aca="false">'2026 Forecast B'!J185</f>
        <v>2.87918965002339</v>
      </c>
      <c r="J235" s="38" t="n">
        <f aca="false">'2026 Forecast C'!J185</f>
        <v>3.15466234357281</v>
      </c>
      <c r="K235" s="18" t="n">
        <f aca="false">'2026 Forecast A'!F185</f>
        <v>661</v>
      </c>
      <c r="L235" s="39" t="str">
        <f aca="false">IF(OR(AND(D235&gt;0.5,E235&gt;0.5,F235&gt;0.5),AND(D235&lt;0.5,E235&lt;0.5,F235&lt;0.5)),"Yes","No — toss-up")</f>
        <v>Yes</v>
      </c>
    </row>
    <row r="236" customFormat="false" ht="15" hidden="false" customHeight="false" outlineLevel="0" collapsed="false">
      <c r="A236" s="9" t="str">
        <f aca="false">'2026 Forecast A'!A186</f>
        <v>Lehigh</v>
      </c>
      <c r="B236" s="9" t="str">
        <f aca="false">'2026 Forecast A'!B186</f>
        <v>SOUTH WHITEHALL</v>
      </c>
      <c r="C236" s="9" t="str">
        <f aca="false">'2026 Forecast A'!C186</f>
        <v>SOUTH WHITEHALL 3RD DISTRICT</v>
      </c>
      <c r="D236" s="10" t="n">
        <f aca="false">'2026 Forecast A'!G186</f>
        <v>0.564026206075045</v>
      </c>
      <c r="E236" s="10" t="n">
        <f aca="false">'2026 Forecast B'!G186</f>
        <v>0.559857057772484</v>
      </c>
      <c r="F236" s="10" t="n">
        <f aca="false">'2026 Forecast C'!G186</f>
        <v>0.569386539606909</v>
      </c>
      <c r="G236" s="38" t="n">
        <f aca="false">(MAX(D236:F236)-MIN(D236:F236))*100</f>
        <v>0.952948183442526</v>
      </c>
      <c r="H236" s="38" t="n">
        <f aca="false">'2026 Forecast A'!J186</f>
        <v>1.24981746705324</v>
      </c>
      <c r="I236" s="38" t="n">
        <f aca="false">'2026 Forecast B'!J186</f>
        <v>1.86991787188303</v>
      </c>
      <c r="J236" s="38" t="n">
        <f aca="false">'2026 Forecast C'!J186</f>
        <v>1.24424911322721</v>
      </c>
      <c r="K236" s="18" t="n">
        <f aca="false">'2026 Forecast A'!F186</f>
        <v>1679</v>
      </c>
      <c r="L236" s="39" t="str">
        <f aca="false">IF(OR(AND(D236&gt;0.5,E236&gt;0.5,F236&gt;0.5),AND(D236&lt;0.5,E236&lt;0.5,F236&lt;0.5)),"Yes","No — toss-up")</f>
        <v>Yes</v>
      </c>
    </row>
    <row r="237" customFormat="false" ht="15" hidden="false" customHeight="false" outlineLevel="0" collapsed="false">
      <c r="A237" s="9" t="str">
        <f aca="false">'2026 Forecast A'!A187</f>
        <v>Lehigh</v>
      </c>
      <c r="B237" s="9" t="str">
        <f aca="false">'2026 Forecast A'!B187</f>
        <v>SOUTH WHITEHALL</v>
      </c>
      <c r="C237" s="9" t="str">
        <f aca="false">'2026 Forecast A'!C187</f>
        <v>SOUTH WHITEHALL 4TH DISTRICT</v>
      </c>
      <c r="D237" s="10" t="n">
        <f aca="false">'2026 Forecast A'!G187</f>
        <v>0.504608294930876</v>
      </c>
      <c r="E237" s="10" t="n">
        <f aca="false">'2026 Forecast B'!G187</f>
        <v>0.505760368663594</v>
      </c>
      <c r="F237" s="10" t="n">
        <f aca="false">'2026 Forecast C'!G187</f>
        <v>0.504608294930876</v>
      </c>
      <c r="G237" s="38" t="n">
        <f aca="false">(MAX(D237:F237)-MIN(D237:F237))*100</f>
        <v>0.115207373271886</v>
      </c>
      <c r="H237" s="38" t="n">
        <f aca="false">'2026 Forecast A'!J187</f>
        <v>1.80877416096373</v>
      </c>
      <c r="I237" s="38" t="n">
        <f aca="false">'2026 Forecast B'!J187</f>
        <v>1.9254971424187</v>
      </c>
      <c r="J237" s="38" t="n">
        <f aca="false">'2026 Forecast C'!J187</f>
        <v>1.88510957763259</v>
      </c>
      <c r="K237" s="18" t="n">
        <f aca="false">'2026 Forecast A'!F187</f>
        <v>868</v>
      </c>
      <c r="L237" s="39" t="str">
        <f aca="false">IF(OR(AND(D237&gt;0.5,E237&gt;0.5,F237&gt;0.5),AND(D237&lt;0.5,E237&lt;0.5,F237&lt;0.5)),"Yes","No — toss-up")</f>
        <v>Yes</v>
      </c>
    </row>
    <row r="238" customFormat="false" ht="15" hidden="false" customHeight="false" outlineLevel="0" collapsed="false">
      <c r="A238" s="9" t="str">
        <f aca="false">'2026 Forecast A'!A188</f>
        <v>Lehigh</v>
      </c>
      <c r="B238" s="9" t="str">
        <f aca="false">'2026 Forecast A'!B188</f>
        <v>SOUTH WHITEHALL</v>
      </c>
      <c r="C238" s="9" t="str">
        <f aca="false">'2026 Forecast A'!C188</f>
        <v>SOUTH WHITEHALL 5TH DISTRICT</v>
      </c>
      <c r="D238" s="10" t="n">
        <f aca="false">'2026 Forecast A'!G188</f>
        <v>0.594358629952989</v>
      </c>
      <c r="E238" s="10" t="n">
        <f aca="false">'2026 Forecast B'!G188</f>
        <v>0.58226997985225</v>
      </c>
      <c r="F238" s="10" t="n">
        <f aca="false">'2026 Forecast C'!G188</f>
        <v>0.601074546675621</v>
      </c>
      <c r="G238" s="38" t="n">
        <f aca="false">(MAX(D238:F238)-MIN(D238:F238))*100</f>
        <v>1.88045668233714</v>
      </c>
      <c r="H238" s="38" t="n">
        <f aca="false">'2026 Forecast A'!J188</f>
        <v>1.24981746705324</v>
      </c>
      <c r="I238" s="38" t="n">
        <f aca="false">'2026 Forecast B'!J188</f>
        <v>1.86991787188303</v>
      </c>
      <c r="J238" s="38" t="n">
        <f aca="false">'2026 Forecast C'!J188</f>
        <v>1.24424911322721</v>
      </c>
      <c r="K238" s="18" t="n">
        <f aca="false">'2026 Forecast A'!F188</f>
        <v>1489</v>
      </c>
      <c r="L238" s="39" t="str">
        <f aca="false">IF(OR(AND(D238&gt;0.5,E238&gt;0.5,F238&gt;0.5),AND(D238&lt;0.5,E238&lt;0.5,F238&lt;0.5)),"Yes","No — toss-up")</f>
        <v>Yes</v>
      </c>
    </row>
    <row r="239" customFormat="false" ht="15" hidden="false" customHeight="false" outlineLevel="0" collapsed="false">
      <c r="A239" s="9" t="str">
        <f aca="false">'2026 Forecast A'!A189</f>
        <v>Lehigh</v>
      </c>
      <c r="B239" s="9" t="str">
        <f aca="false">'2026 Forecast A'!B189</f>
        <v>SOUTH WHITEHALL</v>
      </c>
      <c r="C239" s="9" t="str">
        <f aca="false">'2026 Forecast A'!C189</f>
        <v>SOUTH WHITEHALL 6TH DISTRICT</v>
      </c>
      <c r="D239" s="10" t="n">
        <f aca="false">'2026 Forecast A'!G189</f>
        <v>0.591891891891892</v>
      </c>
      <c r="E239" s="10" t="n">
        <f aca="false">'2026 Forecast B'!G189</f>
        <v>0.585135135135135</v>
      </c>
      <c r="F239" s="10" t="n">
        <f aca="false">'2026 Forecast C'!G189</f>
        <v>0.598648648648649</v>
      </c>
      <c r="G239" s="38" t="n">
        <f aca="false">(MAX(D239:F239)-MIN(D239:F239))*100</f>
        <v>1.35135135135135</v>
      </c>
      <c r="H239" s="38" t="n">
        <f aca="false">'2026 Forecast A'!J189</f>
        <v>1.24981746705324</v>
      </c>
      <c r="I239" s="38" t="n">
        <f aca="false">'2026 Forecast B'!J189</f>
        <v>1.86991787188303</v>
      </c>
      <c r="J239" s="38" t="n">
        <f aca="false">'2026 Forecast C'!J189</f>
        <v>1.24424911322721</v>
      </c>
      <c r="K239" s="18" t="n">
        <f aca="false">'2026 Forecast A'!F189</f>
        <v>1480</v>
      </c>
      <c r="L239" s="39" t="str">
        <f aca="false">IF(OR(AND(D239&gt;0.5,E239&gt;0.5,F239&gt;0.5),AND(D239&lt;0.5,E239&lt;0.5,F239&lt;0.5)),"Yes","No — toss-up")</f>
        <v>Yes</v>
      </c>
    </row>
    <row r="240" customFormat="false" ht="15" hidden="false" customHeight="false" outlineLevel="0" collapsed="false">
      <c r="A240" s="9" t="str">
        <f aca="false">'2026 Forecast A'!A190</f>
        <v>Lehigh</v>
      </c>
      <c r="B240" s="9" t="str">
        <f aca="false">'2026 Forecast A'!B190</f>
        <v>SOUTH WHITEHALL</v>
      </c>
      <c r="C240" s="9" t="str">
        <f aca="false">'2026 Forecast A'!C190</f>
        <v>SOUTH WHITEHALL 7TH DISTRICT</v>
      </c>
      <c r="D240" s="10" t="n">
        <f aca="false">'2026 Forecast A'!G190</f>
        <v>0.520618556701031</v>
      </c>
      <c r="E240" s="10" t="n">
        <f aca="false">'2026 Forecast B'!G190</f>
        <v>0.527061855670103</v>
      </c>
      <c r="F240" s="10" t="n">
        <f aca="false">'2026 Forecast C'!G190</f>
        <v>0.52319587628866</v>
      </c>
      <c r="G240" s="38" t="n">
        <f aca="false">(MAX(D240:F240)-MIN(D240:F240))*100</f>
        <v>0.644329896907214</v>
      </c>
      <c r="H240" s="38" t="n">
        <f aca="false">'2026 Forecast A'!J190</f>
        <v>1.80877416096373</v>
      </c>
      <c r="I240" s="38" t="n">
        <f aca="false">'2026 Forecast B'!J190</f>
        <v>1.9254971424187</v>
      </c>
      <c r="J240" s="38" t="n">
        <f aca="false">'2026 Forecast C'!J190</f>
        <v>1.88510957763259</v>
      </c>
      <c r="K240" s="18" t="n">
        <f aca="false">'2026 Forecast A'!F190</f>
        <v>776</v>
      </c>
      <c r="L240" s="39" t="str">
        <f aca="false">IF(OR(AND(D240&gt;0.5,E240&gt;0.5,F240&gt;0.5),AND(D240&lt;0.5,E240&lt;0.5,F240&lt;0.5)),"Yes","No — toss-up")</f>
        <v>Yes</v>
      </c>
    </row>
    <row r="241" customFormat="false" ht="15" hidden="false" customHeight="false" outlineLevel="0" collapsed="false">
      <c r="A241" s="9" t="str">
        <f aca="false">'2026 Forecast A'!A191</f>
        <v>Lehigh</v>
      </c>
      <c r="B241" s="9" t="str">
        <f aca="false">'2026 Forecast A'!B191</f>
        <v>SOUTH WHITEHALL</v>
      </c>
      <c r="C241" s="9" t="str">
        <f aca="false">'2026 Forecast A'!C191</f>
        <v>SOUTH WHITEHALL 8TH DISTRICT</v>
      </c>
      <c r="D241" s="10" t="n">
        <f aca="false">'2026 Forecast A'!G191</f>
        <v>0.509219858156028</v>
      </c>
      <c r="E241" s="10" t="n">
        <f aca="false">'2026 Forecast B'!G191</f>
        <v>0.511111111111111</v>
      </c>
      <c r="F241" s="10" t="n">
        <f aca="false">'2026 Forecast C'!G191</f>
        <v>0.511111111111111</v>
      </c>
      <c r="G241" s="38" t="n">
        <f aca="false">(MAX(D241:F241)-MIN(D241:F241))*100</f>
        <v>0.189125295508275</v>
      </c>
      <c r="H241" s="38" t="n">
        <f aca="false">'2026 Forecast A'!J191</f>
        <v>1.24981746705324</v>
      </c>
      <c r="I241" s="38" t="n">
        <f aca="false">'2026 Forecast B'!J191</f>
        <v>1.86991787188303</v>
      </c>
      <c r="J241" s="38" t="n">
        <f aca="false">'2026 Forecast C'!J191</f>
        <v>1.24424911322721</v>
      </c>
      <c r="K241" s="18" t="n">
        <f aca="false">'2026 Forecast A'!F191</f>
        <v>2115</v>
      </c>
      <c r="L241" s="39" t="str">
        <f aca="false">IF(OR(AND(D241&gt;0.5,E241&gt;0.5,F241&gt;0.5),AND(D241&lt;0.5,E241&lt;0.5,F241&lt;0.5)),"Yes","No — toss-up")</f>
        <v>Yes</v>
      </c>
    </row>
    <row r="242" customFormat="false" ht="15" hidden="false" customHeight="false" outlineLevel="0" collapsed="false">
      <c r="A242" s="9" t="str">
        <f aca="false">'2026 Forecast A'!A192</f>
        <v>Lehigh</v>
      </c>
      <c r="B242" s="9" t="str">
        <f aca="false">'2026 Forecast A'!B192</f>
        <v>UPPER MACUNGIE</v>
      </c>
      <c r="C242" s="9" t="str">
        <f aca="false">'2026 Forecast A'!C192</f>
        <v>UPPER MACUNGIE 1ST DISTRICT</v>
      </c>
      <c r="D242" s="10" t="n">
        <f aca="false">'2026 Forecast A'!G192</f>
        <v>0.51068090787717</v>
      </c>
      <c r="E242" s="10" t="n">
        <f aca="false">'2026 Forecast B'!G192</f>
        <v>0.5086782376502</v>
      </c>
      <c r="F242" s="10" t="n">
        <f aca="false">'2026 Forecast C'!G192</f>
        <v>0.512683578104139</v>
      </c>
      <c r="G242" s="38" t="n">
        <f aca="false">(MAX(D242:F242)-MIN(D242:F242))*100</f>
        <v>0.400534045393863</v>
      </c>
      <c r="H242" s="38" t="n">
        <f aca="false">'2026 Forecast A'!J192</f>
        <v>1.24981746705324</v>
      </c>
      <c r="I242" s="38" t="n">
        <f aca="false">'2026 Forecast B'!J192</f>
        <v>1.86991787188303</v>
      </c>
      <c r="J242" s="38" t="n">
        <f aca="false">'2026 Forecast C'!J192</f>
        <v>1.24424911322721</v>
      </c>
      <c r="K242" s="18" t="n">
        <f aca="false">'2026 Forecast A'!F192</f>
        <v>1498</v>
      </c>
      <c r="L242" s="39" t="str">
        <f aca="false">IF(OR(AND(D242&gt;0.5,E242&gt;0.5,F242&gt;0.5),AND(D242&lt;0.5,E242&lt;0.5,F242&lt;0.5)),"Yes","No — toss-up")</f>
        <v>Yes</v>
      </c>
    </row>
    <row r="243" customFormat="false" ht="15" hidden="false" customHeight="false" outlineLevel="0" collapsed="false">
      <c r="A243" s="9" t="str">
        <f aca="false">'2026 Forecast A'!A193</f>
        <v>Lehigh</v>
      </c>
      <c r="B243" s="9" t="str">
        <f aca="false">'2026 Forecast A'!B193</f>
        <v>UPPER MACUNGIE</v>
      </c>
      <c r="C243" s="9" t="str">
        <f aca="false">'2026 Forecast A'!C193</f>
        <v>UPPER MACUNGIE 2ND DISTRICT</v>
      </c>
      <c r="D243" s="10" t="n">
        <f aca="false">'2026 Forecast A'!G193</f>
        <v>0.512732615083252</v>
      </c>
      <c r="E243" s="10" t="n">
        <f aca="false">'2026 Forecast B'!G193</f>
        <v>0.505876591576885</v>
      </c>
      <c r="F243" s="10" t="n">
        <f aca="false">'2026 Forecast C'!G193</f>
        <v>0.514201762977473</v>
      </c>
      <c r="G243" s="38" t="n">
        <f aca="false">(MAX(D243:F243)-MIN(D243:F243))*100</f>
        <v>0.832517140058775</v>
      </c>
      <c r="H243" s="38" t="n">
        <f aca="false">'2026 Forecast A'!J193</f>
        <v>1.24981746705324</v>
      </c>
      <c r="I243" s="38" t="n">
        <f aca="false">'2026 Forecast B'!J193</f>
        <v>1.86991787188303</v>
      </c>
      <c r="J243" s="38" t="n">
        <f aca="false">'2026 Forecast C'!J193</f>
        <v>1.24424911322721</v>
      </c>
      <c r="K243" s="18" t="n">
        <f aca="false">'2026 Forecast A'!F193</f>
        <v>2042</v>
      </c>
      <c r="L243" s="39" t="str">
        <f aca="false">IF(OR(AND(D243&gt;0.5,E243&gt;0.5,F243&gt;0.5),AND(D243&lt;0.5,E243&lt;0.5,F243&lt;0.5)),"Yes","No — toss-up")</f>
        <v>Yes</v>
      </c>
    </row>
    <row r="244" customFormat="false" ht="15" hidden="false" customHeight="false" outlineLevel="0" collapsed="false">
      <c r="A244" s="9" t="str">
        <f aca="false">'2026 Forecast A'!A194</f>
        <v>Lehigh</v>
      </c>
      <c r="B244" s="9" t="str">
        <f aca="false">'2026 Forecast A'!B194</f>
        <v>UPPER MACUNGIE</v>
      </c>
      <c r="C244" s="9" t="str">
        <f aca="false">'2026 Forecast A'!C194</f>
        <v>UPPER MACUNGIE 3RD DISTRICT</v>
      </c>
      <c r="D244" s="10" t="n">
        <f aca="false">'2026 Forecast A'!G194</f>
        <v>0.481065088757396</v>
      </c>
      <c r="E244" s="10" t="n">
        <f aca="false">'2026 Forecast B'!G194</f>
        <v>0.482840236686391</v>
      </c>
      <c r="F244" s="10" t="n">
        <f aca="false">'2026 Forecast C'!G194</f>
        <v>0.481656804733728</v>
      </c>
      <c r="G244" s="38" t="n">
        <f aca="false">(MAX(D244:F244)-MIN(D244:F244))*100</f>
        <v>0.177514792899408</v>
      </c>
      <c r="H244" s="38" t="n">
        <f aca="false">'2026 Forecast A'!J194</f>
        <v>1.24981746705324</v>
      </c>
      <c r="I244" s="38" t="n">
        <f aca="false">'2026 Forecast B'!J194</f>
        <v>1.86991787188303</v>
      </c>
      <c r="J244" s="38" t="n">
        <f aca="false">'2026 Forecast C'!J194</f>
        <v>1.24424911322721</v>
      </c>
      <c r="K244" s="18" t="n">
        <f aca="false">'2026 Forecast A'!F194</f>
        <v>1690</v>
      </c>
      <c r="L244" s="39" t="str">
        <f aca="false">IF(OR(AND(D244&gt;0.5,E244&gt;0.5,F244&gt;0.5),AND(D244&lt;0.5,E244&lt;0.5,F244&lt;0.5)),"Yes","No — toss-up")</f>
        <v>Yes</v>
      </c>
    </row>
    <row r="245" customFormat="false" ht="15" hidden="false" customHeight="false" outlineLevel="0" collapsed="false">
      <c r="A245" s="9" t="str">
        <f aca="false">'2026 Forecast A'!A195</f>
        <v>Lehigh</v>
      </c>
      <c r="B245" s="9" t="str">
        <f aca="false">'2026 Forecast A'!B195</f>
        <v>UPPER MACUNGIE</v>
      </c>
      <c r="C245" s="9" t="str">
        <f aca="false">'2026 Forecast A'!C195</f>
        <v>UPPER MACUNGIE 4TH DISTRICT</v>
      </c>
      <c r="D245" s="10" t="n">
        <f aca="false">'2026 Forecast A'!G195</f>
        <v>0.538394415357766</v>
      </c>
      <c r="E245" s="10" t="n">
        <f aca="false">'2026 Forecast B'!G195</f>
        <v>0.538394415357766</v>
      </c>
      <c r="F245" s="10" t="n">
        <f aca="false">'2026 Forecast C'!G195</f>
        <v>0.541884816753927</v>
      </c>
      <c r="G245" s="38" t="n">
        <f aca="false">(MAX(D245:F245)-MIN(D245:F245))*100</f>
        <v>0.349040139616064</v>
      </c>
      <c r="H245" s="38" t="n">
        <f aca="false">'2026 Forecast A'!J195</f>
        <v>1.80877416096373</v>
      </c>
      <c r="I245" s="38" t="n">
        <f aca="false">'2026 Forecast B'!J195</f>
        <v>1.9254971424187</v>
      </c>
      <c r="J245" s="38" t="n">
        <f aca="false">'2026 Forecast C'!J195</f>
        <v>1.88510957763259</v>
      </c>
      <c r="K245" s="18" t="n">
        <f aca="false">'2026 Forecast A'!F195</f>
        <v>1146</v>
      </c>
      <c r="L245" s="39" t="str">
        <f aca="false">IF(OR(AND(D245&gt;0.5,E245&gt;0.5,F245&gt;0.5),AND(D245&lt;0.5,E245&lt;0.5,F245&lt;0.5)),"Yes","No — toss-up")</f>
        <v>Yes</v>
      </c>
    </row>
    <row r="246" customFormat="false" ht="15" hidden="false" customHeight="false" outlineLevel="0" collapsed="false">
      <c r="A246" s="9" t="str">
        <f aca="false">'2026 Forecast A'!A196</f>
        <v>Lehigh</v>
      </c>
      <c r="B246" s="9" t="str">
        <f aca="false">'2026 Forecast A'!B196</f>
        <v>UPPER MACUNGIE</v>
      </c>
      <c r="C246" s="9" t="str">
        <f aca="false">'2026 Forecast A'!C196</f>
        <v>UPPER MACUNGIE 5TH DISTRICT</v>
      </c>
      <c r="D246" s="10" t="n">
        <f aca="false">'2026 Forecast A'!G196</f>
        <v>0.540073529411765</v>
      </c>
      <c r="E246" s="10" t="n">
        <f aca="false">'2026 Forecast B'!G196</f>
        <v>0.536029411764706</v>
      </c>
      <c r="F246" s="10" t="n">
        <f aca="false">'2026 Forecast C'!G196</f>
        <v>0.54375</v>
      </c>
      <c r="G246" s="38" t="n">
        <f aca="false">(MAX(D246:F246)-MIN(D246:F246))*100</f>
        <v>0.772058823529409</v>
      </c>
      <c r="H246" s="38" t="n">
        <f aca="false">'2026 Forecast A'!J196</f>
        <v>1.24981746705324</v>
      </c>
      <c r="I246" s="38" t="n">
        <f aca="false">'2026 Forecast B'!J196</f>
        <v>1.86991787188303</v>
      </c>
      <c r="J246" s="38" t="n">
        <f aca="false">'2026 Forecast C'!J196</f>
        <v>1.24424911322721</v>
      </c>
      <c r="K246" s="18" t="n">
        <f aca="false">'2026 Forecast A'!F196</f>
        <v>2720</v>
      </c>
      <c r="L246" s="39" t="str">
        <f aca="false">IF(OR(AND(D246&gt;0.5,E246&gt;0.5,F246&gt;0.5),AND(D246&lt;0.5,E246&lt;0.5,F246&lt;0.5)),"Yes","No — toss-up")</f>
        <v>Yes</v>
      </c>
    </row>
    <row r="247" customFormat="false" ht="15" hidden="false" customHeight="false" outlineLevel="0" collapsed="false">
      <c r="A247" s="9" t="str">
        <f aca="false">'2026 Forecast A'!A197</f>
        <v>Lehigh</v>
      </c>
      <c r="B247" s="9" t="str">
        <f aca="false">'2026 Forecast A'!B197</f>
        <v>UPPER MACUNGIE</v>
      </c>
      <c r="C247" s="9" t="str">
        <f aca="false">'2026 Forecast A'!C197</f>
        <v>UPPER MACUNGIE 6TH DISTRICT</v>
      </c>
      <c r="D247" s="10" t="n">
        <f aca="false">'2026 Forecast A'!G197</f>
        <v>0.519091847265222</v>
      </c>
      <c r="E247" s="10" t="n">
        <f aca="false">'2026 Forecast B'!G197</f>
        <v>0.519091847265222</v>
      </c>
      <c r="F247" s="10" t="n">
        <f aca="false">'2026 Forecast C'!G197</f>
        <v>0.520123839009288</v>
      </c>
      <c r="G247" s="38" t="n">
        <f aca="false">(MAX(D247:F247)-MIN(D247:F247))*100</f>
        <v>0.10319917440661</v>
      </c>
      <c r="H247" s="38" t="n">
        <f aca="false">'2026 Forecast A'!J197</f>
        <v>1.80877416096373</v>
      </c>
      <c r="I247" s="38" t="n">
        <f aca="false">'2026 Forecast B'!J197</f>
        <v>1.9254971424187</v>
      </c>
      <c r="J247" s="38" t="n">
        <f aca="false">'2026 Forecast C'!J197</f>
        <v>1.88510957763259</v>
      </c>
      <c r="K247" s="18" t="n">
        <f aca="false">'2026 Forecast A'!F197</f>
        <v>969</v>
      </c>
      <c r="L247" s="39" t="str">
        <f aca="false">IF(OR(AND(D247&gt;0.5,E247&gt;0.5,F247&gt;0.5),AND(D247&lt;0.5,E247&lt;0.5,F247&lt;0.5)),"Yes","No — toss-up")</f>
        <v>Yes</v>
      </c>
    </row>
    <row r="248" customFormat="false" ht="15" hidden="false" customHeight="false" outlineLevel="0" collapsed="false">
      <c r="A248" s="9" t="str">
        <f aca="false">'2026 Forecast A'!A198</f>
        <v>Lehigh</v>
      </c>
      <c r="B248" s="9" t="str">
        <f aca="false">'2026 Forecast A'!B198</f>
        <v>UPPER MACUNGIE</v>
      </c>
      <c r="C248" s="9" t="str">
        <f aca="false">'2026 Forecast A'!C198</f>
        <v>UPPER MACUNGIE 7TH DISTRICT</v>
      </c>
      <c r="D248" s="10" t="n">
        <f aca="false">'2026 Forecast A'!G198</f>
        <v>0.554838709677419</v>
      </c>
      <c r="E248" s="10" t="n">
        <f aca="false">'2026 Forecast B'!G198</f>
        <v>0.553763440860215</v>
      </c>
      <c r="F248" s="10" t="n">
        <f aca="false">'2026 Forecast C'!G198</f>
        <v>0.556989247311828</v>
      </c>
      <c r="G248" s="38" t="n">
        <f aca="false">(MAX(D248:F248)-MIN(D248:F248))*100</f>
        <v>0.322580645161297</v>
      </c>
      <c r="H248" s="38" t="n">
        <f aca="false">'2026 Forecast A'!J198</f>
        <v>1.80877416096373</v>
      </c>
      <c r="I248" s="38" t="n">
        <f aca="false">'2026 Forecast B'!J198</f>
        <v>1.9254971424187</v>
      </c>
      <c r="J248" s="38" t="n">
        <f aca="false">'2026 Forecast C'!J198</f>
        <v>1.88510957763259</v>
      </c>
      <c r="K248" s="18" t="n">
        <f aca="false">'2026 Forecast A'!F198</f>
        <v>930</v>
      </c>
      <c r="L248" s="39" t="str">
        <f aca="false">IF(OR(AND(D248&gt;0.5,E248&gt;0.5,F248&gt;0.5),AND(D248&lt;0.5,E248&lt;0.5,F248&lt;0.5)),"Yes","No — toss-up")</f>
        <v>Yes</v>
      </c>
    </row>
    <row r="249" customFormat="false" ht="15" hidden="false" customHeight="false" outlineLevel="0" collapsed="false">
      <c r="A249" s="9" t="str">
        <f aca="false">'2026 Forecast A'!A199</f>
        <v>Lehigh</v>
      </c>
      <c r="B249" s="9" t="str">
        <f aca="false">'2026 Forecast A'!B199</f>
        <v>UPPER MACUNGIE</v>
      </c>
      <c r="C249" s="9" t="str">
        <f aca="false">'2026 Forecast A'!C199</f>
        <v>UPPER MACUNGIE 8TH DISTRICT</v>
      </c>
      <c r="D249" s="10" t="n">
        <f aca="false">'2026 Forecast A'!G199</f>
        <v>0.516283524904215</v>
      </c>
      <c r="E249" s="10" t="n">
        <f aca="false">'2026 Forecast B'!G199</f>
        <v>0.523946360153257</v>
      </c>
      <c r="F249" s="10" t="n">
        <f aca="false">'2026 Forecast C'!G199</f>
        <v>0.518199233716475</v>
      </c>
      <c r="G249" s="38" t="n">
        <f aca="false">(MAX(D249:F249)-MIN(D249:F249))*100</f>
        <v>0.76628352490421</v>
      </c>
      <c r="H249" s="38" t="n">
        <f aca="false">'2026 Forecast A'!J199</f>
        <v>1.80877416096373</v>
      </c>
      <c r="I249" s="38" t="n">
        <f aca="false">'2026 Forecast B'!J199</f>
        <v>1.9254971424187</v>
      </c>
      <c r="J249" s="38" t="n">
        <f aca="false">'2026 Forecast C'!J199</f>
        <v>1.88510957763259</v>
      </c>
      <c r="K249" s="18" t="n">
        <f aca="false">'2026 Forecast A'!F199</f>
        <v>1044</v>
      </c>
      <c r="L249" s="39" t="str">
        <f aca="false">IF(OR(AND(D249&gt;0.5,E249&gt;0.5,F249&gt;0.5),AND(D249&lt;0.5,E249&lt;0.5,F249&lt;0.5)),"Yes","No — toss-up")</f>
        <v>Yes</v>
      </c>
    </row>
    <row r="250" customFormat="false" ht="15" hidden="false" customHeight="false" outlineLevel="0" collapsed="false">
      <c r="A250" s="9" t="str">
        <f aca="false">'2026 Forecast A'!A200</f>
        <v>Lehigh</v>
      </c>
      <c r="B250" s="9" t="str">
        <f aca="false">'2026 Forecast A'!B200</f>
        <v>UPPER MILFORD</v>
      </c>
      <c r="C250" s="9" t="str">
        <f aca="false">'2026 Forecast A'!C200</f>
        <v>UPPER MILFORD EASTERN DISTRICT</v>
      </c>
      <c r="D250" s="10" t="n">
        <f aca="false">'2026 Forecast A'!G200</f>
        <v>0.476642612988986</v>
      </c>
      <c r="E250" s="10" t="n">
        <f aca="false">'2026 Forecast B'!G200</f>
        <v>0.466388150398785</v>
      </c>
      <c r="F250" s="10" t="n">
        <f aca="false">'2026 Forecast C'!G200</f>
        <v>0.476642612988986</v>
      </c>
      <c r="G250" s="38" t="n">
        <f aca="false">(MAX(D250:F250)-MIN(D250:F250))*100</f>
        <v>1.02544625902013</v>
      </c>
      <c r="H250" s="38" t="n">
        <f aca="false">'2026 Forecast A'!J200</f>
        <v>1.24981746705324</v>
      </c>
      <c r="I250" s="38" t="n">
        <f aca="false">'2026 Forecast B'!J200</f>
        <v>1.86991787188303</v>
      </c>
      <c r="J250" s="38" t="n">
        <f aca="false">'2026 Forecast C'!J200</f>
        <v>1.24424911322721</v>
      </c>
      <c r="K250" s="18" t="n">
        <f aca="false">'2026 Forecast A'!F200</f>
        <v>2633</v>
      </c>
      <c r="L250" s="39" t="str">
        <f aca="false">IF(OR(AND(D250&gt;0.5,E250&gt;0.5,F250&gt;0.5),AND(D250&lt;0.5,E250&lt;0.5,F250&lt;0.5)),"Yes","No — toss-up")</f>
        <v>Yes</v>
      </c>
    </row>
    <row r="251" customFormat="false" ht="15" hidden="false" customHeight="false" outlineLevel="0" collapsed="false">
      <c r="A251" s="9" t="str">
        <f aca="false">'2026 Forecast A'!A201</f>
        <v>Lehigh</v>
      </c>
      <c r="B251" s="9" t="str">
        <f aca="false">'2026 Forecast A'!B201</f>
        <v>UPPER MILFORD</v>
      </c>
      <c r="C251" s="9" t="str">
        <f aca="false">'2026 Forecast A'!C201</f>
        <v>UPPER MILFORD WESTERN DISTRICT</v>
      </c>
      <c r="D251" s="10" t="n">
        <f aca="false">'2026 Forecast A'!G201</f>
        <v>0.395149065184437</v>
      </c>
      <c r="E251" s="10" t="n">
        <f aca="false">'2026 Forecast B'!G201</f>
        <v>0.384537645275392</v>
      </c>
      <c r="F251" s="10" t="n">
        <f aca="false">'2026 Forecast C'!G201</f>
        <v>0.392117230924709</v>
      </c>
      <c r="G251" s="38" t="n">
        <f aca="false">(MAX(D251:F251)-MIN(D251:F251))*100</f>
        <v>1.0611419909045</v>
      </c>
      <c r="H251" s="38" t="n">
        <f aca="false">'2026 Forecast A'!J201</f>
        <v>1.24981746705324</v>
      </c>
      <c r="I251" s="38" t="n">
        <f aca="false">'2026 Forecast B'!J201</f>
        <v>1.86991787188303</v>
      </c>
      <c r="J251" s="38" t="n">
        <f aca="false">'2026 Forecast C'!J201</f>
        <v>1.24424911322721</v>
      </c>
      <c r="K251" s="18" t="n">
        <f aca="false">'2026 Forecast A'!F201</f>
        <v>1979</v>
      </c>
      <c r="L251" s="39" t="str">
        <f aca="false">IF(OR(AND(D251&gt;0.5,E251&gt;0.5,F251&gt;0.5),AND(D251&lt;0.5,E251&lt;0.5,F251&lt;0.5)),"Yes","No — toss-up")</f>
        <v>Yes</v>
      </c>
    </row>
    <row r="252" customFormat="false" ht="15" hidden="false" customHeight="false" outlineLevel="0" collapsed="false">
      <c r="A252" s="9" t="str">
        <f aca="false">'2026 Forecast A'!A202</f>
        <v>Lehigh</v>
      </c>
      <c r="B252" s="9" t="str">
        <f aca="false">'2026 Forecast A'!B202</f>
        <v>UPPER SAUCON</v>
      </c>
      <c r="C252" s="9" t="str">
        <f aca="false">'2026 Forecast A'!C202</f>
        <v>UPPER SAUCON 1ST DISTRICT</v>
      </c>
      <c r="D252" s="10" t="n">
        <f aca="false">'2026 Forecast A'!G202</f>
        <v>0.506500847936687</v>
      </c>
      <c r="E252" s="10" t="n">
        <f aca="false">'2026 Forecast B'!G202</f>
        <v>0.501978518937253</v>
      </c>
      <c r="F252" s="10" t="n">
        <f aca="false">'2026 Forecast C'!G202</f>
        <v>0.508196721311475</v>
      </c>
      <c r="G252" s="38" t="n">
        <f aca="false">(MAX(D252:F252)-MIN(D252:F252))*100</f>
        <v>0.621820237422277</v>
      </c>
      <c r="H252" s="38" t="n">
        <f aca="false">'2026 Forecast A'!J202</f>
        <v>1.24981746705324</v>
      </c>
      <c r="I252" s="38" t="n">
        <f aca="false">'2026 Forecast B'!J202</f>
        <v>1.86991787188303</v>
      </c>
      <c r="J252" s="38" t="n">
        <f aca="false">'2026 Forecast C'!J202</f>
        <v>1.24424911322721</v>
      </c>
      <c r="K252" s="18" t="n">
        <f aca="false">'2026 Forecast A'!F202</f>
        <v>1769</v>
      </c>
      <c r="L252" s="39" t="str">
        <f aca="false">IF(OR(AND(D252&gt;0.5,E252&gt;0.5,F252&gt;0.5),AND(D252&lt;0.5,E252&lt;0.5,F252&lt;0.5)),"Yes","No — toss-up")</f>
        <v>Yes</v>
      </c>
    </row>
    <row r="253" customFormat="false" ht="15" hidden="false" customHeight="false" outlineLevel="0" collapsed="false">
      <c r="A253" s="9" t="str">
        <f aca="false">'2026 Forecast A'!A203</f>
        <v>Lehigh</v>
      </c>
      <c r="B253" s="9" t="str">
        <f aca="false">'2026 Forecast A'!B203</f>
        <v>UPPER SAUCON</v>
      </c>
      <c r="C253" s="9" t="str">
        <f aca="false">'2026 Forecast A'!C203</f>
        <v>UPPER SAUCON 2ND DISTRICT</v>
      </c>
      <c r="D253" s="10" t="n">
        <f aca="false">'2026 Forecast A'!G203</f>
        <v>0.490421455938697</v>
      </c>
      <c r="E253" s="10" t="n">
        <f aca="false">'2026 Forecast B'!G203</f>
        <v>0.48735632183908</v>
      </c>
      <c r="F253" s="10" t="n">
        <f aca="false">'2026 Forecast C'!G203</f>
        <v>0.491187739463602</v>
      </c>
      <c r="G253" s="38" t="n">
        <f aca="false">(MAX(D253:F253)-MIN(D253:F253))*100</f>
        <v>0.383141762452111</v>
      </c>
      <c r="H253" s="38" t="n">
        <f aca="false">'2026 Forecast A'!J203</f>
        <v>1.24981746705324</v>
      </c>
      <c r="I253" s="38" t="n">
        <f aca="false">'2026 Forecast B'!J203</f>
        <v>1.86991787188303</v>
      </c>
      <c r="J253" s="38" t="n">
        <f aca="false">'2026 Forecast C'!J203</f>
        <v>1.24424911322721</v>
      </c>
      <c r="K253" s="18" t="n">
        <f aca="false">'2026 Forecast A'!F203</f>
        <v>1305</v>
      </c>
      <c r="L253" s="39" t="str">
        <f aca="false">IF(OR(AND(D253&gt;0.5,E253&gt;0.5,F253&gt;0.5),AND(D253&lt;0.5,E253&lt;0.5,F253&lt;0.5)),"Yes","No — toss-up")</f>
        <v>Yes</v>
      </c>
    </row>
    <row r="254" customFormat="false" ht="15" hidden="false" customHeight="false" outlineLevel="0" collapsed="false">
      <c r="A254" s="9" t="str">
        <f aca="false">'2026 Forecast A'!A204</f>
        <v>Lehigh</v>
      </c>
      <c r="B254" s="9" t="str">
        <f aca="false">'2026 Forecast A'!B204</f>
        <v>UPPER SAUCON</v>
      </c>
      <c r="C254" s="9" t="str">
        <f aca="false">'2026 Forecast A'!C204</f>
        <v>UPPER SAUCON 3RD DISTRICT</v>
      </c>
      <c r="D254" s="10" t="n">
        <f aca="false">'2026 Forecast A'!G204</f>
        <v>0.495433789954338</v>
      </c>
      <c r="E254" s="10" t="n">
        <f aca="false">'2026 Forecast B'!G204</f>
        <v>0.484018264840183</v>
      </c>
      <c r="F254" s="10" t="n">
        <f aca="false">'2026 Forecast C'!G204</f>
        <v>0.497716894977169</v>
      </c>
      <c r="G254" s="38" t="n">
        <f aca="false">(MAX(D254:F254)-MIN(D254:F254))*100</f>
        <v>1.36986301369863</v>
      </c>
      <c r="H254" s="38" t="n">
        <f aca="false">'2026 Forecast A'!J204</f>
        <v>1.24981746705324</v>
      </c>
      <c r="I254" s="38" t="n">
        <f aca="false">'2026 Forecast B'!J204</f>
        <v>1.86991787188303</v>
      </c>
      <c r="J254" s="38" t="n">
        <f aca="false">'2026 Forecast C'!J204</f>
        <v>1.24424911322721</v>
      </c>
      <c r="K254" s="18" t="n">
        <f aca="false">'2026 Forecast A'!F204</f>
        <v>1314</v>
      </c>
      <c r="L254" s="39" t="str">
        <f aca="false">IF(OR(AND(D254&gt;0.5,E254&gt;0.5,F254&gt;0.5),AND(D254&lt;0.5,E254&lt;0.5,F254&lt;0.5)),"Yes","No — toss-up")</f>
        <v>Yes</v>
      </c>
    </row>
    <row r="255" customFormat="false" ht="15" hidden="false" customHeight="false" outlineLevel="0" collapsed="false">
      <c r="A255" s="9" t="str">
        <f aca="false">'2026 Forecast A'!A205</f>
        <v>Lehigh</v>
      </c>
      <c r="B255" s="9" t="str">
        <f aca="false">'2026 Forecast A'!B205</f>
        <v>UPPER SAUCON</v>
      </c>
      <c r="C255" s="9" t="str">
        <f aca="false">'2026 Forecast A'!C205</f>
        <v>UPPER SAUCON 4TH DISTRICT</v>
      </c>
      <c r="D255" s="10" t="n">
        <f aca="false">'2026 Forecast A'!G205</f>
        <v>0.494374120956399</v>
      </c>
      <c r="E255" s="10" t="n">
        <f aca="false">'2026 Forecast B'!G205</f>
        <v>0.491561181434599</v>
      </c>
      <c r="F255" s="10" t="n">
        <f aca="false">'2026 Forecast C'!G205</f>
        <v>0.495428973277075</v>
      </c>
      <c r="G255" s="38" t="n">
        <f aca="false">(MAX(D255:F255)-MIN(D255:F255))*100</f>
        <v>0.386779184247538</v>
      </c>
      <c r="H255" s="38" t="n">
        <f aca="false">'2026 Forecast A'!J205</f>
        <v>1.24981746705324</v>
      </c>
      <c r="I255" s="38" t="n">
        <f aca="false">'2026 Forecast B'!J205</f>
        <v>1.86991787188303</v>
      </c>
      <c r="J255" s="38" t="n">
        <f aca="false">'2026 Forecast C'!J205</f>
        <v>1.24424911322721</v>
      </c>
      <c r="K255" s="18" t="n">
        <f aca="false">'2026 Forecast A'!F205</f>
        <v>2844</v>
      </c>
      <c r="L255" s="39" t="str">
        <f aca="false">IF(OR(AND(D255&gt;0.5,E255&gt;0.5,F255&gt;0.5),AND(D255&lt;0.5,E255&lt;0.5,F255&lt;0.5)),"Yes","No — toss-up")</f>
        <v>Yes</v>
      </c>
    </row>
    <row r="256" customFormat="false" ht="15" hidden="false" customHeight="false" outlineLevel="0" collapsed="false">
      <c r="A256" s="9" t="str">
        <f aca="false">'2026 Forecast A'!A206</f>
        <v>Lehigh</v>
      </c>
      <c r="B256" s="9" t="str">
        <f aca="false">'2026 Forecast A'!B206</f>
        <v>UPPER SAUCON</v>
      </c>
      <c r="C256" s="9" t="str">
        <f aca="false">'2026 Forecast A'!C206</f>
        <v>UPPER SAUCON 5TH DISTRICT</v>
      </c>
      <c r="D256" s="10" t="n">
        <f aca="false">'2026 Forecast A'!G206</f>
        <v>0.510948905109489</v>
      </c>
      <c r="E256" s="10" t="n">
        <f aca="false">'2026 Forecast B'!G206</f>
        <v>0.50456204379562</v>
      </c>
      <c r="F256" s="10" t="n">
        <f aca="false">'2026 Forecast C'!G206</f>
        <v>0.512773722627737</v>
      </c>
      <c r="G256" s="38" t="n">
        <f aca="false">(MAX(D256:F256)-MIN(D256:F256))*100</f>
        <v>0.821167883211682</v>
      </c>
      <c r="H256" s="38" t="n">
        <f aca="false">'2026 Forecast A'!J206</f>
        <v>1.80877416096373</v>
      </c>
      <c r="I256" s="38" t="n">
        <f aca="false">'2026 Forecast B'!J206</f>
        <v>1.9254971424187</v>
      </c>
      <c r="J256" s="38" t="n">
        <f aca="false">'2026 Forecast C'!J206</f>
        <v>1.88510957763259</v>
      </c>
      <c r="K256" s="18" t="n">
        <f aca="false">'2026 Forecast A'!F206</f>
        <v>1096</v>
      </c>
      <c r="L256" s="39" t="str">
        <f aca="false">IF(OR(AND(D256&gt;0.5,E256&gt;0.5,F256&gt;0.5),AND(D256&lt;0.5,E256&lt;0.5,F256&lt;0.5)),"Yes","No — toss-up")</f>
        <v>Yes</v>
      </c>
    </row>
    <row r="257" customFormat="false" ht="15" hidden="false" customHeight="false" outlineLevel="0" collapsed="false">
      <c r="A257" s="9" t="str">
        <f aca="false">'2026 Forecast A'!A207</f>
        <v>Lehigh</v>
      </c>
      <c r="B257" s="9" t="str">
        <f aca="false">'2026 Forecast A'!B207</f>
        <v>UPPER SAUCON</v>
      </c>
      <c r="C257" s="9" t="str">
        <f aca="false">'2026 Forecast A'!C207</f>
        <v>UPPER SAUCON 6TH DISTRICT</v>
      </c>
      <c r="D257" s="10" t="n">
        <f aca="false">'2026 Forecast A'!G207</f>
        <v>0.5263671875</v>
      </c>
      <c r="E257" s="10" t="n">
        <f aca="false">'2026 Forecast B'!G207</f>
        <v>0.5126953125</v>
      </c>
      <c r="F257" s="10" t="n">
        <f aca="false">'2026 Forecast C'!G207</f>
        <v>0.5302734375</v>
      </c>
      <c r="G257" s="38" t="n">
        <f aca="false">(MAX(D257:F257)-MIN(D257:F257))*100</f>
        <v>1.7578125</v>
      </c>
      <c r="H257" s="38" t="n">
        <f aca="false">'2026 Forecast A'!J207</f>
        <v>1.80877416096373</v>
      </c>
      <c r="I257" s="38" t="n">
        <f aca="false">'2026 Forecast B'!J207</f>
        <v>1.9254971424187</v>
      </c>
      <c r="J257" s="38" t="n">
        <f aca="false">'2026 Forecast C'!J207</f>
        <v>1.88510957763259</v>
      </c>
      <c r="K257" s="18" t="n">
        <f aca="false">'2026 Forecast A'!F207</f>
        <v>1024</v>
      </c>
      <c r="L257" s="39" t="str">
        <f aca="false">IF(OR(AND(D257&gt;0.5,E257&gt;0.5,F257&gt;0.5),AND(D257&lt;0.5,E257&lt;0.5,F257&lt;0.5)),"Yes","No — toss-up")</f>
        <v>Yes</v>
      </c>
    </row>
    <row r="258" customFormat="false" ht="15" hidden="false" customHeight="false" outlineLevel="0" collapsed="false">
      <c r="A258" s="9" t="str">
        <f aca="false">'2026 Forecast A'!A208</f>
        <v>Lehigh</v>
      </c>
      <c r="B258" s="9" t="str">
        <f aca="false">'2026 Forecast A'!B208</f>
        <v>WASHINGTON</v>
      </c>
      <c r="C258" s="9" t="str">
        <f aca="false">'2026 Forecast A'!C208</f>
        <v>WASHINGTON EASTERN DISTRICT</v>
      </c>
      <c r="D258" s="10" t="n">
        <f aca="false">'2026 Forecast A'!G208</f>
        <v>0.322847682119205</v>
      </c>
      <c r="E258" s="10" t="n">
        <f aca="false">'2026 Forecast B'!G208</f>
        <v>0.329470198675497</v>
      </c>
      <c r="F258" s="10" t="n">
        <f aca="false">'2026 Forecast C'!G208</f>
        <v>0.316225165562914</v>
      </c>
      <c r="G258" s="38" t="n">
        <f aca="false">(MAX(D258:F258)-MIN(D258:F258))*100</f>
        <v>1.32450331125828</v>
      </c>
      <c r="H258" s="38" t="n">
        <f aca="false">'2026 Forecast A'!J208</f>
        <v>3.02363014511423</v>
      </c>
      <c r="I258" s="38" t="n">
        <f aca="false">'2026 Forecast B'!J208</f>
        <v>2.87918965002339</v>
      </c>
      <c r="J258" s="38" t="n">
        <f aca="false">'2026 Forecast C'!J208</f>
        <v>3.15466234357281</v>
      </c>
      <c r="K258" s="18" t="n">
        <f aca="false">'2026 Forecast A'!F208</f>
        <v>604</v>
      </c>
      <c r="L258" s="39" t="str">
        <f aca="false">IF(OR(AND(D258&gt;0.5,E258&gt;0.5,F258&gt;0.5),AND(D258&lt;0.5,E258&lt;0.5,F258&lt;0.5)),"Yes","No — toss-up")</f>
        <v>Yes</v>
      </c>
    </row>
    <row r="259" customFormat="false" ht="15" hidden="false" customHeight="false" outlineLevel="0" collapsed="false">
      <c r="A259" s="9" t="str">
        <f aca="false">'2026 Forecast A'!A209</f>
        <v>Lehigh</v>
      </c>
      <c r="B259" s="9" t="str">
        <f aca="false">'2026 Forecast A'!B209</f>
        <v>WASHINGTON</v>
      </c>
      <c r="C259" s="9" t="str">
        <f aca="false">'2026 Forecast A'!C209</f>
        <v>WASHINGTON SOUTHERN DISTRICT</v>
      </c>
      <c r="D259" s="10" t="n">
        <f aca="false">'2026 Forecast A'!G209</f>
        <v>0.347470618293306</v>
      </c>
      <c r="E259" s="10" t="n">
        <f aca="false">'2026 Forecast B'!G209</f>
        <v>0.346959632089934</v>
      </c>
      <c r="F259" s="10" t="n">
        <f aca="false">'2026 Forecast C'!G209</f>
        <v>0.340827797649463</v>
      </c>
      <c r="G259" s="38" t="n">
        <f aca="false">(MAX(D259:F259)-MIN(D259:F259))*100</f>
        <v>0.664282064384258</v>
      </c>
      <c r="H259" s="38" t="n">
        <f aca="false">'2026 Forecast A'!J209</f>
        <v>1.24981746705324</v>
      </c>
      <c r="I259" s="38" t="n">
        <f aca="false">'2026 Forecast B'!J209</f>
        <v>1.86991787188303</v>
      </c>
      <c r="J259" s="38" t="n">
        <f aca="false">'2026 Forecast C'!J209</f>
        <v>1.24424911322721</v>
      </c>
      <c r="K259" s="18" t="n">
        <f aca="false">'2026 Forecast A'!F209</f>
        <v>1957</v>
      </c>
      <c r="L259" s="39" t="str">
        <f aca="false">IF(OR(AND(D259&gt;0.5,E259&gt;0.5,F259&gt;0.5),AND(D259&lt;0.5,E259&lt;0.5,F259&lt;0.5)),"Yes","No — toss-up")</f>
        <v>Yes</v>
      </c>
    </row>
    <row r="260" customFormat="false" ht="15" hidden="false" customHeight="false" outlineLevel="0" collapsed="false">
      <c r="A260" s="9" t="str">
        <f aca="false">'2026 Forecast A'!A210</f>
        <v>Lehigh</v>
      </c>
      <c r="B260" s="9" t="str">
        <f aca="false">'2026 Forecast A'!B210</f>
        <v>WASHINGTON</v>
      </c>
      <c r="C260" s="9" t="str">
        <f aca="false">'2026 Forecast A'!C210</f>
        <v>WASHINGTON WESTERN DISTRICT</v>
      </c>
      <c r="D260" s="10" t="n">
        <f aca="false">'2026 Forecast A'!G210</f>
        <v>0.29520295202952</v>
      </c>
      <c r="E260" s="10" t="n">
        <f aca="false">'2026 Forecast B'!G210</f>
        <v>0.293357933579336</v>
      </c>
      <c r="F260" s="10" t="n">
        <f aca="false">'2026 Forecast C'!G210</f>
        <v>0.285977859778598</v>
      </c>
      <c r="G260" s="38" t="n">
        <f aca="false">(MAX(D260:F260)-MIN(D260:F260))*100</f>
        <v>0.92250922509225</v>
      </c>
      <c r="H260" s="38" t="n">
        <f aca="false">'2026 Forecast A'!J210</f>
        <v>3.02363014511423</v>
      </c>
      <c r="I260" s="38" t="n">
        <f aca="false">'2026 Forecast B'!J210</f>
        <v>2.87918965002339</v>
      </c>
      <c r="J260" s="38" t="n">
        <f aca="false">'2026 Forecast C'!J210</f>
        <v>3.15466234357281</v>
      </c>
      <c r="K260" s="18" t="n">
        <f aca="false">'2026 Forecast A'!F210</f>
        <v>542</v>
      </c>
      <c r="L260" s="39" t="str">
        <f aca="false">IF(OR(AND(D260&gt;0.5,E260&gt;0.5,F260&gt;0.5),AND(D260&lt;0.5,E260&lt;0.5,F260&lt;0.5)),"Yes","No — toss-up")</f>
        <v>Yes</v>
      </c>
    </row>
    <row r="261" customFormat="false" ht="15" hidden="false" customHeight="false" outlineLevel="0" collapsed="false">
      <c r="A261" s="9" t="str">
        <f aca="false">'2026 Forecast A'!A211</f>
        <v>Lehigh</v>
      </c>
      <c r="B261" s="9" t="str">
        <f aca="false">'2026 Forecast A'!B211</f>
        <v>WEISENBERG</v>
      </c>
      <c r="C261" s="9" t="str">
        <f aca="false">'2026 Forecast A'!C211</f>
        <v>WEISENBERG</v>
      </c>
      <c r="D261" s="10" t="n">
        <f aca="false">'2026 Forecast A'!G211</f>
        <v>0.360583941605839</v>
      </c>
      <c r="E261" s="10" t="n">
        <f aca="false">'2026 Forecast B'!G211</f>
        <v>0.349270072992701</v>
      </c>
      <c r="F261" s="10" t="n">
        <f aca="false">'2026 Forecast C'!G211</f>
        <v>0.355109489051095</v>
      </c>
      <c r="G261" s="38" t="n">
        <f aca="false">(MAX(D261:F261)-MIN(D261:F261))*100</f>
        <v>1.13138686131387</v>
      </c>
      <c r="H261" s="38" t="n">
        <f aca="false">'2026 Forecast A'!J211</f>
        <v>1.24981746705324</v>
      </c>
      <c r="I261" s="38" t="n">
        <f aca="false">'2026 Forecast B'!J211</f>
        <v>1.86991787188303</v>
      </c>
      <c r="J261" s="38" t="n">
        <f aca="false">'2026 Forecast C'!J211</f>
        <v>1.24424911322721</v>
      </c>
      <c r="K261" s="18" t="n">
        <f aca="false">'2026 Forecast A'!F211</f>
        <v>2740</v>
      </c>
      <c r="L261" s="39" t="str">
        <f aca="false">IF(OR(AND(D261&gt;0.5,E261&gt;0.5,F261&gt;0.5),AND(D261&lt;0.5,E261&lt;0.5,F261&lt;0.5)),"Yes","No — toss-up")</f>
        <v>Yes</v>
      </c>
    </row>
    <row r="262" customFormat="false" ht="15" hidden="false" customHeight="false" outlineLevel="0" collapsed="false">
      <c r="A262" s="9" t="str">
        <f aca="false">'2026 Forecast A'!A212</f>
        <v>Lehigh</v>
      </c>
      <c r="B262" s="9" t="str">
        <f aca="false">'2026 Forecast A'!B212</f>
        <v>WHITEHALL</v>
      </c>
      <c r="C262" s="9" t="str">
        <f aca="false">'2026 Forecast A'!C212</f>
        <v>WHITEHALL 10TH DISTRICT</v>
      </c>
      <c r="D262" s="10" t="n">
        <f aca="false">'2026 Forecast A'!G212</f>
        <v>0.48978102189781</v>
      </c>
      <c r="E262" s="10" t="n">
        <f aca="false">'2026 Forecast B'!G212</f>
        <v>0.493430656934307</v>
      </c>
      <c r="F262" s="10" t="n">
        <f aca="false">'2026 Forecast C'!G212</f>
        <v>0.49051094890511</v>
      </c>
      <c r="G262" s="38" t="n">
        <f aca="false">(MAX(D262:F262)-MIN(D262:F262))*100</f>
        <v>0.364963503649635</v>
      </c>
      <c r="H262" s="38" t="n">
        <f aca="false">'2026 Forecast A'!J212</f>
        <v>1.24981746705324</v>
      </c>
      <c r="I262" s="38" t="n">
        <f aca="false">'2026 Forecast B'!J212</f>
        <v>1.86991787188303</v>
      </c>
      <c r="J262" s="38" t="n">
        <f aca="false">'2026 Forecast C'!J212</f>
        <v>1.24424911322721</v>
      </c>
      <c r="K262" s="18" t="n">
        <f aca="false">'2026 Forecast A'!F212</f>
        <v>1370</v>
      </c>
      <c r="L262" s="39" t="str">
        <f aca="false">IF(OR(AND(D262&gt;0.5,E262&gt;0.5,F262&gt;0.5),AND(D262&lt;0.5,E262&lt;0.5,F262&lt;0.5)),"Yes","No — toss-up")</f>
        <v>Yes</v>
      </c>
    </row>
    <row r="263" customFormat="false" ht="15" hidden="false" customHeight="false" outlineLevel="0" collapsed="false">
      <c r="A263" s="9" t="str">
        <f aca="false">'2026 Forecast A'!A213</f>
        <v>Lehigh</v>
      </c>
      <c r="B263" s="9" t="str">
        <f aca="false">'2026 Forecast A'!B213</f>
        <v>WHITEHALL</v>
      </c>
      <c r="C263" s="9" t="str">
        <f aca="false">'2026 Forecast A'!C213</f>
        <v>WHITEHALL 11TH DISTRICT</v>
      </c>
      <c r="D263" s="10" t="n">
        <f aca="false">'2026 Forecast A'!G213</f>
        <v>0.489754098360656</v>
      </c>
      <c r="E263" s="10" t="n">
        <f aca="false">'2026 Forecast B'!G213</f>
        <v>0.495901639344262</v>
      </c>
      <c r="F263" s="10" t="n">
        <f aca="false">'2026 Forecast C'!G213</f>
        <v>0.489754098360656</v>
      </c>
      <c r="G263" s="38" t="n">
        <f aca="false">(MAX(D263:F263)-MIN(D263:F263))*100</f>
        <v>0.614754098360654</v>
      </c>
      <c r="H263" s="38" t="n">
        <f aca="false">'2026 Forecast A'!J213</f>
        <v>1.80877416096373</v>
      </c>
      <c r="I263" s="38" t="n">
        <f aca="false">'2026 Forecast B'!J213</f>
        <v>1.9254971424187</v>
      </c>
      <c r="J263" s="38" t="n">
        <f aca="false">'2026 Forecast C'!J213</f>
        <v>1.88510957763259</v>
      </c>
      <c r="K263" s="18" t="n">
        <f aca="false">'2026 Forecast A'!F213</f>
        <v>976</v>
      </c>
      <c r="L263" s="39" t="str">
        <f aca="false">IF(OR(AND(D263&gt;0.5,E263&gt;0.5,F263&gt;0.5),AND(D263&lt;0.5,E263&lt;0.5,F263&lt;0.5)),"Yes","No — toss-up")</f>
        <v>Yes</v>
      </c>
    </row>
    <row r="264" customFormat="false" ht="15" hidden="false" customHeight="false" outlineLevel="0" collapsed="false">
      <c r="A264" s="9" t="str">
        <f aca="false">'2026 Forecast A'!A214</f>
        <v>Lehigh</v>
      </c>
      <c r="B264" s="9" t="str">
        <f aca="false">'2026 Forecast A'!B214</f>
        <v>WHITEHALL</v>
      </c>
      <c r="C264" s="9" t="str">
        <f aca="false">'2026 Forecast A'!C214</f>
        <v>WHITEHALL 12TH DISTRICT</v>
      </c>
      <c r="D264" s="10" t="n">
        <f aca="false">'2026 Forecast A'!G214</f>
        <v>0.56136606189968</v>
      </c>
      <c r="E264" s="10" t="n">
        <f aca="false">'2026 Forecast B'!G214</f>
        <v>0.564567769477054</v>
      </c>
      <c r="F264" s="10" t="n">
        <f aca="false">'2026 Forecast C'!G214</f>
        <v>0.56350053361793</v>
      </c>
      <c r="G264" s="38" t="n">
        <f aca="false">(MAX(D264:F264)-MIN(D264:F264))*100</f>
        <v>0.320170757737459</v>
      </c>
      <c r="H264" s="38" t="n">
        <f aca="false">'2026 Forecast A'!J214</f>
        <v>1.80877416096373</v>
      </c>
      <c r="I264" s="38" t="n">
        <f aca="false">'2026 Forecast B'!J214</f>
        <v>1.9254971424187</v>
      </c>
      <c r="J264" s="38" t="n">
        <f aca="false">'2026 Forecast C'!J214</f>
        <v>1.88510957763259</v>
      </c>
      <c r="K264" s="18" t="n">
        <f aca="false">'2026 Forecast A'!F214</f>
        <v>937</v>
      </c>
      <c r="L264" s="39" t="str">
        <f aca="false">IF(OR(AND(D264&gt;0.5,E264&gt;0.5,F264&gt;0.5),AND(D264&lt;0.5,E264&lt;0.5,F264&lt;0.5)),"Yes","No — toss-up")</f>
        <v>Yes</v>
      </c>
    </row>
    <row r="265" customFormat="false" ht="15" hidden="false" customHeight="false" outlineLevel="0" collapsed="false">
      <c r="A265" s="9" t="str">
        <f aca="false">'2026 Forecast A'!A215</f>
        <v>Lehigh</v>
      </c>
      <c r="B265" s="9" t="str">
        <f aca="false">'2026 Forecast A'!B215</f>
        <v>WHITEHALL</v>
      </c>
      <c r="C265" s="9" t="str">
        <f aca="false">'2026 Forecast A'!C215</f>
        <v>WHITEHALL 1ST DISTRICT</v>
      </c>
      <c r="D265" s="10" t="n">
        <f aca="false">'2026 Forecast A'!G215</f>
        <v>0.584661354581673</v>
      </c>
      <c r="E265" s="10" t="n">
        <f aca="false">'2026 Forecast B'!G215</f>
        <v>0.591633466135458</v>
      </c>
      <c r="F265" s="10" t="n">
        <f aca="false">'2026 Forecast C'!G215</f>
        <v>0.586653386454183</v>
      </c>
      <c r="G265" s="38" t="n">
        <f aca="false">(MAX(D265:F265)-MIN(D265:F265))*100</f>
        <v>0.697211155378485</v>
      </c>
      <c r="H265" s="38" t="n">
        <f aca="false">'2026 Forecast A'!J215</f>
        <v>1.80877416096373</v>
      </c>
      <c r="I265" s="38" t="n">
        <f aca="false">'2026 Forecast B'!J215</f>
        <v>1.9254971424187</v>
      </c>
      <c r="J265" s="38" t="n">
        <f aca="false">'2026 Forecast C'!J215</f>
        <v>1.88510957763259</v>
      </c>
      <c r="K265" s="18" t="n">
        <f aca="false">'2026 Forecast A'!F215</f>
        <v>1004</v>
      </c>
      <c r="L265" s="39" t="str">
        <f aca="false">IF(OR(AND(D265&gt;0.5,E265&gt;0.5,F265&gt;0.5),AND(D265&lt;0.5,E265&lt;0.5,F265&lt;0.5)),"Yes","No — toss-up")</f>
        <v>Yes</v>
      </c>
    </row>
    <row r="266" customFormat="false" ht="15" hidden="false" customHeight="false" outlineLevel="0" collapsed="false">
      <c r="A266" s="9" t="str">
        <f aca="false">'2026 Forecast A'!A216</f>
        <v>Lehigh</v>
      </c>
      <c r="B266" s="9" t="str">
        <f aca="false">'2026 Forecast A'!B216</f>
        <v>WHITEHALL</v>
      </c>
      <c r="C266" s="9" t="str">
        <f aca="false">'2026 Forecast A'!C216</f>
        <v>WHITEHALL 2ND DISTRICT</v>
      </c>
      <c r="D266" s="10" t="n">
        <f aca="false">'2026 Forecast A'!G216</f>
        <v>0.553884711779449</v>
      </c>
      <c r="E266" s="10" t="n">
        <f aca="false">'2026 Forecast B'!G216</f>
        <v>0.56140350877193</v>
      </c>
      <c r="F266" s="10" t="n">
        <f aca="false">'2026 Forecast C'!G216</f>
        <v>0.556390977443609</v>
      </c>
      <c r="G266" s="38" t="n">
        <f aca="false">(MAX(D266:F266)-MIN(D266:F266))*100</f>
        <v>0.751879699248115</v>
      </c>
      <c r="H266" s="38" t="n">
        <f aca="false">'2026 Forecast A'!J216</f>
        <v>3.02363014511423</v>
      </c>
      <c r="I266" s="38" t="n">
        <f aca="false">'2026 Forecast B'!J216</f>
        <v>2.87918965002339</v>
      </c>
      <c r="J266" s="38" t="n">
        <f aca="false">'2026 Forecast C'!J216</f>
        <v>3.15466234357281</v>
      </c>
      <c r="K266" s="18" t="n">
        <f aca="false">'2026 Forecast A'!F216</f>
        <v>399</v>
      </c>
      <c r="L266" s="39" t="str">
        <f aca="false">IF(OR(AND(D266&gt;0.5,E266&gt;0.5,F266&gt;0.5),AND(D266&lt;0.5,E266&lt;0.5,F266&lt;0.5)),"Yes","No — toss-up")</f>
        <v>Yes</v>
      </c>
    </row>
    <row r="267" customFormat="false" ht="15" hidden="false" customHeight="false" outlineLevel="0" collapsed="false">
      <c r="A267" s="9" t="str">
        <f aca="false">'2026 Forecast A'!A217</f>
        <v>Lehigh</v>
      </c>
      <c r="B267" s="9" t="str">
        <f aca="false">'2026 Forecast A'!B217</f>
        <v>WHITEHALL</v>
      </c>
      <c r="C267" s="9" t="str">
        <f aca="false">'2026 Forecast A'!C217</f>
        <v>WHITEHALL 3RD DISTRICT</v>
      </c>
      <c r="D267" s="10" t="n">
        <f aca="false">'2026 Forecast A'!G217</f>
        <v>0.6</v>
      </c>
      <c r="E267" s="10" t="n">
        <f aca="false">'2026 Forecast B'!G217</f>
        <v>0.601923076923077</v>
      </c>
      <c r="F267" s="10" t="n">
        <f aca="false">'2026 Forecast C'!G217</f>
        <v>0.601923076923077</v>
      </c>
      <c r="G267" s="38" t="n">
        <f aca="false">(MAX(D267:F267)-MIN(D267:F267))*100</f>
        <v>0.192307692307692</v>
      </c>
      <c r="H267" s="38" t="n">
        <f aca="false">'2026 Forecast A'!J217</f>
        <v>3.02363014511423</v>
      </c>
      <c r="I267" s="38" t="n">
        <f aca="false">'2026 Forecast B'!J217</f>
        <v>2.87918965002339</v>
      </c>
      <c r="J267" s="38" t="n">
        <f aca="false">'2026 Forecast C'!J217</f>
        <v>3.15466234357281</v>
      </c>
      <c r="K267" s="18" t="n">
        <f aca="false">'2026 Forecast A'!F217</f>
        <v>520</v>
      </c>
      <c r="L267" s="39" t="str">
        <f aca="false">IF(OR(AND(D267&gt;0.5,E267&gt;0.5,F267&gt;0.5),AND(D267&lt;0.5,E267&lt;0.5,F267&lt;0.5)),"Yes","No — toss-up")</f>
        <v>Yes</v>
      </c>
    </row>
    <row r="268" customFormat="false" ht="15" hidden="false" customHeight="false" outlineLevel="0" collapsed="false">
      <c r="A268" s="9" t="str">
        <f aca="false">'2026 Forecast A'!A218</f>
        <v>Lehigh</v>
      </c>
      <c r="B268" s="9" t="str">
        <f aca="false">'2026 Forecast A'!B218</f>
        <v>WHITEHALL</v>
      </c>
      <c r="C268" s="9" t="str">
        <f aca="false">'2026 Forecast A'!C218</f>
        <v>WHITEHALL 4TH DISTRICT</v>
      </c>
      <c r="D268" s="10" t="n">
        <f aca="false">'2026 Forecast A'!G218</f>
        <v>0.560407569141194</v>
      </c>
      <c r="E268" s="10" t="n">
        <f aca="false">'2026 Forecast B'!G218</f>
        <v>0.567685589519651</v>
      </c>
      <c r="F268" s="10" t="n">
        <f aca="false">'2026 Forecast C'!G218</f>
        <v>0.566229985443959</v>
      </c>
      <c r="G268" s="38" t="n">
        <f aca="false">(MAX(D268:F268)-MIN(D268:F268))*100</f>
        <v>0.727802037845704</v>
      </c>
      <c r="H268" s="38" t="n">
        <f aca="false">'2026 Forecast A'!J218</f>
        <v>3.02363014511423</v>
      </c>
      <c r="I268" s="38" t="n">
        <f aca="false">'2026 Forecast B'!J218</f>
        <v>2.87918965002339</v>
      </c>
      <c r="J268" s="38" t="n">
        <f aca="false">'2026 Forecast C'!J218</f>
        <v>3.15466234357281</v>
      </c>
      <c r="K268" s="18" t="n">
        <f aca="false">'2026 Forecast A'!F218</f>
        <v>687</v>
      </c>
      <c r="L268" s="39" t="str">
        <f aca="false">IF(OR(AND(D268&gt;0.5,E268&gt;0.5,F268&gt;0.5),AND(D268&lt;0.5,E268&lt;0.5,F268&lt;0.5)),"Yes","No — toss-up")</f>
        <v>Yes</v>
      </c>
    </row>
    <row r="269" customFormat="false" ht="15" hidden="false" customHeight="false" outlineLevel="0" collapsed="false">
      <c r="A269" s="9" t="str">
        <f aca="false">'2026 Forecast A'!A219</f>
        <v>Lehigh</v>
      </c>
      <c r="B269" s="9" t="str">
        <f aca="false">'2026 Forecast A'!B219</f>
        <v>WHITEHALL</v>
      </c>
      <c r="C269" s="9" t="str">
        <f aca="false">'2026 Forecast A'!C219</f>
        <v>WHITEHALL 5TH DISTRICT</v>
      </c>
      <c r="D269" s="10" t="n">
        <f aca="false">'2026 Forecast A'!G219</f>
        <v>0.491111111111111</v>
      </c>
      <c r="E269" s="10" t="n">
        <f aca="false">'2026 Forecast B'!G219</f>
        <v>0.495555555555556</v>
      </c>
      <c r="F269" s="10" t="n">
        <f aca="false">'2026 Forecast C'!G219</f>
        <v>0.491111111111111</v>
      </c>
      <c r="G269" s="38" t="n">
        <f aca="false">(MAX(D269:F269)-MIN(D269:F269))*100</f>
        <v>0.444444444444447</v>
      </c>
      <c r="H269" s="38" t="n">
        <f aca="false">'2026 Forecast A'!J219</f>
        <v>3.02363014511423</v>
      </c>
      <c r="I269" s="38" t="n">
        <f aca="false">'2026 Forecast B'!J219</f>
        <v>2.87918965002339</v>
      </c>
      <c r="J269" s="38" t="n">
        <f aca="false">'2026 Forecast C'!J219</f>
        <v>3.15466234357281</v>
      </c>
      <c r="K269" s="18" t="n">
        <f aca="false">'2026 Forecast A'!F219</f>
        <v>450</v>
      </c>
      <c r="L269" s="39" t="str">
        <f aca="false">IF(OR(AND(D269&gt;0.5,E269&gt;0.5,F269&gt;0.5),AND(D269&lt;0.5,E269&lt;0.5,F269&lt;0.5)),"Yes","No — toss-up")</f>
        <v>Yes</v>
      </c>
    </row>
    <row r="270" customFormat="false" ht="15" hidden="false" customHeight="false" outlineLevel="0" collapsed="false">
      <c r="A270" s="9" t="str">
        <f aca="false">'2026 Forecast A'!A220</f>
        <v>Lehigh</v>
      </c>
      <c r="B270" s="9" t="str">
        <f aca="false">'2026 Forecast A'!B220</f>
        <v>WHITEHALL</v>
      </c>
      <c r="C270" s="9" t="str">
        <f aca="false">'2026 Forecast A'!C220</f>
        <v>WHITEHALL 6TH DISTRICT</v>
      </c>
      <c r="D270" s="10" t="n">
        <f aca="false">'2026 Forecast A'!G220</f>
        <v>0.524904214559387</v>
      </c>
      <c r="E270" s="10" t="n">
        <f aca="false">'2026 Forecast B'!G220</f>
        <v>0.535121328224777</v>
      </c>
      <c r="F270" s="10" t="n">
        <f aca="false">'2026 Forecast C'!G220</f>
        <v>0.526181353767561</v>
      </c>
      <c r="G270" s="38" t="n">
        <f aca="false">(MAX(D270:F270)-MIN(D270:F270))*100</f>
        <v>1.02171136653896</v>
      </c>
      <c r="H270" s="38" t="n">
        <f aca="false">'2026 Forecast A'!J220</f>
        <v>1.80877416096373</v>
      </c>
      <c r="I270" s="38" t="n">
        <f aca="false">'2026 Forecast B'!J220</f>
        <v>1.9254971424187</v>
      </c>
      <c r="J270" s="38" t="n">
        <f aca="false">'2026 Forecast C'!J220</f>
        <v>1.88510957763259</v>
      </c>
      <c r="K270" s="18" t="n">
        <f aca="false">'2026 Forecast A'!F220</f>
        <v>783</v>
      </c>
      <c r="L270" s="39" t="str">
        <f aca="false">IF(OR(AND(D270&gt;0.5,E270&gt;0.5,F270&gt;0.5),AND(D270&lt;0.5,E270&lt;0.5,F270&lt;0.5)),"Yes","No — toss-up")</f>
        <v>Yes</v>
      </c>
    </row>
    <row r="271" customFormat="false" ht="15" hidden="false" customHeight="false" outlineLevel="0" collapsed="false">
      <c r="A271" s="9" t="str">
        <f aca="false">'2026 Forecast A'!A221</f>
        <v>Lehigh</v>
      </c>
      <c r="B271" s="9" t="str">
        <f aca="false">'2026 Forecast A'!B221</f>
        <v>WHITEHALL</v>
      </c>
      <c r="C271" s="9" t="str">
        <f aca="false">'2026 Forecast A'!C221</f>
        <v>WHITEHALL 7TH DISTRICT</v>
      </c>
      <c r="D271" s="10" t="n">
        <f aca="false">'2026 Forecast A'!G221</f>
        <v>0.485304659498208</v>
      </c>
      <c r="E271" s="10" t="n">
        <f aca="false">'2026 Forecast B'!G221</f>
        <v>0.491039426523298</v>
      </c>
      <c r="F271" s="10" t="n">
        <f aca="false">'2026 Forecast C'!G221</f>
        <v>0.485304659498208</v>
      </c>
      <c r="G271" s="38" t="n">
        <f aca="false">(MAX(D271:F271)-MIN(D271:F271))*100</f>
        <v>0.573476702508963</v>
      </c>
      <c r="H271" s="38" t="n">
        <f aca="false">'2026 Forecast A'!J221</f>
        <v>1.24981746705324</v>
      </c>
      <c r="I271" s="38" t="n">
        <f aca="false">'2026 Forecast B'!J221</f>
        <v>1.86991787188303</v>
      </c>
      <c r="J271" s="38" t="n">
        <f aca="false">'2026 Forecast C'!J221</f>
        <v>1.24424911322721</v>
      </c>
      <c r="K271" s="18" t="n">
        <f aca="false">'2026 Forecast A'!F221</f>
        <v>1395</v>
      </c>
      <c r="L271" s="39" t="str">
        <f aca="false">IF(OR(AND(D271&gt;0.5,E271&gt;0.5,F271&gt;0.5),AND(D271&lt;0.5,E271&lt;0.5,F271&lt;0.5)),"Yes","No — toss-up")</f>
        <v>Yes</v>
      </c>
    </row>
    <row r="272" customFormat="false" ht="15" hidden="false" customHeight="false" outlineLevel="0" collapsed="false">
      <c r="A272" s="9" t="str">
        <f aca="false">'2026 Forecast A'!A222</f>
        <v>Lehigh</v>
      </c>
      <c r="B272" s="9" t="str">
        <f aca="false">'2026 Forecast A'!B222</f>
        <v>WHITEHALL</v>
      </c>
      <c r="C272" s="9" t="str">
        <f aca="false">'2026 Forecast A'!C222</f>
        <v>WHITEHALL 8TH DISTRICT</v>
      </c>
      <c r="D272" s="10" t="n">
        <f aca="false">'2026 Forecast A'!G222</f>
        <v>0.506183745583039</v>
      </c>
      <c r="E272" s="10" t="n">
        <f aca="false">'2026 Forecast B'!G222</f>
        <v>0.514134275618375</v>
      </c>
      <c r="F272" s="10" t="n">
        <f aca="false">'2026 Forecast C'!G222</f>
        <v>0.507067137809187</v>
      </c>
      <c r="G272" s="38" t="n">
        <f aca="false">(MAX(D272:F272)-MIN(D272:F272))*100</f>
        <v>0.795053003533564</v>
      </c>
      <c r="H272" s="38" t="n">
        <f aca="false">'2026 Forecast A'!J222</f>
        <v>1.80877416096373</v>
      </c>
      <c r="I272" s="38" t="n">
        <f aca="false">'2026 Forecast B'!J222</f>
        <v>1.9254971424187</v>
      </c>
      <c r="J272" s="38" t="n">
        <f aca="false">'2026 Forecast C'!J222</f>
        <v>1.88510957763259</v>
      </c>
      <c r="K272" s="18" t="n">
        <f aca="false">'2026 Forecast A'!F222</f>
        <v>1132</v>
      </c>
      <c r="L272" s="39" t="str">
        <f aca="false">IF(OR(AND(D272&gt;0.5,E272&gt;0.5,F272&gt;0.5),AND(D272&lt;0.5,E272&lt;0.5,F272&lt;0.5)),"Yes","No — toss-up")</f>
        <v>Yes</v>
      </c>
    </row>
    <row r="273" customFormat="false" ht="15" hidden="false" customHeight="false" outlineLevel="0" collapsed="false">
      <c r="A273" s="9" t="str">
        <f aca="false">'2026 Forecast A'!A223</f>
        <v>Lehigh</v>
      </c>
      <c r="B273" s="9" t="str">
        <f aca="false">'2026 Forecast A'!B223</f>
        <v>WHITEHALL</v>
      </c>
      <c r="C273" s="9" t="str">
        <f aca="false">'2026 Forecast A'!C223</f>
        <v>WHITEHALL 9TH DISTRICT</v>
      </c>
      <c r="D273" s="10" t="n">
        <f aca="false">'2026 Forecast A'!G223</f>
        <v>0.521637426900585</v>
      </c>
      <c r="E273" s="10" t="n">
        <f aca="false">'2026 Forecast B'!G223</f>
        <v>0.528654970760234</v>
      </c>
      <c r="F273" s="10" t="n">
        <f aca="false">'2026 Forecast C'!G223</f>
        <v>0.52280701754386</v>
      </c>
      <c r="G273" s="38" t="n">
        <f aca="false">(MAX(D273:F273)-MIN(D273:F273))*100</f>
        <v>0.701754385964915</v>
      </c>
      <c r="H273" s="38" t="n">
        <f aca="false">'2026 Forecast A'!J223</f>
        <v>1.80877416096373</v>
      </c>
      <c r="I273" s="38" t="n">
        <f aca="false">'2026 Forecast B'!J223</f>
        <v>1.9254971424187</v>
      </c>
      <c r="J273" s="38" t="n">
        <f aca="false">'2026 Forecast C'!J223</f>
        <v>1.88510957763259</v>
      </c>
      <c r="K273" s="18" t="n">
        <f aca="false">'2026 Forecast A'!F223</f>
        <v>855</v>
      </c>
      <c r="L273" s="39" t="str">
        <f aca="false">IF(OR(AND(D273&gt;0.5,E273&gt;0.5,F273&gt;0.5),AND(D273&lt;0.5,E273&lt;0.5,F273&lt;0.5)),"Yes","No — toss-up")</f>
        <v>Yes</v>
      </c>
    </row>
    <row r="274" customFormat="false" ht="15" hidden="false" customHeight="false" outlineLevel="0" collapsed="false">
      <c r="A274" s="9" t="str">
        <f aca="false">'2026 Forecast A'!A224</f>
        <v>Monroe</v>
      </c>
      <c r="B274" s="9" t="str">
        <f aca="false">'2026 Forecast A'!B224</f>
        <v>ELDRED TOWNSHIP</v>
      </c>
      <c r="C274" s="9" t="str">
        <f aca="false">'2026 Forecast A'!C224</f>
        <v>ELDRED</v>
      </c>
      <c r="D274" s="10" t="n">
        <f aca="false">'2026 Forecast A'!G224</f>
        <v>0.312803889789303</v>
      </c>
      <c r="E274" s="10" t="n">
        <f aca="false">'2026 Forecast B'!G224</f>
        <v>0.314424635332253</v>
      </c>
      <c r="F274" s="10" t="n">
        <f aca="false">'2026 Forecast C'!G224</f>
        <v>0.303889789303079</v>
      </c>
      <c r="G274" s="38" t="n">
        <f aca="false">(MAX(D274:F274)-MIN(D274:F274))*100</f>
        <v>1.05348460291734</v>
      </c>
      <c r="H274" s="38" t="n">
        <f aca="false">'2026 Forecast A'!J224</f>
        <v>1.24981746705324</v>
      </c>
      <c r="I274" s="38" t="n">
        <f aca="false">'2026 Forecast B'!J224</f>
        <v>1.86991787188303</v>
      </c>
      <c r="J274" s="38" t="n">
        <f aca="false">'2026 Forecast C'!J224</f>
        <v>1.24424911322721</v>
      </c>
      <c r="K274" s="18" t="n">
        <f aca="false">'2026 Forecast A'!F224</f>
        <v>1234</v>
      </c>
      <c r="L274" s="39" t="str">
        <f aca="false">IF(OR(AND(D274&gt;0.5,E274&gt;0.5,F274&gt;0.5),AND(D274&lt;0.5,E274&lt;0.5,F274&lt;0.5)),"Yes","No — toss-up")</f>
        <v>Yes</v>
      </c>
    </row>
    <row r="275" customFormat="false" ht="15" hidden="false" customHeight="false" outlineLevel="0" collapsed="false">
      <c r="A275" s="9" t="str">
        <f aca="false">'2026 Forecast A'!A225</f>
        <v>Monroe</v>
      </c>
      <c r="B275" s="9" t="str">
        <f aca="false">'2026 Forecast A'!B225</f>
        <v>POLK TOWNSHIP</v>
      </c>
      <c r="C275" s="9" t="str">
        <f aca="false">'2026 Forecast A'!C225</f>
        <v>POLK</v>
      </c>
      <c r="D275" s="10" t="n">
        <f aca="false">'2026 Forecast A'!G225</f>
        <v>0.338412698412698</v>
      </c>
      <c r="E275" s="10" t="n">
        <f aca="false">'2026 Forecast B'!G225</f>
        <v>0.34031746031746</v>
      </c>
      <c r="F275" s="10" t="n">
        <f aca="false">'2026 Forecast C'!G225</f>
        <v>0.331428571428571</v>
      </c>
      <c r="G275" s="38" t="n">
        <f aca="false">(MAX(D275:F275)-MIN(D275:F275))*100</f>
        <v>0.888888888888889</v>
      </c>
      <c r="H275" s="38" t="n">
        <f aca="false">'2026 Forecast A'!J225</f>
        <v>1.24981746705324</v>
      </c>
      <c r="I275" s="38" t="n">
        <f aca="false">'2026 Forecast B'!J225</f>
        <v>1.86991787188303</v>
      </c>
      <c r="J275" s="38" t="n">
        <f aca="false">'2026 Forecast C'!J225</f>
        <v>1.24424911322721</v>
      </c>
      <c r="K275" s="18" t="n">
        <f aca="false">'2026 Forecast A'!F225</f>
        <v>3150</v>
      </c>
      <c r="L275" s="39" t="str">
        <f aca="false">IF(OR(AND(D275&gt;0.5,E275&gt;0.5,F275&gt;0.5),AND(D275&lt;0.5,E275&lt;0.5,F275&lt;0.5)),"Yes","No — toss-up")</f>
        <v>Yes</v>
      </c>
    </row>
    <row r="276" customFormat="false" ht="15" hidden="false" customHeight="false" outlineLevel="0" collapsed="false">
      <c r="A276" s="9" t="str">
        <f aca="false">'2026 Forecast A'!A226</f>
        <v>Monroe</v>
      </c>
      <c r="B276" s="9" t="str">
        <f aca="false">'2026 Forecast A'!B226</f>
        <v>ROSS TOWNSHIP</v>
      </c>
      <c r="C276" s="9" t="str">
        <f aca="false">'2026 Forecast A'!C226</f>
        <v>ROSS 1</v>
      </c>
      <c r="D276" s="10" t="n">
        <f aca="false">'2026 Forecast A'!G226</f>
        <v>0.354397950469684</v>
      </c>
      <c r="E276" s="10" t="n">
        <f aca="false">'2026 Forecast B'!G226</f>
        <v>0.35269000853971</v>
      </c>
      <c r="F276" s="10" t="n">
        <f aca="false">'2026 Forecast C'!G226</f>
        <v>0.348420153714774</v>
      </c>
      <c r="G276" s="38" t="n">
        <f aca="false">(MAX(D276:F276)-MIN(D276:F276))*100</f>
        <v>0.597779675491034</v>
      </c>
      <c r="H276" s="38" t="n">
        <f aca="false">'2026 Forecast A'!J226</f>
        <v>1.80877416096373</v>
      </c>
      <c r="I276" s="38" t="n">
        <f aca="false">'2026 Forecast B'!J226</f>
        <v>1.9254971424187</v>
      </c>
      <c r="J276" s="38" t="n">
        <f aca="false">'2026 Forecast C'!J226</f>
        <v>1.88510957763259</v>
      </c>
      <c r="K276" s="18" t="n">
        <f aca="false">'2026 Forecast A'!F226</f>
        <v>1171</v>
      </c>
      <c r="L276" s="39" t="str">
        <f aca="false">IF(OR(AND(D276&gt;0.5,E276&gt;0.5,F276&gt;0.5),AND(D276&lt;0.5,E276&lt;0.5,F276&lt;0.5)),"Yes","No — toss-up")</f>
        <v>Yes</v>
      </c>
    </row>
    <row r="277" customFormat="false" ht="15" hidden="false" customHeight="false" outlineLevel="0" collapsed="false">
      <c r="A277" s="9" t="str">
        <f aca="false">'2026 Forecast A'!A227</f>
        <v>Northampton</v>
      </c>
      <c r="B277" s="9" t="str">
        <f aca="false">'2026 Forecast A'!B227</f>
        <v>ALLEN</v>
      </c>
      <c r="C277" s="9" t="str">
        <f aca="false">'2026 Forecast A'!C227</f>
        <v>ALLEN TWSP - NORTH</v>
      </c>
      <c r="D277" s="10" t="n">
        <f aca="false">'2026 Forecast A'!G227</f>
        <v>0.423789173789174</v>
      </c>
      <c r="E277" s="10" t="n">
        <f aca="false">'2026 Forecast B'!G227</f>
        <v>0.41951566951567</v>
      </c>
      <c r="F277" s="10" t="n">
        <f aca="false">'2026 Forecast C'!G227</f>
        <v>0.420940170940171</v>
      </c>
      <c r="G277" s="38" t="n">
        <f aca="false">(MAX(D277:F277)-MIN(D277:F277))*100</f>
        <v>0.427350427350426</v>
      </c>
      <c r="H277" s="38" t="n">
        <f aca="false">'2026 Forecast A'!J227</f>
        <v>1.24981746705324</v>
      </c>
      <c r="I277" s="38" t="n">
        <f aca="false">'2026 Forecast B'!J227</f>
        <v>1.86991787188303</v>
      </c>
      <c r="J277" s="38" t="n">
        <f aca="false">'2026 Forecast C'!J227</f>
        <v>1.24424911322721</v>
      </c>
      <c r="K277" s="18" t="n">
        <f aca="false">'2026 Forecast A'!F227</f>
        <v>1404</v>
      </c>
      <c r="L277" s="39" t="str">
        <f aca="false">IF(OR(AND(D277&gt;0.5,E277&gt;0.5,F277&gt;0.5),AND(D277&lt;0.5,E277&lt;0.5,F277&lt;0.5)),"Yes","No — toss-up")</f>
        <v>Yes</v>
      </c>
    </row>
    <row r="278" customFormat="false" ht="15" hidden="false" customHeight="false" outlineLevel="0" collapsed="false">
      <c r="A278" s="9" t="str">
        <f aca="false">'2026 Forecast A'!A228</f>
        <v>Northampton</v>
      </c>
      <c r="B278" s="9" t="str">
        <f aca="false">'2026 Forecast A'!B228</f>
        <v>ALLEN</v>
      </c>
      <c r="C278" s="9" t="str">
        <f aca="false">'2026 Forecast A'!C228</f>
        <v>ALLEN TWSP - SOUTH</v>
      </c>
      <c r="D278" s="10" t="n">
        <f aca="false">'2026 Forecast A'!G228</f>
        <v>0.47981721249048</v>
      </c>
      <c r="E278" s="10" t="n">
        <f aca="false">'2026 Forecast B'!G228</f>
        <v>0.473724295506474</v>
      </c>
      <c r="F278" s="10" t="n">
        <f aca="false">'2026 Forecast C'!G228</f>
        <v>0.479055597867479</v>
      </c>
      <c r="G278" s="38" t="n">
        <f aca="false">(MAX(D278:F278)-MIN(D278:F278))*100</f>
        <v>0.60929169840061</v>
      </c>
      <c r="H278" s="38" t="n">
        <f aca="false">'2026 Forecast A'!J228</f>
        <v>1.24981746705324</v>
      </c>
      <c r="I278" s="38" t="n">
        <f aca="false">'2026 Forecast B'!J228</f>
        <v>1.86991787188303</v>
      </c>
      <c r="J278" s="38" t="n">
        <f aca="false">'2026 Forecast C'!J228</f>
        <v>1.24424911322721</v>
      </c>
      <c r="K278" s="18" t="n">
        <f aca="false">'2026 Forecast A'!F228</f>
        <v>1313</v>
      </c>
      <c r="L278" s="39" t="str">
        <f aca="false">IF(OR(AND(D278&gt;0.5,E278&gt;0.5,F278&gt;0.5),AND(D278&lt;0.5,E278&lt;0.5,F278&lt;0.5)),"Yes","No — toss-up")</f>
        <v>Yes</v>
      </c>
    </row>
    <row r="279" customFormat="false" ht="15" hidden="false" customHeight="false" outlineLevel="0" collapsed="false">
      <c r="A279" s="9" t="str">
        <f aca="false">'2026 Forecast A'!A229</f>
        <v>Northampton</v>
      </c>
      <c r="B279" s="9" t="str">
        <f aca="false">'2026 Forecast A'!B229</f>
        <v>BANGOR</v>
      </c>
      <c r="C279" s="9" t="str">
        <f aca="false">'2026 Forecast A'!C229</f>
        <v>BANGOR BORO NORTH</v>
      </c>
      <c r="D279" s="10" t="n">
        <f aca="false">'2026 Forecast A'!G229</f>
        <v>0.403520208604954</v>
      </c>
      <c r="E279" s="10" t="n">
        <f aca="false">'2026 Forecast B'!G229</f>
        <v>0.40026075619296</v>
      </c>
      <c r="F279" s="10" t="n">
        <f aca="false">'2026 Forecast C'!G229</f>
        <v>0.401564537157758</v>
      </c>
      <c r="G279" s="38" t="n">
        <f aca="false">(MAX(D279:F279)-MIN(D279:F279))*100</f>
        <v>0.325945241199477</v>
      </c>
      <c r="H279" s="38" t="n">
        <f aca="false">'2026 Forecast A'!J229</f>
        <v>1.24981746705324</v>
      </c>
      <c r="I279" s="38" t="n">
        <f aca="false">'2026 Forecast B'!J229</f>
        <v>1.86991787188303</v>
      </c>
      <c r="J279" s="38" t="n">
        <f aca="false">'2026 Forecast C'!J229</f>
        <v>1.24424911322721</v>
      </c>
      <c r="K279" s="18" t="n">
        <f aca="false">'2026 Forecast A'!F229</f>
        <v>1534</v>
      </c>
      <c r="L279" s="39" t="str">
        <f aca="false">IF(OR(AND(D279&gt;0.5,E279&gt;0.5,F279&gt;0.5),AND(D279&lt;0.5,E279&lt;0.5,F279&lt;0.5)),"Yes","No — toss-up")</f>
        <v>Yes</v>
      </c>
    </row>
    <row r="280" customFormat="false" ht="15" hidden="false" customHeight="false" outlineLevel="0" collapsed="false">
      <c r="A280" s="9" t="str">
        <f aca="false">'2026 Forecast A'!A230</f>
        <v>Northampton</v>
      </c>
      <c r="B280" s="9" t="str">
        <f aca="false">'2026 Forecast A'!B230</f>
        <v>BANGOR</v>
      </c>
      <c r="C280" s="9" t="str">
        <f aca="false">'2026 Forecast A'!C230</f>
        <v>BANGOR BORO SOUTH</v>
      </c>
      <c r="D280" s="10" t="n">
        <f aca="false">'2026 Forecast A'!G230</f>
        <v>0.4187832250443</v>
      </c>
      <c r="E280" s="10" t="n">
        <f aca="false">'2026 Forecast B'!G230</f>
        <v>0.411695215593621</v>
      </c>
      <c r="F280" s="10" t="n">
        <f aca="false">'2026 Forecast C'!G230</f>
        <v>0.417601890135854</v>
      </c>
      <c r="G280" s="38" t="n">
        <f aca="false">(MAX(D280:F280)-MIN(D280:F280))*100</f>
        <v>0.708800945067928</v>
      </c>
      <c r="H280" s="38" t="n">
        <f aca="false">'2026 Forecast A'!J230</f>
        <v>1.24981746705324</v>
      </c>
      <c r="I280" s="38" t="n">
        <f aca="false">'2026 Forecast B'!J230</f>
        <v>1.86991787188303</v>
      </c>
      <c r="J280" s="38" t="n">
        <f aca="false">'2026 Forecast C'!J230</f>
        <v>1.24424911322721</v>
      </c>
      <c r="K280" s="18" t="n">
        <f aca="false">'2026 Forecast A'!F230</f>
        <v>1693</v>
      </c>
      <c r="L280" s="39" t="str">
        <f aca="false">IF(OR(AND(D280&gt;0.5,E280&gt;0.5,F280&gt;0.5),AND(D280&lt;0.5,E280&lt;0.5,F280&lt;0.5)),"Yes","No — toss-up")</f>
        <v>Yes</v>
      </c>
    </row>
    <row r="281" customFormat="false" ht="15" hidden="false" customHeight="false" outlineLevel="0" collapsed="false">
      <c r="A281" s="9" t="str">
        <f aca="false">'2026 Forecast A'!A231</f>
        <v>Northampton</v>
      </c>
      <c r="B281" s="9" t="str">
        <f aca="false">'2026 Forecast A'!B231</f>
        <v>BATH</v>
      </c>
      <c r="C281" s="9" t="str">
        <f aca="false">'2026 Forecast A'!C231</f>
        <v>BATH BORO</v>
      </c>
      <c r="D281" s="10" t="n">
        <f aca="false">'2026 Forecast A'!G231</f>
        <v>0.480314960629921</v>
      </c>
      <c r="E281" s="10" t="n">
        <f aca="false">'2026 Forecast B'!G231</f>
        <v>0.480314960629921</v>
      </c>
      <c r="F281" s="10" t="n">
        <f aca="false">'2026 Forecast C'!G231</f>
        <v>0.479330708661417</v>
      </c>
      <c r="G281" s="38" t="n">
        <f aca="false">(MAX(D281:F281)-MIN(D281:F281))*100</f>
        <v>0.0984251968503935</v>
      </c>
      <c r="H281" s="38" t="n">
        <f aca="false">'2026 Forecast A'!J231</f>
        <v>1.80877416096373</v>
      </c>
      <c r="I281" s="38" t="n">
        <f aca="false">'2026 Forecast B'!J231</f>
        <v>1.9254971424187</v>
      </c>
      <c r="J281" s="38" t="n">
        <f aca="false">'2026 Forecast C'!J231</f>
        <v>1.88510957763259</v>
      </c>
      <c r="K281" s="18" t="n">
        <f aca="false">'2026 Forecast A'!F231</f>
        <v>1016</v>
      </c>
      <c r="L281" s="39" t="str">
        <f aca="false">IF(OR(AND(D281&gt;0.5,E281&gt;0.5,F281&gt;0.5),AND(D281&lt;0.5,E281&lt;0.5,F281&lt;0.5)),"Yes","No — toss-up")</f>
        <v>Yes</v>
      </c>
    </row>
    <row r="282" customFormat="false" ht="15" hidden="false" customHeight="false" outlineLevel="0" collapsed="false">
      <c r="A282" s="9" t="str">
        <f aca="false">'2026 Forecast A'!A232</f>
        <v>Northampton</v>
      </c>
      <c r="B282" s="9" t="str">
        <f aca="false">'2026 Forecast A'!B232</f>
        <v>BETHLEHEM</v>
      </c>
      <c r="C282" s="9" t="str">
        <f aca="false">'2026 Forecast A'!C232</f>
        <v>BETHLEHEM 14TH WARD 1ST DISTRICT</v>
      </c>
      <c r="D282" s="10" t="n">
        <f aca="false">'2026 Forecast A'!G232</f>
        <v>0.634245187436677</v>
      </c>
      <c r="E282" s="10" t="n">
        <f aca="false">'2026 Forecast B'!G232</f>
        <v>0.625126646403242</v>
      </c>
      <c r="F282" s="10" t="n">
        <f aca="false">'2026 Forecast C'!G232</f>
        <v>0.6403242147923</v>
      </c>
      <c r="G282" s="38" t="n">
        <f aca="false">(MAX(D282:F282)-MIN(D282:F282))*100</f>
        <v>1.51975683890578</v>
      </c>
      <c r="H282" s="38" t="n">
        <f aca="false">'2026 Forecast A'!J232</f>
        <v>1.80877416096373</v>
      </c>
      <c r="I282" s="38" t="n">
        <f aca="false">'2026 Forecast B'!J232</f>
        <v>1.9254971424187</v>
      </c>
      <c r="J282" s="38" t="n">
        <f aca="false">'2026 Forecast C'!J232</f>
        <v>1.88510957763259</v>
      </c>
      <c r="K282" s="18" t="n">
        <f aca="false">'2026 Forecast A'!F232</f>
        <v>987</v>
      </c>
      <c r="L282" s="39" t="str">
        <f aca="false">IF(OR(AND(D282&gt;0.5,E282&gt;0.5,F282&gt;0.5),AND(D282&lt;0.5,E282&lt;0.5,F282&lt;0.5)),"Yes","No — toss-up")</f>
        <v>Yes</v>
      </c>
    </row>
    <row r="283" customFormat="false" ht="15" hidden="false" customHeight="false" outlineLevel="0" collapsed="false">
      <c r="A283" s="9" t="str">
        <f aca="false">'2026 Forecast A'!A233</f>
        <v>Northampton</v>
      </c>
      <c r="B283" s="9" t="str">
        <f aca="false">'2026 Forecast A'!B233</f>
        <v>BETHLEHEM</v>
      </c>
      <c r="C283" s="9" t="str">
        <f aca="false">'2026 Forecast A'!C233</f>
        <v>BETHLEHEM 14TH WARD 2ND DISTRICT</v>
      </c>
      <c r="D283" s="10" t="n">
        <f aca="false">'2026 Forecast A'!G233</f>
        <v>0.596491228070175</v>
      </c>
      <c r="E283" s="10" t="n">
        <f aca="false">'2026 Forecast B'!G233</f>
        <v>0.595087719298246</v>
      </c>
      <c r="F283" s="10" t="n">
        <f aca="false">'2026 Forecast C'!G233</f>
        <v>0.604210526315789</v>
      </c>
      <c r="G283" s="38" t="n">
        <f aca="false">(MAX(D283:F283)-MIN(D283:F283))*100</f>
        <v>0.912280701754376</v>
      </c>
      <c r="H283" s="38" t="n">
        <f aca="false">'2026 Forecast A'!J233</f>
        <v>1.24981746705324</v>
      </c>
      <c r="I283" s="38" t="n">
        <f aca="false">'2026 Forecast B'!J233</f>
        <v>1.86991787188303</v>
      </c>
      <c r="J283" s="38" t="n">
        <f aca="false">'2026 Forecast C'!J233</f>
        <v>1.24424911322721</v>
      </c>
      <c r="K283" s="18" t="n">
        <f aca="false">'2026 Forecast A'!F233</f>
        <v>1425</v>
      </c>
      <c r="L283" s="39" t="str">
        <f aca="false">IF(OR(AND(D283&gt;0.5,E283&gt;0.5,F283&gt;0.5),AND(D283&lt;0.5,E283&lt;0.5,F283&lt;0.5)),"Yes","No — toss-up")</f>
        <v>Yes</v>
      </c>
    </row>
    <row r="284" customFormat="false" ht="15" hidden="false" customHeight="false" outlineLevel="0" collapsed="false">
      <c r="A284" s="9" t="str">
        <f aca="false">'2026 Forecast A'!A234</f>
        <v>Northampton</v>
      </c>
      <c r="B284" s="9" t="str">
        <f aca="false">'2026 Forecast A'!B234</f>
        <v>BETHLEHEM</v>
      </c>
      <c r="C284" s="9" t="str">
        <f aca="false">'2026 Forecast A'!C234</f>
        <v>BETHLEHEM 14TH WARD 3RD DISTRICT</v>
      </c>
      <c r="D284" s="10" t="n">
        <f aca="false">'2026 Forecast A'!G234</f>
        <v>0.650313152400835</v>
      </c>
      <c r="E284" s="10" t="n">
        <f aca="false">'2026 Forecast B'!G234</f>
        <v>0.636743215031315</v>
      </c>
      <c r="F284" s="10" t="n">
        <f aca="false">'2026 Forecast C'!G234</f>
        <v>0.65553235908142</v>
      </c>
      <c r="G284" s="38" t="n">
        <f aca="false">(MAX(D284:F284)-MIN(D284:F284))*100</f>
        <v>1.87891440501043</v>
      </c>
      <c r="H284" s="38" t="n">
        <f aca="false">'2026 Forecast A'!J234</f>
        <v>1.80877416096373</v>
      </c>
      <c r="I284" s="38" t="n">
        <f aca="false">'2026 Forecast B'!J234</f>
        <v>1.9254971424187</v>
      </c>
      <c r="J284" s="38" t="n">
        <f aca="false">'2026 Forecast C'!J234</f>
        <v>1.88510957763259</v>
      </c>
      <c r="K284" s="18" t="n">
        <f aca="false">'2026 Forecast A'!F234</f>
        <v>958</v>
      </c>
      <c r="L284" s="39" t="str">
        <f aca="false">IF(OR(AND(D284&gt;0.5,E284&gt;0.5,F284&gt;0.5),AND(D284&lt;0.5,E284&lt;0.5,F284&lt;0.5)),"Yes","No — toss-up")</f>
        <v>Yes</v>
      </c>
    </row>
    <row r="285" customFormat="false" ht="15" hidden="false" customHeight="false" outlineLevel="0" collapsed="false">
      <c r="A285" s="9" t="str">
        <f aca="false">'2026 Forecast A'!A235</f>
        <v>Northampton</v>
      </c>
      <c r="B285" s="9" t="str">
        <f aca="false">'2026 Forecast A'!B235</f>
        <v>BETHLEHEM</v>
      </c>
      <c r="C285" s="9" t="str">
        <f aca="false">'2026 Forecast A'!C235</f>
        <v>BETHLEHEM 14TH WARD 4TH DISTRICT</v>
      </c>
      <c r="D285" s="10" t="n">
        <f aca="false">'2026 Forecast A'!G235</f>
        <v>0.640218878248974</v>
      </c>
      <c r="E285" s="10" t="n">
        <f aca="false">'2026 Forecast B'!G235</f>
        <v>0.632010943912449</v>
      </c>
      <c r="F285" s="10" t="n">
        <f aca="false">'2026 Forecast C'!G235</f>
        <v>0.645690834473324</v>
      </c>
      <c r="G285" s="38" t="n">
        <f aca="false">(MAX(D285:F285)-MIN(D285:F285))*100</f>
        <v>1.36798905608755</v>
      </c>
      <c r="H285" s="38" t="n">
        <f aca="false">'2026 Forecast A'!J235</f>
        <v>3.02363014511423</v>
      </c>
      <c r="I285" s="38" t="n">
        <f aca="false">'2026 Forecast B'!J235</f>
        <v>2.87918965002339</v>
      </c>
      <c r="J285" s="38" t="n">
        <f aca="false">'2026 Forecast C'!J235</f>
        <v>3.15466234357281</v>
      </c>
      <c r="K285" s="18" t="n">
        <f aca="false">'2026 Forecast A'!F235</f>
        <v>731</v>
      </c>
      <c r="L285" s="39" t="str">
        <f aca="false">IF(OR(AND(D285&gt;0.5,E285&gt;0.5,F285&gt;0.5),AND(D285&lt;0.5,E285&lt;0.5,F285&lt;0.5)),"Yes","No — toss-up")</f>
        <v>Yes</v>
      </c>
    </row>
    <row r="286" customFormat="false" ht="15" hidden="false" customHeight="false" outlineLevel="0" collapsed="false">
      <c r="A286" s="9" t="str">
        <f aca="false">'2026 Forecast A'!A236</f>
        <v>Northampton</v>
      </c>
      <c r="B286" s="9" t="str">
        <f aca="false">'2026 Forecast A'!B236</f>
        <v>BETHLEHEM</v>
      </c>
      <c r="C286" s="9" t="str">
        <f aca="false">'2026 Forecast A'!C236</f>
        <v>BETHLEHEM 14TH WARD 5TH DISTRICT</v>
      </c>
      <c r="D286" s="10" t="n">
        <f aca="false">'2026 Forecast A'!G236</f>
        <v>0.608341810783316</v>
      </c>
      <c r="E286" s="10" t="n">
        <f aca="false">'2026 Forecast B'!G236</f>
        <v>0.614445574771109</v>
      </c>
      <c r="F286" s="10" t="n">
        <f aca="false">'2026 Forecast C'!G236</f>
        <v>0.612410986775178</v>
      </c>
      <c r="G286" s="38" t="n">
        <f aca="false">(MAX(D286:F286)-MIN(D286:F286))*100</f>
        <v>0.610376398779244</v>
      </c>
      <c r="H286" s="38" t="n">
        <f aca="false">'2026 Forecast A'!J236</f>
        <v>1.80877416096373</v>
      </c>
      <c r="I286" s="38" t="n">
        <f aca="false">'2026 Forecast B'!J236</f>
        <v>1.9254971424187</v>
      </c>
      <c r="J286" s="38" t="n">
        <f aca="false">'2026 Forecast C'!J236</f>
        <v>1.88510957763259</v>
      </c>
      <c r="K286" s="18" t="n">
        <f aca="false">'2026 Forecast A'!F236</f>
        <v>983</v>
      </c>
      <c r="L286" s="39" t="str">
        <f aca="false">IF(OR(AND(D286&gt;0.5,E286&gt;0.5,F286&gt;0.5),AND(D286&lt;0.5,E286&lt;0.5,F286&lt;0.5)),"Yes","No — toss-up")</f>
        <v>Yes</v>
      </c>
    </row>
    <row r="287" customFormat="false" ht="15" hidden="false" customHeight="false" outlineLevel="0" collapsed="false">
      <c r="A287" s="9" t="str">
        <f aca="false">'2026 Forecast A'!A237</f>
        <v>Northampton</v>
      </c>
      <c r="B287" s="9" t="str">
        <f aca="false">'2026 Forecast A'!B237</f>
        <v>BETHLEHEM</v>
      </c>
      <c r="C287" s="9" t="str">
        <f aca="false">'2026 Forecast A'!C237</f>
        <v>BETHLEHEM 14TH WARD 6TH DISTRICT</v>
      </c>
      <c r="D287" s="10" t="n">
        <f aca="false">'2026 Forecast A'!G237</f>
        <v>0.629848229342327</v>
      </c>
      <c r="E287" s="10" t="n">
        <f aca="false">'2026 Forecast B'!G237</f>
        <v>0.626475548060708</v>
      </c>
      <c r="F287" s="10" t="n">
        <f aca="false">'2026 Forecast C'!G237</f>
        <v>0.634907251264755</v>
      </c>
      <c r="G287" s="38" t="n">
        <f aca="false">(MAX(D287:F287)-MIN(D287:F287))*100</f>
        <v>0.843170320404718</v>
      </c>
      <c r="H287" s="38" t="n">
        <f aca="false">'2026 Forecast A'!J237</f>
        <v>1.80877416096373</v>
      </c>
      <c r="I287" s="38" t="n">
        <f aca="false">'2026 Forecast B'!J237</f>
        <v>1.9254971424187</v>
      </c>
      <c r="J287" s="38" t="n">
        <f aca="false">'2026 Forecast C'!J237</f>
        <v>1.88510957763259</v>
      </c>
      <c r="K287" s="18" t="n">
        <f aca="false">'2026 Forecast A'!F237</f>
        <v>1186</v>
      </c>
      <c r="L287" s="39" t="str">
        <f aca="false">IF(OR(AND(D287&gt;0.5,E287&gt;0.5,F287&gt;0.5),AND(D287&lt;0.5,E287&lt;0.5,F287&lt;0.5)),"Yes","No — toss-up")</f>
        <v>Yes</v>
      </c>
    </row>
    <row r="288" customFormat="false" ht="15" hidden="false" customHeight="false" outlineLevel="0" collapsed="false">
      <c r="A288" s="9" t="str">
        <f aca="false">'2026 Forecast A'!A238</f>
        <v>Northampton</v>
      </c>
      <c r="B288" s="9" t="str">
        <f aca="false">'2026 Forecast A'!B238</f>
        <v>BETHLEHEM</v>
      </c>
      <c r="C288" s="9" t="str">
        <f aca="false">'2026 Forecast A'!C238</f>
        <v>BETHLEHEM 14TH WARD 7TH DISTRICT</v>
      </c>
      <c r="D288" s="10" t="n">
        <f aca="false">'2026 Forecast A'!G238</f>
        <v>0.585074626865672</v>
      </c>
      <c r="E288" s="10" t="n">
        <f aca="false">'2026 Forecast B'!G238</f>
        <v>0.589054726368159</v>
      </c>
      <c r="F288" s="10" t="n">
        <f aca="false">'2026 Forecast C'!G238</f>
        <v>0.590049751243781</v>
      </c>
      <c r="G288" s="38" t="n">
        <f aca="false">(MAX(D288:F288)-MIN(D288:F288))*100</f>
        <v>0.497512437810943</v>
      </c>
      <c r="H288" s="38" t="n">
        <f aca="false">'2026 Forecast A'!J238</f>
        <v>1.80877416096373</v>
      </c>
      <c r="I288" s="38" t="n">
        <f aca="false">'2026 Forecast B'!J238</f>
        <v>1.9254971424187</v>
      </c>
      <c r="J288" s="38" t="n">
        <f aca="false">'2026 Forecast C'!J238</f>
        <v>1.88510957763259</v>
      </c>
      <c r="K288" s="18" t="n">
        <f aca="false">'2026 Forecast A'!F238</f>
        <v>1005</v>
      </c>
      <c r="L288" s="39" t="str">
        <f aca="false">IF(OR(AND(D288&gt;0.5,E288&gt;0.5,F288&gt;0.5),AND(D288&lt;0.5,E288&lt;0.5,F288&lt;0.5)),"Yes","No — toss-up")</f>
        <v>Yes</v>
      </c>
    </row>
    <row r="289" customFormat="false" ht="15" hidden="false" customHeight="false" outlineLevel="0" collapsed="false">
      <c r="A289" s="9" t="str">
        <f aca="false">'2026 Forecast A'!A239</f>
        <v>Northampton</v>
      </c>
      <c r="B289" s="9" t="str">
        <f aca="false">'2026 Forecast A'!B239</f>
        <v>BETHLEHEM</v>
      </c>
      <c r="C289" s="9" t="str">
        <f aca="false">'2026 Forecast A'!C239</f>
        <v>BETHLEHEM 14TH WARD 8TH DISTRICT</v>
      </c>
      <c r="D289" s="10" t="n">
        <f aca="false">'2026 Forecast A'!G239</f>
        <v>0.643266475644699</v>
      </c>
      <c r="E289" s="10" t="n">
        <f aca="false">'2026 Forecast B'!G239</f>
        <v>0.631805157593123</v>
      </c>
      <c r="F289" s="10" t="n">
        <f aca="false">'2026 Forecast C'!G239</f>
        <v>0.648997134670487</v>
      </c>
      <c r="G289" s="38" t="n">
        <f aca="false">(MAX(D289:F289)-MIN(D289:F289))*100</f>
        <v>1.7191977077364</v>
      </c>
      <c r="H289" s="38" t="n">
        <f aca="false">'2026 Forecast A'!J239</f>
        <v>3.02363014511423</v>
      </c>
      <c r="I289" s="38" t="n">
        <f aca="false">'2026 Forecast B'!J239</f>
        <v>2.87918965002339</v>
      </c>
      <c r="J289" s="38" t="n">
        <f aca="false">'2026 Forecast C'!J239</f>
        <v>3.15466234357281</v>
      </c>
      <c r="K289" s="18" t="n">
        <f aca="false">'2026 Forecast A'!F239</f>
        <v>698</v>
      </c>
      <c r="L289" s="39" t="str">
        <f aca="false">IF(OR(AND(D289&gt;0.5,E289&gt;0.5,F289&gt;0.5),AND(D289&lt;0.5,E289&lt;0.5,F289&lt;0.5)),"Yes","No — toss-up")</f>
        <v>Yes</v>
      </c>
    </row>
    <row r="290" customFormat="false" ht="15" hidden="false" customHeight="false" outlineLevel="0" collapsed="false">
      <c r="A290" s="9" t="str">
        <f aca="false">'2026 Forecast A'!A240</f>
        <v>Northampton</v>
      </c>
      <c r="B290" s="9" t="str">
        <f aca="false">'2026 Forecast A'!B240</f>
        <v>BETHLEHEM</v>
      </c>
      <c r="C290" s="9" t="str">
        <f aca="false">'2026 Forecast A'!C240</f>
        <v>BETHLEHEM 15TH WARD 1ST DISTRICT</v>
      </c>
      <c r="D290" s="10" t="n">
        <f aca="false">'2026 Forecast A'!G240</f>
        <v>0.669756662804172</v>
      </c>
      <c r="E290" s="10" t="n">
        <f aca="false">'2026 Forecast B'!G240</f>
        <v>0.662804171494786</v>
      </c>
      <c r="F290" s="10" t="n">
        <f aca="false">'2026 Forecast C'!G240</f>
        <v>0.675550405561993</v>
      </c>
      <c r="G290" s="38" t="n">
        <f aca="false">(MAX(D290:F290)-MIN(D290:F290))*100</f>
        <v>1.27462340672074</v>
      </c>
      <c r="H290" s="38" t="n">
        <f aca="false">'2026 Forecast A'!J240</f>
        <v>1.80877416096373</v>
      </c>
      <c r="I290" s="38" t="n">
        <f aca="false">'2026 Forecast B'!J240</f>
        <v>1.9254971424187</v>
      </c>
      <c r="J290" s="38" t="n">
        <f aca="false">'2026 Forecast C'!J240</f>
        <v>1.88510957763259</v>
      </c>
      <c r="K290" s="18" t="n">
        <f aca="false">'2026 Forecast A'!F240</f>
        <v>863</v>
      </c>
      <c r="L290" s="39" t="str">
        <f aca="false">IF(OR(AND(D290&gt;0.5,E290&gt;0.5,F290&gt;0.5),AND(D290&lt;0.5,E290&lt;0.5,F290&lt;0.5)),"Yes","No — toss-up")</f>
        <v>Yes</v>
      </c>
    </row>
    <row r="291" customFormat="false" ht="15" hidden="false" customHeight="false" outlineLevel="0" collapsed="false">
      <c r="A291" s="9" t="str">
        <f aca="false">'2026 Forecast A'!A241</f>
        <v>Northampton</v>
      </c>
      <c r="B291" s="9" t="str">
        <f aca="false">'2026 Forecast A'!B241</f>
        <v>BETHLEHEM</v>
      </c>
      <c r="C291" s="9" t="str">
        <f aca="false">'2026 Forecast A'!C241</f>
        <v>BETHLEHEM 15TH WARD 2ND DISTRICT</v>
      </c>
      <c r="D291" s="10" t="n">
        <f aca="false">'2026 Forecast A'!G241</f>
        <v>0.616268788682582</v>
      </c>
      <c r="E291" s="10" t="n">
        <f aca="false">'2026 Forecast B'!G241</f>
        <v>0.619805481874447</v>
      </c>
      <c r="F291" s="10" t="n">
        <f aca="false">'2026 Forecast C'!G241</f>
        <v>0.620689655172414</v>
      </c>
      <c r="G291" s="38" t="n">
        <f aca="false">(MAX(D291:F291)-MIN(D291:F291))*100</f>
        <v>0.442086648983198</v>
      </c>
      <c r="H291" s="38" t="n">
        <f aca="false">'2026 Forecast A'!J241</f>
        <v>1.80877416096373</v>
      </c>
      <c r="I291" s="38" t="n">
        <f aca="false">'2026 Forecast B'!J241</f>
        <v>1.9254971424187</v>
      </c>
      <c r="J291" s="38" t="n">
        <f aca="false">'2026 Forecast C'!J241</f>
        <v>1.88510957763259</v>
      </c>
      <c r="K291" s="18" t="n">
        <f aca="false">'2026 Forecast A'!F241</f>
        <v>1131</v>
      </c>
      <c r="L291" s="39" t="str">
        <f aca="false">IF(OR(AND(D291&gt;0.5,E291&gt;0.5,F291&gt;0.5),AND(D291&lt;0.5,E291&lt;0.5,F291&lt;0.5)),"Yes","No — toss-up")</f>
        <v>Yes</v>
      </c>
    </row>
    <row r="292" customFormat="false" ht="15" hidden="false" customHeight="false" outlineLevel="0" collapsed="false">
      <c r="A292" s="9" t="str">
        <f aca="false">'2026 Forecast A'!A242</f>
        <v>Northampton</v>
      </c>
      <c r="B292" s="9" t="str">
        <f aca="false">'2026 Forecast A'!B242</f>
        <v>BETHLEHEM</v>
      </c>
      <c r="C292" s="9" t="str">
        <f aca="false">'2026 Forecast A'!C242</f>
        <v>BETHLEHEM 15TH WARD 3RD DISTRICT</v>
      </c>
      <c r="D292" s="10" t="n">
        <f aca="false">'2026 Forecast A'!G242</f>
        <v>0.67972972972973</v>
      </c>
      <c r="E292" s="10" t="n">
        <f aca="false">'2026 Forecast B'!G242</f>
        <v>0.691891891891892</v>
      </c>
      <c r="F292" s="10" t="n">
        <f aca="false">'2026 Forecast C'!G242</f>
        <v>0.685135135135135</v>
      </c>
      <c r="G292" s="38" t="n">
        <f aca="false">(MAX(D292:F292)-MIN(D292:F292))*100</f>
        <v>1.21621621621622</v>
      </c>
      <c r="H292" s="38" t="n">
        <f aca="false">'2026 Forecast A'!J242</f>
        <v>3.02363014511423</v>
      </c>
      <c r="I292" s="38" t="n">
        <f aca="false">'2026 Forecast B'!J242</f>
        <v>2.87918965002339</v>
      </c>
      <c r="J292" s="38" t="n">
        <f aca="false">'2026 Forecast C'!J242</f>
        <v>3.15466234357281</v>
      </c>
      <c r="K292" s="18" t="n">
        <f aca="false">'2026 Forecast A'!F242</f>
        <v>740</v>
      </c>
      <c r="L292" s="39" t="str">
        <f aca="false">IF(OR(AND(D292&gt;0.5,E292&gt;0.5,F292&gt;0.5),AND(D292&lt;0.5,E292&lt;0.5,F292&lt;0.5)),"Yes","No — toss-up")</f>
        <v>Yes</v>
      </c>
    </row>
    <row r="293" customFormat="false" ht="15" hidden="false" customHeight="false" outlineLevel="0" collapsed="false">
      <c r="A293" s="9" t="str">
        <f aca="false">'2026 Forecast A'!A243</f>
        <v>Northampton</v>
      </c>
      <c r="B293" s="9" t="str">
        <f aca="false">'2026 Forecast A'!B243</f>
        <v>BETHLEHEM</v>
      </c>
      <c r="C293" s="9" t="str">
        <f aca="false">'2026 Forecast A'!C243</f>
        <v>BETHLEHEM 16TH WARD</v>
      </c>
      <c r="D293" s="10" t="n">
        <f aca="false">'2026 Forecast A'!G243</f>
        <v>0.622273249138921</v>
      </c>
      <c r="E293" s="10" t="n">
        <f aca="false">'2026 Forecast B'!G243</f>
        <v>0.622273249138921</v>
      </c>
      <c r="F293" s="10" t="n">
        <f aca="false">'2026 Forecast C'!G243</f>
        <v>0.628013777267509</v>
      </c>
      <c r="G293" s="38" t="n">
        <f aca="false">(MAX(D293:F293)-MIN(D293:F293))*100</f>
        <v>0.574052812858783</v>
      </c>
      <c r="H293" s="38" t="n">
        <f aca="false">'2026 Forecast A'!J243</f>
        <v>1.80877416096373</v>
      </c>
      <c r="I293" s="38" t="n">
        <f aca="false">'2026 Forecast B'!J243</f>
        <v>1.9254971424187</v>
      </c>
      <c r="J293" s="38" t="n">
        <f aca="false">'2026 Forecast C'!J243</f>
        <v>1.88510957763259</v>
      </c>
      <c r="K293" s="18" t="n">
        <f aca="false">'2026 Forecast A'!F243</f>
        <v>871</v>
      </c>
      <c r="L293" s="39" t="str">
        <f aca="false">IF(OR(AND(D293&gt;0.5,E293&gt;0.5,F293&gt;0.5),AND(D293&lt;0.5,E293&lt;0.5,F293&lt;0.5)),"Yes","No — toss-up")</f>
        <v>Yes</v>
      </c>
    </row>
    <row r="294" customFormat="false" ht="15" hidden="false" customHeight="false" outlineLevel="0" collapsed="false">
      <c r="A294" s="9" t="str">
        <f aca="false">'2026 Forecast A'!A244</f>
        <v>Northampton</v>
      </c>
      <c r="B294" s="9" t="str">
        <f aca="false">'2026 Forecast A'!B244</f>
        <v>BETHLEHEM</v>
      </c>
      <c r="C294" s="9" t="str">
        <f aca="false">'2026 Forecast A'!C244</f>
        <v>BETHLEHEM 17TH WARD</v>
      </c>
      <c r="D294" s="10" t="n">
        <f aca="false">'2026 Forecast A'!G244</f>
        <v>0.697674418604651</v>
      </c>
      <c r="E294" s="10" t="n">
        <f aca="false">'2026 Forecast B'!G244</f>
        <v>0.702325581395349</v>
      </c>
      <c r="F294" s="10" t="n">
        <f aca="false">'2026 Forecast C'!G244</f>
        <v>0.706976744186047</v>
      </c>
      <c r="G294" s="38" t="n">
        <f aca="false">(MAX(D294:F294)-MIN(D294:F294))*100</f>
        <v>0.930232558139532</v>
      </c>
      <c r="H294" s="38" t="n">
        <f aca="false">'2026 Forecast A'!J244</f>
        <v>3.02363014511423</v>
      </c>
      <c r="I294" s="38" t="n">
        <f aca="false">'2026 Forecast B'!J244</f>
        <v>2.87918965002339</v>
      </c>
      <c r="J294" s="38" t="n">
        <f aca="false">'2026 Forecast C'!J244</f>
        <v>3.15466234357281</v>
      </c>
      <c r="K294" s="18" t="n">
        <f aca="false">'2026 Forecast A'!F244</f>
        <v>215</v>
      </c>
      <c r="L294" s="39" t="str">
        <f aca="false">IF(OR(AND(D294&gt;0.5,E294&gt;0.5,F294&gt;0.5),AND(D294&lt;0.5,E294&lt;0.5,F294&lt;0.5)),"Yes","No — toss-up")</f>
        <v>Yes</v>
      </c>
    </row>
    <row r="295" customFormat="false" ht="15" hidden="false" customHeight="false" outlineLevel="0" collapsed="false">
      <c r="A295" s="9" t="str">
        <f aca="false">'2026 Forecast A'!A245</f>
        <v>Northampton</v>
      </c>
      <c r="B295" s="9" t="str">
        <f aca="false">'2026 Forecast A'!B245</f>
        <v>BETHLEHEM</v>
      </c>
      <c r="C295" s="9" t="str">
        <f aca="false">'2026 Forecast A'!C245</f>
        <v>BETHLEHEM 1ST WARD - NORTHERN</v>
      </c>
      <c r="D295" s="10" t="n">
        <f aca="false">'2026 Forecast A'!G245</f>
        <v>0.71655328798186</v>
      </c>
      <c r="E295" s="10" t="n">
        <f aca="false">'2026 Forecast B'!G245</f>
        <v>0.72562358276644</v>
      </c>
      <c r="F295" s="10" t="n">
        <f aca="false">'2026 Forecast C'!G245</f>
        <v>0.72562358276644</v>
      </c>
      <c r="G295" s="38" t="n">
        <f aca="false">(MAX(D295:F295)-MIN(D295:F295))*100</f>
        <v>0.907029478458044</v>
      </c>
      <c r="H295" s="38" t="n">
        <f aca="false">'2026 Forecast A'!J245</f>
        <v>3.02363014511423</v>
      </c>
      <c r="I295" s="38" t="n">
        <f aca="false">'2026 Forecast B'!J245</f>
        <v>2.87918965002339</v>
      </c>
      <c r="J295" s="38" t="n">
        <f aca="false">'2026 Forecast C'!J245</f>
        <v>3.15466234357281</v>
      </c>
      <c r="K295" s="18" t="n">
        <f aca="false">'2026 Forecast A'!F245</f>
        <v>441</v>
      </c>
      <c r="L295" s="39" t="str">
        <f aca="false">IF(OR(AND(D295&gt;0.5,E295&gt;0.5,F295&gt;0.5),AND(D295&lt;0.5,E295&lt;0.5,F295&lt;0.5)),"Yes","No — toss-up")</f>
        <v>Yes</v>
      </c>
    </row>
    <row r="296" customFormat="false" ht="15" hidden="false" customHeight="false" outlineLevel="0" collapsed="false">
      <c r="A296" s="9" t="str">
        <f aca="false">'2026 Forecast A'!A246</f>
        <v>Northampton</v>
      </c>
      <c r="B296" s="9" t="str">
        <f aca="false">'2026 Forecast A'!B246</f>
        <v>BETHLEHEM</v>
      </c>
      <c r="C296" s="9" t="str">
        <f aca="false">'2026 Forecast A'!C246</f>
        <v>BETHLEHEM 1ST WARD - SOUTHERN</v>
      </c>
      <c r="D296" s="10" t="n">
        <f aca="false">'2026 Forecast A'!G246</f>
        <v>0.711956521739131</v>
      </c>
      <c r="E296" s="10" t="n">
        <f aca="false">'2026 Forecast B'!G246</f>
        <v>0.709239130434783</v>
      </c>
      <c r="F296" s="10" t="n">
        <f aca="false">'2026 Forecast C'!G246</f>
        <v>0.720108695652174</v>
      </c>
      <c r="G296" s="38" t="n">
        <f aca="false">(MAX(D296:F296)-MIN(D296:F296))*100</f>
        <v>1.08695652173914</v>
      </c>
      <c r="H296" s="38" t="n">
        <f aca="false">'2026 Forecast A'!J246</f>
        <v>3.02363014511423</v>
      </c>
      <c r="I296" s="38" t="n">
        <f aca="false">'2026 Forecast B'!J246</f>
        <v>2.87918965002339</v>
      </c>
      <c r="J296" s="38" t="n">
        <f aca="false">'2026 Forecast C'!J246</f>
        <v>3.15466234357281</v>
      </c>
      <c r="K296" s="18" t="n">
        <f aca="false">'2026 Forecast A'!F246</f>
        <v>368</v>
      </c>
      <c r="L296" s="39" t="str">
        <f aca="false">IF(OR(AND(D296&gt;0.5,E296&gt;0.5,F296&gt;0.5),AND(D296&lt;0.5,E296&lt;0.5,F296&lt;0.5)),"Yes","No — toss-up")</f>
        <v>Yes</v>
      </c>
    </row>
    <row r="297" customFormat="false" ht="15" hidden="false" customHeight="false" outlineLevel="0" collapsed="false">
      <c r="A297" s="9" t="str">
        <f aca="false">'2026 Forecast A'!A247</f>
        <v>Northampton</v>
      </c>
      <c r="B297" s="9" t="str">
        <f aca="false">'2026 Forecast A'!B247</f>
        <v>BETHLEHEM</v>
      </c>
      <c r="C297" s="9" t="str">
        <f aca="false">'2026 Forecast A'!C247</f>
        <v>BETHLEHEM 2ND WARD</v>
      </c>
      <c r="D297" s="10" t="n">
        <f aca="false">'2026 Forecast A'!G247</f>
        <v>0.753164556962025</v>
      </c>
      <c r="E297" s="10" t="n">
        <f aca="false">'2026 Forecast B'!G247</f>
        <v>0.742616033755274</v>
      </c>
      <c r="F297" s="10" t="n">
        <f aca="false">'2026 Forecast C'!G247</f>
        <v>0.757383966244726</v>
      </c>
      <c r="G297" s="38" t="n">
        <f aca="false">(MAX(D297:F297)-MIN(D297:F297))*100</f>
        <v>1.47679324894514</v>
      </c>
      <c r="H297" s="38" t="n">
        <f aca="false">'2026 Forecast A'!J247</f>
        <v>3.02363014511423</v>
      </c>
      <c r="I297" s="38" t="n">
        <f aca="false">'2026 Forecast B'!J247</f>
        <v>2.87918965002339</v>
      </c>
      <c r="J297" s="38" t="n">
        <f aca="false">'2026 Forecast C'!J247</f>
        <v>3.15466234357281</v>
      </c>
      <c r="K297" s="18" t="n">
        <f aca="false">'2026 Forecast A'!F247</f>
        <v>474</v>
      </c>
      <c r="L297" s="39" t="str">
        <f aca="false">IF(OR(AND(D297&gt;0.5,E297&gt;0.5,F297&gt;0.5),AND(D297&lt;0.5,E297&lt;0.5,F297&lt;0.5)),"Yes","No — toss-up")</f>
        <v>Yes</v>
      </c>
    </row>
    <row r="298" customFormat="false" ht="15" hidden="false" customHeight="false" outlineLevel="0" collapsed="false">
      <c r="A298" s="9" t="str">
        <f aca="false">'2026 Forecast A'!A248</f>
        <v>Northampton</v>
      </c>
      <c r="B298" s="9" t="str">
        <f aca="false">'2026 Forecast A'!B248</f>
        <v>BETHLEHEM</v>
      </c>
      <c r="C298" s="9" t="str">
        <f aca="false">'2026 Forecast A'!C248</f>
        <v>BETHLEHEM 3RD WARD</v>
      </c>
      <c r="D298" s="10" t="n">
        <f aca="false">'2026 Forecast A'!G248</f>
        <v>0.79066985645933</v>
      </c>
      <c r="E298" s="10" t="n">
        <f aca="false">'2026 Forecast B'!G248</f>
        <v>0.761961722488038</v>
      </c>
      <c r="F298" s="10" t="n">
        <f aca="false">'2026 Forecast C'!G248</f>
        <v>0.793062200956938</v>
      </c>
      <c r="G298" s="38" t="n">
        <f aca="false">(MAX(D298:F298)-MIN(D298:F298))*100</f>
        <v>3.11004784688995</v>
      </c>
      <c r="H298" s="38" t="n">
        <f aca="false">'2026 Forecast A'!J248</f>
        <v>1.80877416096373</v>
      </c>
      <c r="I298" s="38" t="n">
        <f aca="false">'2026 Forecast B'!J248</f>
        <v>1.9254971424187</v>
      </c>
      <c r="J298" s="38" t="n">
        <f aca="false">'2026 Forecast C'!J248</f>
        <v>1.88510957763259</v>
      </c>
      <c r="K298" s="18" t="n">
        <f aca="false">'2026 Forecast A'!F248</f>
        <v>836</v>
      </c>
      <c r="L298" s="39" t="str">
        <f aca="false">IF(OR(AND(D298&gt;0.5,E298&gt;0.5,F298&gt;0.5),AND(D298&lt;0.5,E298&lt;0.5,F298&lt;0.5)),"Yes","No — toss-up")</f>
        <v>Yes</v>
      </c>
    </row>
    <row r="299" customFormat="false" ht="15" hidden="false" customHeight="false" outlineLevel="0" collapsed="false">
      <c r="A299" s="9" t="str">
        <f aca="false">'2026 Forecast A'!A249</f>
        <v>Northampton</v>
      </c>
      <c r="B299" s="9" t="str">
        <f aca="false">'2026 Forecast A'!B249</f>
        <v>BETHLEHEM</v>
      </c>
      <c r="C299" s="9" t="str">
        <f aca="false">'2026 Forecast A'!C249</f>
        <v>BETHLEHEM 4TH WARD</v>
      </c>
      <c r="D299" s="10" t="n">
        <f aca="false">'2026 Forecast A'!G249</f>
        <v>0.726377952755906</v>
      </c>
      <c r="E299" s="10" t="n">
        <f aca="false">'2026 Forecast B'!G249</f>
        <v>0.730314960629921</v>
      </c>
      <c r="F299" s="10" t="n">
        <f aca="false">'2026 Forecast C'!G249</f>
        <v>0.732283464566929</v>
      </c>
      <c r="G299" s="38" t="n">
        <f aca="false">(MAX(D299:F299)-MIN(D299:F299))*100</f>
        <v>0.590551181102361</v>
      </c>
      <c r="H299" s="38" t="n">
        <f aca="false">'2026 Forecast A'!J249</f>
        <v>3.02363014511423</v>
      </c>
      <c r="I299" s="38" t="n">
        <f aca="false">'2026 Forecast B'!J249</f>
        <v>2.87918965002339</v>
      </c>
      <c r="J299" s="38" t="n">
        <f aca="false">'2026 Forecast C'!J249</f>
        <v>3.15466234357281</v>
      </c>
      <c r="K299" s="18" t="n">
        <f aca="false">'2026 Forecast A'!F249</f>
        <v>508</v>
      </c>
      <c r="L299" s="39" t="str">
        <f aca="false">IF(OR(AND(D299&gt;0.5,E299&gt;0.5,F299&gt;0.5),AND(D299&lt;0.5,E299&lt;0.5,F299&lt;0.5)),"Yes","No — toss-up")</f>
        <v>Yes</v>
      </c>
    </row>
    <row r="300" customFormat="false" ht="15" hidden="false" customHeight="false" outlineLevel="0" collapsed="false">
      <c r="A300" s="9" t="str">
        <f aca="false">'2026 Forecast A'!A250</f>
        <v>Northampton</v>
      </c>
      <c r="B300" s="9" t="str">
        <f aca="false">'2026 Forecast A'!B250</f>
        <v>BETHLEHEM</v>
      </c>
      <c r="C300" s="9" t="str">
        <f aca="false">'2026 Forecast A'!C250</f>
        <v>BETHLEHEM 5TH WARD</v>
      </c>
      <c r="D300" s="10" t="n">
        <f aca="false">'2026 Forecast A'!G250</f>
        <v>0.707414829659319</v>
      </c>
      <c r="E300" s="10" t="n">
        <f aca="false">'2026 Forecast B'!G250</f>
        <v>0.713426853707415</v>
      </c>
      <c r="F300" s="10" t="n">
        <f aca="false">'2026 Forecast C'!G250</f>
        <v>0.713426853707415</v>
      </c>
      <c r="G300" s="38" t="n">
        <f aca="false">(MAX(D300:F300)-MIN(D300:F300))*100</f>
        <v>0.60120240480962</v>
      </c>
      <c r="H300" s="38" t="n">
        <f aca="false">'2026 Forecast A'!J250</f>
        <v>3.02363014511423</v>
      </c>
      <c r="I300" s="38" t="n">
        <f aca="false">'2026 Forecast B'!J250</f>
        <v>2.87918965002339</v>
      </c>
      <c r="J300" s="38" t="n">
        <f aca="false">'2026 Forecast C'!J250</f>
        <v>3.15466234357281</v>
      </c>
      <c r="K300" s="18" t="n">
        <f aca="false">'2026 Forecast A'!F250</f>
        <v>499</v>
      </c>
      <c r="L300" s="39" t="str">
        <f aca="false">IF(OR(AND(D300&gt;0.5,E300&gt;0.5,F300&gt;0.5),AND(D300&lt;0.5,E300&lt;0.5,F300&lt;0.5)),"Yes","No — toss-up")</f>
        <v>Yes</v>
      </c>
    </row>
    <row r="301" customFormat="false" ht="15" hidden="false" customHeight="false" outlineLevel="0" collapsed="false">
      <c r="A301" s="9" t="str">
        <f aca="false">'2026 Forecast A'!A251</f>
        <v>Northampton</v>
      </c>
      <c r="B301" s="9" t="str">
        <f aca="false">'2026 Forecast A'!B251</f>
        <v>BETHLEHEM</v>
      </c>
      <c r="C301" s="9" t="str">
        <f aca="false">'2026 Forecast A'!C251</f>
        <v>BETHLEHEM 6TH WARD</v>
      </c>
      <c r="D301" s="10" t="n">
        <f aca="false">'2026 Forecast A'!G251</f>
        <v>0.719101123595506</v>
      </c>
      <c r="E301" s="10" t="n">
        <f aca="false">'2026 Forecast B'!G251</f>
        <v>0.709737827715356</v>
      </c>
      <c r="F301" s="10" t="n">
        <f aca="false">'2026 Forecast C'!G251</f>
        <v>0.726591760299626</v>
      </c>
      <c r="G301" s="38" t="n">
        <f aca="false">(MAX(D301:F301)-MIN(D301:F301))*100</f>
        <v>1.68539325842697</v>
      </c>
      <c r="H301" s="38" t="n">
        <f aca="false">'2026 Forecast A'!J251</f>
        <v>3.02363014511423</v>
      </c>
      <c r="I301" s="38" t="n">
        <f aca="false">'2026 Forecast B'!J251</f>
        <v>2.87918965002339</v>
      </c>
      <c r="J301" s="38" t="n">
        <f aca="false">'2026 Forecast C'!J251</f>
        <v>3.15466234357281</v>
      </c>
      <c r="K301" s="18" t="n">
        <f aca="false">'2026 Forecast A'!F251</f>
        <v>534</v>
      </c>
      <c r="L301" s="39" t="str">
        <f aca="false">IF(OR(AND(D301&gt;0.5,E301&gt;0.5,F301&gt;0.5),AND(D301&lt;0.5,E301&lt;0.5,F301&lt;0.5)),"Yes","No — toss-up")</f>
        <v>Yes</v>
      </c>
    </row>
    <row r="302" customFormat="false" ht="15" hidden="false" customHeight="false" outlineLevel="0" collapsed="false">
      <c r="A302" s="9" t="str">
        <f aca="false">'2026 Forecast A'!A252</f>
        <v>Northampton</v>
      </c>
      <c r="B302" s="9" t="str">
        <f aca="false">'2026 Forecast A'!B252</f>
        <v>BETHLEHEM</v>
      </c>
      <c r="C302" s="9" t="str">
        <f aca="false">'2026 Forecast A'!C252</f>
        <v>BETHLEHEM 7TH WARD</v>
      </c>
      <c r="D302" s="10" t="n">
        <f aca="false">'2026 Forecast A'!G252</f>
        <v>0.701754385964912</v>
      </c>
      <c r="E302" s="10" t="n">
        <f aca="false">'2026 Forecast B'!G252</f>
        <v>0.705513784461153</v>
      </c>
      <c r="F302" s="10" t="n">
        <f aca="false">'2026 Forecast C'!G252</f>
        <v>0.708020050125313</v>
      </c>
      <c r="G302" s="38" t="n">
        <f aca="false">(MAX(D302:F302)-MIN(D302:F302))*100</f>
        <v>0.626566416040109</v>
      </c>
      <c r="H302" s="38" t="n">
        <f aca="false">'2026 Forecast A'!J252</f>
        <v>1.80877416096373</v>
      </c>
      <c r="I302" s="38" t="n">
        <f aca="false">'2026 Forecast B'!J252</f>
        <v>1.9254971424187</v>
      </c>
      <c r="J302" s="38" t="n">
        <f aca="false">'2026 Forecast C'!J252</f>
        <v>1.88510957763259</v>
      </c>
      <c r="K302" s="18" t="n">
        <f aca="false">'2026 Forecast A'!F252</f>
        <v>798</v>
      </c>
      <c r="L302" s="39" t="str">
        <f aca="false">IF(OR(AND(D302&gt;0.5,E302&gt;0.5,F302&gt;0.5),AND(D302&lt;0.5,E302&lt;0.5,F302&lt;0.5)),"Yes","No — toss-up")</f>
        <v>Yes</v>
      </c>
    </row>
    <row r="303" customFormat="false" ht="15" hidden="false" customHeight="false" outlineLevel="0" collapsed="false">
      <c r="A303" s="9" t="str">
        <f aca="false">'2026 Forecast A'!A253</f>
        <v>Northampton</v>
      </c>
      <c r="B303" s="9" t="str">
        <f aca="false">'2026 Forecast A'!B253</f>
        <v>BETHLEHEM</v>
      </c>
      <c r="C303" s="9" t="str">
        <f aca="false">'2026 Forecast A'!C253</f>
        <v>BETHLEHEM 8TH WARD</v>
      </c>
      <c r="D303" s="10" t="n">
        <f aca="false">'2026 Forecast A'!G253</f>
        <v>0.68475073313783</v>
      </c>
      <c r="E303" s="10" t="n">
        <f aca="false">'2026 Forecast B'!G253</f>
        <v>0.690615835777126</v>
      </c>
      <c r="F303" s="10" t="n">
        <f aca="false">'2026 Forecast C'!G253</f>
        <v>0.690615835777126</v>
      </c>
      <c r="G303" s="38" t="n">
        <f aca="false">(MAX(D303:F303)-MIN(D303:F303))*100</f>
        <v>0.586510263929629</v>
      </c>
      <c r="H303" s="38" t="n">
        <f aca="false">'2026 Forecast A'!J253</f>
        <v>3.02363014511423</v>
      </c>
      <c r="I303" s="38" t="n">
        <f aca="false">'2026 Forecast B'!J253</f>
        <v>2.87918965002339</v>
      </c>
      <c r="J303" s="38" t="n">
        <f aca="false">'2026 Forecast C'!J253</f>
        <v>3.15466234357281</v>
      </c>
      <c r="K303" s="18" t="n">
        <f aca="false">'2026 Forecast A'!F253</f>
        <v>682</v>
      </c>
      <c r="L303" s="39" t="str">
        <f aca="false">IF(OR(AND(D303&gt;0.5,E303&gt;0.5,F303&gt;0.5),AND(D303&lt;0.5,E303&lt;0.5,F303&lt;0.5)),"Yes","No — toss-up")</f>
        <v>Yes</v>
      </c>
    </row>
    <row r="304" customFormat="false" ht="15" hidden="false" customHeight="false" outlineLevel="0" collapsed="false">
      <c r="A304" s="9" t="str">
        <f aca="false">'2026 Forecast A'!A254</f>
        <v>Northampton</v>
      </c>
      <c r="B304" s="9" t="str">
        <f aca="false">'2026 Forecast A'!B254</f>
        <v>BETHLEHEM</v>
      </c>
      <c r="C304" s="9" t="str">
        <f aca="false">'2026 Forecast A'!C254</f>
        <v>BETHLEHEM 9TH WARD EAST</v>
      </c>
      <c r="D304" s="10" t="n">
        <f aca="false">'2026 Forecast A'!G254</f>
        <v>0.685350318471338</v>
      </c>
      <c r="E304" s="10" t="n">
        <f aca="false">'2026 Forecast B'!G254</f>
        <v>0.689171974522293</v>
      </c>
      <c r="F304" s="10" t="n">
        <f aca="false">'2026 Forecast C'!G254</f>
        <v>0.690445859872611</v>
      </c>
      <c r="G304" s="38" t="n">
        <f aca="false">(MAX(D304:F304)-MIN(D304:F304))*100</f>
        <v>0.509554140127388</v>
      </c>
      <c r="H304" s="38" t="n">
        <f aca="false">'2026 Forecast A'!J254</f>
        <v>1.80877416096373</v>
      </c>
      <c r="I304" s="38" t="n">
        <f aca="false">'2026 Forecast B'!J254</f>
        <v>1.9254971424187</v>
      </c>
      <c r="J304" s="38" t="n">
        <f aca="false">'2026 Forecast C'!J254</f>
        <v>1.88510957763259</v>
      </c>
      <c r="K304" s="18" t="n">
        <f aca="false">'2026 Forecast A'!F254</f>
        <v>785</v>
      </c>
      <c r="L304" s="39" t="str">
        <f aca="false">IF(OR(AND(D304&gt;0.5,E304&gt;0.5,F304&gt;0.5),AND(D304&lt;0.5,E304&lt;0.5,F304&lt;0.5)),"Yes","No — toss-up")</f>
        <v>Yes</v>
      </c>
    </row>
    <row r="305" customFormat="false" ht="15" hidden="false" customHeight="false" outlineLevel="0" collapsed="false">
      <c r="A305" s="9" t="str">
        <f aca="false">'2026 Forecast A'!A255</f>
        <v>Northampton</v>
      </c>
      <c r="B305" s="9" t="str">
        <f aca="false">'2026 Forecast A'!B255</f>
        <v>BETHLEHEM</v>
      </c>
      <c r="C305" s="9" t="str">
        <f aca="false">'2026 Forecast A'!C255</f>
        <v>BETHLEHEM 9TH WARD WEST</v>
      </c>
      <c r="D305" s="10" t="n">
        <f aca="false">'2026 Forecast A'!G255</f>
        <v>0.628851540616247</v>
      </c>
      <c r="E305" s="10" t="n">
        <f aca="false">'2026 Forecast B'!G255</f>
        <v>0.637955182072829</v>
      </c>
      <c r="F305" s="10" t="n">
        <f aca="false">'2026 Forecast C'!G255</f>
        <v>0.626750700280112</v>
      </c>
      <c r="G305" s="38" t="n">
        <f aca="false">(MAX(D305:F305)-MIN(D305:F305))*100</f>
        <v>1.1204481792717</v>
      </c>
      <c r="H305" s="38" t="n">
        <f aca="false">'2026 Forecast A'!J255</f>
        <v>1.24981746705324</v>
      </c>
      <c r="I305" s="38" t="n">
        <f aca="false">'2026 Forecast B'!J255</f>
        <v>1.86991787188303</v>
      </c>
      <c r="J305" s="38" t="n">
        <f aca="false">'2026 Forecast C'!J255</f>
        <v>1.24424911322721</v>
      </c>
      <c r="K305" s="18" t="n">
        <f aca="false">'2026 Forecast A'!F255</f>
        <v>1428</v>
      </c>
      <c r="L305" s="39" t="str">
        <f aca="false">IF(OR(AND(D305&gt;0.5,E305&gt;0.5,F305&gt;0.5),AND(D305&lt;0.5,E305&lt;0.5,F305&lt;0.5)),"Yes","No — toss-up")</f>
        <v>Yes</v>
      </c>
    </row>
    <row r="306" customFormat="false" ht="15" hidden="false" customHeight="false" outlineLevel="0" collapsed="false">
      <c r="A306" s="9" t="str">
        <f aca="false">'2026 Forecast A'!A256</f>
        <v>Northampton</v>
      </c>
      <c r="B306" s="9" t="str">
        <f aca="false">'2026 Forecast A'!B256</f>
        <v>BETHLEHEM TOWNSHIP</v>
      </c>
      <c r="C306" s="9" t="str">
        <f aca="false">'2026 Forecast A'!C256</f>
        <v>BETHLEHEM TWSP 1ST WARD 1ST DISTRICT</v>
      </c>
      <c r="D306" s="10" t="n">
        <f aca="false">'2026 Forecast A'!G256</f>
        <v>0.538247566063978</v>
      </c>
      <c r="E306" s="10" t="n">
        <f aca="false">'2026 Forecast B'!G256</f>
        <v>0.539638386648122</v>
      </c>
      <c r="F306" s="10" t="n">
        <f aca="false">'2026 Forecast C'!G256</f>
        <v>0.542420027816412</v>
      </c>
      <c r="G306" s="38" t="n">
        <f aca="false">(MAX(D306:F306)-MIN(D306:F306))*100</f>
        <v>0.417246175243391</v>
      </c>
      <c r="H306" s="38" t="n">
        <f aca="false">'2026 Forecast A'!J256</f>
        <v>3.02363014511423</v>
      </c>
      <c r="I306" s="38" t="n">
        <f aca="false">'2026 Forecast B'!J256</f>
        <v>2.87918965002339</v>
      </c>
      <c r="J306" s="38" t="n">
        <f aca="false">'2026 Forecast C'!J256</f>
        <v>3.15466234357281</v>
      </c>
      <c r="K306" s="18" t="n">
        <f aca="false">'2026 Forecast A'!F256</f>
        <v>719</v>
      </c>
      <c r="L306" s="39" t="str">
        <f aca="false">IF(OR(AND(D306&gt;0.5,E306&gt;0.5,F306&gt;0.5),AND(D306&lt;0.5,E306&lt;0.5,F306&lt;0.5)),"Yes","No — toss-up")</f>
        <v>Yes</v>
      </c>
    </row>
    <row r="307" customFormat="false" ht="15" hidden="false" customHeight="false" outlineLevel="0" collapsed="false">
      <c r="A307" s="9" t="str">
        <f aca="false">'2026 Forecast A'!A257</f>
        <v>Northampton</v>
      </c>
      <c r="B307" s="9" t="str">
        <f aca="false">'2026 Forecast A'!B257</f>
        <v>BETHLEHEM TOWNSHIP</v>
      </c>
      <c r="C307" s="9" t="str">
        <f aca="false">'2026 Forecast A'!C257</f>
        <v>BETHLEHEM TWSP 1ST WARD 2ND DISTRICT</v>
      </c>
      <c r="D307" s="10" t="n">
        <f aca="false">'2026 Forecast A'!G257</f>
        <v>0.52529601722282</v>
      </c>
      <c r="E307" s="10" t="n">
        <f aca="false">'2026 Forecast B'!G257</f>
        <v>0.530678148546825</v>
      </c>
      <c r="F307" s="10" t="n">
        <f aca="false">'2026 Forecast C'!G257</f>
        <v>0.527448869752422</v>
      </c>
      <c r="G307" s="38" t="n">
        <f aca="false">(MAX(D307:F307)-MIN(D307:F307))*100</f>
        <v>0.538213132400423</v>
      </c>
      <c r="H307" s="38" t="n">
        <f aca="false">'2026 Forecast A'!J257</f>
        <v>1.80877416096373</v>
      </c>
      <c r="I307" s="38" t="n">
        <f aca="false">'2026 Forecast B'!J257</f>
        <v>1.9254971424187</v>
      </c>
      <c r="J307" s="38" t="n">
        <f aca="false">'2026 Forecast C'!J257</f>
        <v>1.88510957763259</v>
      </c>
      <c r="K307" s="18" t="n">
        <f aca="false">'2026 Forecast A'!F257</f>
        <v>929</v>
      </c>
      <c r="L307" s="39" t="str">
        <f aca="false">IF(OR(AND(D307&gt;0.5,E307&gt;0.5,F307&gt;0.5),AND(D307&lt;0.5,E307&lt;0.5,F307&lt;0.5)),"Yes","No — toss-up")</f>
        <v>Yes</v>
      </c>
    </row>
    <row r="308" customFormat="false" ht="15" hidden="false" customHeight="false" outlineLevel="0" collapsed="false">
      <c r="A308" s="9" t="str">
        <f aca="false">'2026 Forecast A'!A258</f>
        <v>Northampton</v>
      </c>
      <c r="B308" s="9" t="str">
        <f aca="false">'2026 Forecast A'!B258</f>
        <v>BETHLEHEM TOWNSHIP</v>
      </c>
      <c r="C308" s="9" t="str">
        <f aca="false">'2026 Forecast A'!C258</f>
        <v>BETHLEHEM TWSP 1ST WARD 3RD DISTRICT</v>
      </c>
      <c r="D308" s="10" t="n">
        <f aca="false">'2026 Forecast A'!G258</f>
        <v>0.557575757575758</v>
      </c>
      <c r="E308" s="10" t="n">
        <f aca="false">'2026 Forecast B'!G258</f>
        <v>0.553535353535354</v>
      </c>
      <c r="F308" s="10" t="n">
        <f aca="false">'2026 Forecast C'!G258</f>
        <v>0.562626262626263</v>
      </c>
      <c r="G308" s="38" t="n">
        <f aca="false">(MAX(D308:F308)-MIN(D308:F308))*100</f>
        <v>0.909090909090904</v>
      </c>
      <c r="H308" s="38" t="n">
        <f aca="false">'2026 Forecast A'!J258</f>
        <v>1.80877416096373</v>
      </c>
      <c r="I308" s="38" t="n">
        <f aca="false">'2026 Forecast B'!J258</f>
        <v>1.9254971424187</v>
      </c>
      <c r="J308" s="38" t="n">
        <f aca="false">'2026 Forecast C'!J258</f>
        <v>1.88510957763259</v>
      </c>
      <c r="K308" s="18" t="n">
        <f aca="false">'2026 Forecast A'!F258</f>
        <v>990</v>
      </c>
      <c r="L308" s="39" t="str">
        <f aca="false">IF(OR(AND(D308&gt;0.5,E308&gt;0.5,F308&gt;0.5),AND(D308&lt;0.5,E308&lt;0.5,F308&lt;0.5)),"Yes","No — toss-up")</f>
        <v>Yes</v>
      </c>
    </row>
    <row r="309" customFormat="false" ht="15" hidden="false" customHeight="false" outlineLevel="0" collapsed="false">
      <c r="A309" s="9" t="str">
        <f aca="false">'2026 Forecast A'!A259</f>
        <v>Northampton</v>
      </c>
      <c r="B309" s="9" t="str">
        <f aca="false">'2026 Forecast A'!B259</f>
        <v>BETHLEHEM TOWNSHIP</v>
      </c>
      <c r="C309" s="9" t="str">
        <f aca="false">'2026 Forecast A'!C259</f>
        <v>BETHLEHEM TWSP 1ST WARD 4TH DISTRICT</v>
      </c>
      <c r="D309" s="10" t="n">
        <f aca="false">'2026 Forecast A'!G259</f>
        <v>0.509727626459144</v>
      </c>
      <c r="E309" s="10" t="n">
        <f aca="false">'2026 Forecast B'!G259</f>
        <v>0.509727626459144</v>
      </c>
      <c r="F309" s="10" t="n">
        <f aca="false">'2026 Forecast C'!G259</f>
        <v>0.509727626459144</v>
      </c>
      <c r="G309" s="38" t="n">
        <f aca="false">(MAX(D309:F309)-MIN(D309:F309))*100</f>
        <v>0</v>
      </c>
      <c r="H309" s="38" t="n">
        <f aca="false">'2026 Forecast A'!J259</f>
        <v>3.02363014511423</v>
      </c>
      <c r="I309" s="38" t="n">
        <f aca="false">'2026 Forecast B'!J259</f>
        <v>2.87918965002339</v>
      </c>
      <c r="J309" s="38" t="n">
        <f aca="false">'2026 Forecast C'!J259</f>
        <v>3.15466234357281</v>
      </c>
      <c r="K309" s="18" t="n">
        <f aca="false">'2026 Forecast A'!F259</f>
        <v>514</v>
      </c>
      <c r="L309" s="39" t="str">
        <f aca="false">IF(OR(AND(D309&gt;0.5,E309&gt;0.5,F309&gt;0.5),AND(D309&lt;0.5,E309&lt;0.5,F309&lt;0.5)),"Yes","No — toss-up")</f>
        <v>Yes</v>
      </c>
    </row>
    <row r="310" customFormat="false" ht="15" hidden="false" customHeight="false" outlineLevel="0" collapsed="false">
      <c r="A310" s="9" t="str">
        <f aca="false">'2026 Forecast A'!A260</f>
        <v>Northampton</v>
      </c>
      <c r="B310" s="9" t="str">
        <f aca="false">'2026 Forecast A'!B260</f>
        <v>BETHLEHEM TOWNSHIP</v>
      </c>
      <c r="C310" s="9" t="str">
        <f aca="false">'2026 Forecast A'!C260</f>
        <v>BETHLEHEM TWSP 2ND WARD 1ST DISTRICT</v>
      </c>
      <c r="D310" s="10" t="n">
        <f aca="false">'2026 Forecast A'!G260</f>
        <v>0.561868686868687</v>
      </c>
      <c r="E310" s="10" t="n">
        <f aca="false">'2026 Forecast B'!G260</f>
        <v>0.568181818181818</v>
      </c>
      <c r="F310" s="10" t="n">
        <f aca="false">'2026 Forecast C'!G260</f>
        <v>0.566919191919192</v>
      </c>
      <c r="G310" s="38" t="n">
        <f aca="false">(MAX(D310:F310)-MIN(D310:F310))*100</f>
        <v>0.631313131313138</v>
      </c>
      <c r="H310" s="38" t="n">
        <f aca="false">'2026 Forecast A'!J260</f>
        <v>1.80877416096373</v>
      </c>
      <c r="I310" s="38" t="n">
        <f aca="false">'2026 Forecast B'!J260</f>
        <v>1.9254971424187</v>
      </c>
      <c r="J310" s="38" t="n">
        <f aca="false">'2026 Forecast C'!J260</f>
        <v>1.88510957763259</v>
      </c>
      <c r="K310" s="18" t="n">
        <f aca="false">'2026 Forecast A'!F260</f>
        <v>792</v>
      </c>
      <c r="L310" s="39" t="str">
        <f aca="false">IF(OR(AND(D310&gt;0.5,E310&gt;0.5,F310&gt;0.5),AND(D310&lt;0.5,E310&lt;0.5,F310&lt;0.5)),"Yes","No — toss-up")</f>
        <v>Yes</v>
      </c>
    </row>
    <row r="311" customFormat="false" ht="15" hidden="false" customHeight="false" outlineLevel="0" collapsed="false">
      <c r="A311" s="9" t="str">
        <f aca="false">'2026 Forecast A'!A261</f>
        <v>Northampton</v>
      </c>
      <c r="B311" s="9" t="str">
        <f aca="false">'2026 Forecast A'!B261</f>
        <v>BETHLEHEM TOWNSHIP</v>
      </c>
      <c r="C311" s="9" t="str">
        <f aca="false">'2026 Forecast A'!C261</f>
        <v>BETHLEHEM TWSP 2ND WARD 2ND DISTRICT</v>
      </c>
      <c r="D311" s="10" t="n">
        <f aca="false">'2026 Forecast A'!G261</f>
        <v>0.525</v>
      </c>
      <c r="E311" s="10" t="n">
        <f aca="false">'2026 Forecast B'!G261</f>
        <v>0.530952380952381</v>
      </c>
      <c r="F311" s="10" t="n">
        <f aca="false">'2026 Forecast C'!G261</f>
        <v>0.528571428571429</v>
      </c>
      <c r="G311" s="38" t="n">
        <f aca="false">(MAX(D311:F311)-MIN(D311:F311))*100</f>
        <v>0.595238095238093</v>
      </c>
      <c r="H311" s="38" t="n">
        <f aca="false">'2026 Forecast A'!J261</f>
        <v>1.80877416096373</v>
      </c>
      <c r="I311" s="38" t="n">
        <f aca="false">'2026 Forecast B'!J261</f>
        <v>1.9254971424187</v>
      </c>
      <c r="J311" s="38" t="n">
        <f aca="false">'2026 Forecast C'!J261</f>
        <v>1.88510957763259</v>
      </c>
      <c r="K311" s="18" t="n">
        <f aca="false">'2026 Forecast A'!F261</f>
        <v>840</v>
      </c>
      <c r="L311" s="39" t="str">
        <f aca="false">IF(OR(AND(D311&gt;0.5,E311&gt;0.5,F311&gt;0.5),AND(D311&lt;0.5,E311&lt;0.5,F311&lt;0.5)),"Yes","No — toss-up")</f>
        <v>Yes</v>
      </c>
    </row>
    <row r="312" customFormat="false" ht="15" hidden="false" customHeight="false" outlineLevel="0" collapsed="false">
      <c r="A312" s="9" t="str">
        <f aca="false">'2026 Forecast A'!A262</f>
        <v>Northampton</v>
      </c>
      <c r="B312" s="9" t="str">
        <f aca="false">'2026 Forecast A'!B262</f>
        <v>BETHLEHEM TOWNSHIP</v>
      </c>
      <c r="C312" s="9" t="str">
        <f aca="false">'2026 Forecast A'!C262</f>
        <v>BETHLEHEM TWSP 2ND WARD 3RD DISTRICT</v>
      </c>
      <c r="D312" s="10" t="n">
        <f aca="false">'2026 Forecast A'!G262</f>
        <v>0.554474708171206</v>
      </c>
      <c r="E312" s="10" t="n">
        <f aca="false">'2026 Forecast B'!G262</f>
        <v>0.562256809338521</v>
      </c>
      <c r="F312" s="10" t="n">
        <f aca="false">'2026 Forecast C'!G262</f>
        <v>0.558365758754864</v>
      </c>
      <c r="G312" s="38" t="n">
        <f aca="false">(MAX(D312:F312)-MIN(D312:F312))*100</f>
        <v>0.778210116731515</v>
      </c>
      <c r="H312" s="38" t="n">
        <f aca="false">'2026 Forecast A'!J262</f>
        <v>3.02363014511423</v>
      </c>
      <c r="I312" s="38" t="n">
        <f aca="false">'2026 Forecast B'!J262</f>
        <v>2.87918965002339</v>
      </c>
      <c r="J312" s="38" t="n">
        <f aca="false">'2026 Forecast C'!J262</f>
        <v>3.15466234357281</v>
      </c>
      <c r="K312" s="18" t="n">
        <f aca="false">'2026 Forecast A'!F262</f>
        <v>514</v>
      </c>
      <c r="L312" s="39" t="str">
        <f aca="false">IF(OR(AND(D312&gt;0.5,E312&gt;0.5,F312&gt;0.5),AND(D312&lt;0.5,E312&lt;0.5,F312&lt;0.5)),"Yes","No — toss-up")</f>
        <v>Yes</v>
      </c>
    </row>
    <row r="313" customFormat="false" ht="15" hidden="false" customHeight="false" outlineLevel="0" collapsed="false">
      <c r="A313" s="9" t="str">
        <f aca="false">'2026 Forecast A'!A263</f>
        <v>Northampton</v>
      </c>
      <c r="B313" s="9" t="str">
        <f aca="false">'2026 Forecast A'!B263</f>
        <v>BETHLEHEM TOWNSHIP</v>
      </c>
      <c r="C313" s="9" t="str">
        <f aca="false">'2026 Forecast A'!C263</f>
        <v>BETHLEHEM TWSP 2ND WARD 4TH DISTRICT</v>
      </c>
      <c r="D313" s="10" t="n">
        <f aca="false">'2026 Forecast A'!G263</f>
        <v>0.576487252124646</v>
      </c>
      <c r="E313" s="10" t="n">
        <f aca="false">'2026 Forecast B'!G263</f>
        <v>0.573654390934844</v>
      </c>
      <c r="F313" s="10" t="n">
        <f aca="false">'2026 Forecast C'!G263</f>
        <v>0.582152974504249</v>
      </c>
      <c r="G313" s="38" t="n">
        <f aca="false">(MAX(D313:F313)-MIN(D313:F313))*100</f>
        <v>0.849858356940514</v>
      </c>
      <c r="H313" s="38" t="n">
        <f aca="false">'2026 Forecast A'!J263</f>
        <v>3.02363014511423</v>
      </c>
      <c r="I313" s="38" t="n">
        <f aca="false">'2026 Forecast B'!J263</f>
        <v>2.87918965002339</v>
      </c>
      <c r="J313" s="38" t="n">
        <f aca="false">'2026 Forecast C'!J263</f>
        <v>3.15466234357281</v>
      </c>
      <c r="K313" s="18" t="n">
        <f aca="false">'2026 Forecast A'!F263</f>
        <v>706</v>
      </c>
      <c r="L313" s="39" t="str">
        <f aca="false">IF(OR(AND(D313&gt;0.5,E313&gt;0.5,F313&gt;0.5),AND(D313&lt;0.5,E313&lt;0.5,F313&lt;0.5)),"Yes","No — toss-up")</f>
        <v>Yes</v>
      </c>
    </row>
    <row r="314" customFormat="false" ht="15" hidden="false" customHeight="false" outlineLevel="0" collapsed="false">
      <c r="A314" s="9" t="str">
        <f aca="false">'2026 Forecast A'!A264</f>
        <v>Northampton</v>
      </c>
      <c r="B314" s="9" t="str">
        <f aca="false">'2026 Forecast A'!B264</f>
        <v>BETHLEHEM TOWNSHIP</v>
      </c>
      <c r="C314" s="9" t="str">
        <f aca="false">'2026 Forecast A'!C264</f>
        <v>BETHLEHEM TWSP 3RD WARD 1ST DISTRICT</v>
      </c>
      <c r="D314" s="10" t="n">
        <f aca="false">'2026 Forecast A'!G264</f>
        <v>0.594405594405594</v>
      </c>
      <c r="E314" s="10" t="n">
        <f aca="false">'2026 Forecast B'!G264</f>
        <v>0.587412587412587</v>
      </c>
      <c r="F314" s="10" t="n">
        <f aca="false">'2026 Forecast C'!G264</f>
        <v>0.599067599067599</v>
      </c>
      <c r="G314" s="38" t="n">
        <f aca="false">(MAX(D314:F314)-MIN(D314:F314))*100</f>
        <v>1.16550116550117</v>
      </c>
      <c r="H314" s="38" t="n">
        <f aca="false">'2026 Forecast A'!J264</f>
        <v>3.02363014511423</v>
      </c>
      <c r="I314" s="38" t="n">
        <f aca="false">'2026 Forecast B'!J264</f>
        <v>2.87918965002339</v>
      </c>
      <c r="J314" s="38" t="n">
        <f aca="false">'2026 Forecast C'!J264</f>
        <v>3.15466234357281</v>
      </c>
      <c r="K314" s="18" t="n">
        <f aca="false">'2026 Forecast A'!F264</f>
        <v>429</v>
      </c>
      <c r="L314" s="39" t="str">
        <f aca="false">IF(OR(AND(D314&gt;0.5,E314&gt;0.5,F314&gt;0.5),AND(D314&lt;0.5,E314&lt;0.5,F314&lt;0.5)),"Yes","No — toss-up")</f>
        <v>Yes</v>
      </c>
    </row>
    <row r="315" customFormat="false" ht="15" hidden="false" customHeight="false" outlineLevel="0" collapsed="false">
      <c r="A315" s="9" t="str">
        <f aca="false">'2026 Forecast A'!A265</f>
        <v>Northampton</v>
      </c>
      <c r="B315" s="9" t="str">
        <f aca="false">'2026 Forecast A'!B265</f>
        <v>BETHLEHEM TOWNSHIP</v>
      </c>
      <c r="C315" s="9" t="str">
        <f aca="false">'2026 Forecast A'!C265</f>
        <v>BETHLEHEM TWSP 3RD WARD 2ND DISTRICT</v>
      </c>
      <c r="D315" s="10" t="n">
        <f aca="false">'2026 Forecast A'!G265</f>
        <v>0.512867647058824</v>
      </c>
      <c r="E315" s="10" t="n">
        <f aca="false">'2026 Forecast B'!G265</f>
        <v>0.512867647058824</v>
      </c>
      <c r="F315" s="10" t="n">
        <f aca="false">'2026 Forecast C'!G265</f>
        <v>0.516544117647059</v>
      </c>
      <c r="G315" s="38" t="n">
        <f aca="false">(MAX(D315:F315)-MIN(D315:F315))*100</f>
        <v>0.367647058823539</v>
      </c>
      <c r="H315" s="38" t="n">
        <f aca="false">'2026 Forecast A'!J265</f>
        <v>3.02363014511423</v>
      </c>
      <c r="I315" s="38" t="n">
        <f aca="false">'2026 Forecast B'!J265</f>
        <v>2.87918965002339</v>
      </c>
      <c r="J315" s="38" t="n">
        <f aca="false">'2026 Forecast C'!J265</f>
        <v>3.15466234357281</v>
      </c>
      <c r="K315" s="18" t="n">
        <f aca="false">'2026 Forecast A'!F265</f>
        <v>544</v>
      </c>
      <c r="L315" s="39" t="str">
        <f aca="false">IF(OR(AND(D315&gt;0.5,E315&gt;0.5,F315&gt;0.5),AND(D315&lt;0.5,E315&lt;0.5,F315&lt;0.5)),"Yes","No — toss-up")</f>
        <v>Yes</v>
      </c>
    </row>
    <row r="316" customFormat="false" ht="15" hidden="false" customHeight="false" outlineLevel="0" collapsed="false">
      <c r="A316" s="9" t="str">
        <f aca="false">'2026 Forecast A'!A266</f>
        <v>Northampton</v>
      </c>
      <c r="B316" s="9" t="str">
        <f aca="false">'2026 Forecast A'!B266</f>
        <v>BETHLEHEM TOWNSHIP</v>
      </c>
      <c r="C316" s="9" t="str">
        <f aca="false">'2026 Forecast A'!C266</f>
        <v>BETHLEHEM TWSP 3RD WARD 3RD DISTRICT</v>
      </c>
      <c r="D316" s="10" t="n">
        <f aca="false">'2026 Forecast A'!G266</f>
        <v>0.534456355283308</v>
      </c>
      <c r="E316" s="10" t="n">
        <f aca="false">'2026 Forecast B'!G266</f>
        <v>0.537519142419602</v>
      </c>
      <c r="F316" s="10" t="n">
        <f aca="false">'2026 Forecast C'!G266</f>
        <v>0.537519142419602</v>
      </c>
      <c r="G316" s="38" t="n">
        <f aca="false">(MAX(D316:F316)-MIN(D316:F316))*100</f>
        <v>0.306278713629404</v>
      </c>
      <c r="H316" s="38" t="n">
        <f aca="false">'2026 Forecast A'!J266</f>
        <v>3.02363014511423</v>
      </c>
      <c r="I316" s="38" t="n">
        <f aca="false">'2026 Forecast B'!J266</f>
        <v>2.87918965002339</v>
      </c>
      <c r="J316" s="38" t="n">
        <f aca="false">'2026 Forecast C'!J266</f>
        <v>3.15466234357281</v>
      </c>
      <c r="K316" s="18" t="n">
        <f aca="false">'2026 Forecast A'!F266</f>
        <v>653</v>
      </c>
      <c r="L316" s="39" t="str">
        <f aca="false">IF(OR(AND(D316&gt;0.5,E316&gt;0.5,F316&gt;0.5),AND(D316&lt;0.5,E316&lt;0.5,F316&lt;0.5)),"Yes","No — toss-up")</f>
        <v>Yes</v>
      </c>
    </row>
    <row r="317" customFormat="false" ht="15" hidden="false" customHeight="false" outlineLevel="0" collapsed="false">
      <c r="A317" s="9" t="str">
        <f aca="false">'2026 Forecast A'!A267</f>
        <v>Northampton</v>
      </c>
      <c r="B317" s="9" t="str">
        <f aca="false">'2026 Forecast A'!B267</f>
        <v>BETHLEHEM TOWNSHIP</v>
      </c>
      <c r="C317" s="9" t="str">
        <f aca="false">'2026 Forecast A'!C267</f>
        <v>BETHLEHEM TWSP 3RD WARD 4TH DISTRICT</v>
      </c>
      <c r="D317" s="10" t="n">
        <f aca="false">'2026 Forecast A'!G267</f>
        <v>0.568831168831169</v>
      </c>
      <c r="E317" s="10" t="n">
        <f aca="false">'2026 Forecast B'!G267</f>
        <v>0.572727272727273</v>
      </c>
      <c r="F317" s="10" t="n">
        <f aca="false">'2026 Forecast C'!G267</f>
        <v>0.574025974025974</v>
      </c>
      <c r="G317" s="38" t="n">
        <f aca="false">(MAX(D317:F317)-MIN(D317:F317))*100</f>
        <v>0.51948051948052</v>
      </c>
      <c r="H317" s="38" t="n">
        <f aca="false">'2026 Forecast A'!J267</f>
        <v>3.02363014511423</v>
      </c>
      <c r="I317" s="38" t="n">
        <f aca="false">'2026 Forecast B'!J267</f>
        <v>2.87918965002339</v>
      </c>
      <c r="J317" s="38" t="n">
        <f aca="false">'2026 Forecast C'!J267</f>
        <v>3.15466234357281</v>
      </c>
      <c r="K317" s="18" t="n">
        <f aca="false">'2026 Forecast A'!F267</f>
        <v>770</v>
      </c>
      <c r="L317" s="39" t="str">
        <f aca="false">IF(OR(AND(D317&gt;0.5,E317&gt;0.5,F317&gt;0.5),AND(D317&lt;0.5,E317&lt;0.5,F317&lt;0.5)),"Yes","No — toss-up")</f>
        <v>Yes</v>
      </c>
    </row>
    <row r="318" customFormat="false" ht="15" hidden="false" customHeight="false" outlineLevel="0" collapsed="false">
      <c r="A318" s="9" t="str">
        <f aca="false">'2026 Forecast A'!A268</f>
        <v>Northampton</v>
      </c>
      <c r="B318" s="9" t="str">
        <f aca="false">'2026 Forecast A'!B268</f>
        <v>BETHLEHEM TOWNSHIP</v>
      </c>
      <c r="C318" s="9" t="str">
        <f aca="false">'2026 Forecast A'!C268</f>
        <v>BETHLEHEM TWSP 3RD WARD 5TH DISTRICT</v>
      </c>
      <c r="D318" s="10" t="n">
        <f aca="false">'2026 Forecast A'!G268</f>
        <v>0.511244377811094</v>
      </c>
      <c r="E318" s="10" t="n">
        <f aca="false">'2026 Forecast B'!G268</f>
        <v>0.511244377811094</v>
      </c>
      <c r="F318" s="10" t="n">
        <f aca="false">'2026 Forecast C'!G268</f>
        <v>0.512743628185907</v>
      </c>
      <c r="G318" s="38" t="n">
        <f aca="false">(MAX(D318:F318)-MIN(D318:F318))*100</f>
        <v>0.149925037481258</v>
      </c>
      <c r="H318" s="38" t="n">
        <f aca="false">'2026 Forecast A'!J268</f>
        <v>3.02363014511423</v>
      </c>
      <c r="I318" s="38" t="n">
        <f aca="false">'2026 Forecast B'!J268</f>
        <v>2.87918965002339</v>
      </c>
      <c r="J318" s="38" t="n">
        <f aca="false">'2026 Forecast C'!J268</f>
        <v>3.15466234357281</v>
      </c>
      <c r="K318" s="18" t="n">
        <f aca="false">'2026 Forecast A'!F268</f>
        <v>667</v>
      </c>
      <c r="L318" s="39" t="str">
        <f aca="false">IF(OR(AND(D318&gt;0.5,E318&gt;0.5,F318&gt;0.5),AND(D318&lt;0.5,E318&lt;0.5,F318&lt;0.5)),"Yes","No — toss-up")</f>
        <v>Yes</v>
      </c>
    </row>
    <row r="319" customFormat="false" ht="15" hidden="false" customHeight="false" outlineLevel="0" collapsed="false">
      <c r="A319" s="9" t="str">
        <f aca="false">'2026 Forecast A'!A269</f>
        <v>Northampton</v>
      </c>
      <c r="B319" s="9" t="str">
        <f aca="false">'2026 Forecast A'!B269</f>
        <v>BETHLEHEM TOWNSHIP</v>
      </c>
      <c r="C319" s="9" t="str">
        <f aca="false">'2026 Forecast A'!C269</f>
        <v>BETHLEHEM TWSP 4TH WARD 1ST DISTRICT</v>
      </c>
      <c r="D319" s="10" t="n">
        <f aca="false">'2026 Forecast A'!G269</f>
        <v>0.565610859728507</v>
      </c>
      <c r="E319" s="10" t="n">
        <f aca="false">'2026 Forecast B'!G269</f>
        <v>0.565610859728507</v>
      </c>
      <c r="F319" s="10" t="n">
        <f aca="false">'2026 Forecast C'!G269</f>
        <v>0.571644042232278</v>
      </c>
      <c r="G319" s="38" t="n">
        <f aca="false">(MAX(D319:F319)-MIN(D319:F319))*100</f>
        <v>0.603318250377072</v>
      </c>
      <c r="H319" s="38" t="n">
        <f aca="false">'2026 Forecast A'!J269</f>
        <v>1.24981746705324</v>
      </c>
      <c r="I319" s="38" t="n">
        <f aca="false">'2026 Forecast B'!J269</f>
        <v>1.86991787188303</v>
      </c>
      <c r="J319" s="38" t="n">
        <f aca="false">'2026 Forecast C'!J269</f>
        <v>1.24424911322721</v>
      </c>
      <c r="K319" s="18" t="n">
        <f aca="false">'2026 Forecast A'!F269</f>
        <v>1326</v>
      </c>
      <c r="L319" s="39" t="str">
        <f aca="false">IF(OR(AND(D319&gt;0.5,E319&gt;0.5,F319&gt;0.5),AND(D319&lt;0.5,E319&lt;0.5,F319&lt;0.5)),"Yes","No — toss-up")</f>
        <v>Yes</v>
      </c>
    </row>
    <row r="320" customFormat="false" ht="15" hidden="false" customHeight="false" outlineLevel="0" collapsed="false">
      <c r="A320" s="9" t="str">
        <f aca="false">'2026 Forecast A'!A270</f>
        <v>Northampton</v>
      </c>
      <c r="B320" s="9" t="str">
        <f aca="false">'2026 Forecast A'!B270</f>
        <v>BETHLEHEM TOWNSHIP</v>
      </c>
      <c r="C320" s="9" t="str">
        <f aca="false">'2026 Forecast A'!C270</f>
        <v>BETHLEHEM TWSP 4TH WARD 2ND DISTRICT</v>
      </c>
      <c r="D320" s="10" t="n">
        <f aca="false">'2026 Forecast A'!G270</f>
        <v>0.512468827930175</v>
      </c>
      <c r="E320" s="10" t="n">
        <f aca="false">'2026 Forecast B'!G270</f>
        <v>0.508728179551122</v>
      </c>
      <c r="F320" s="10" t="n">
        <f aca="false">'2026 Forecast C'!G270</f>
        <v>0.513715710723192</v>
      </c>
      <c r="G320" s="38" t="n">
        <f aca="false">(MAX(D320:F320)-MIN(D320:F320))*100</f>
        <v>0.498753117206985</v>
      </c>
      <c r="H320" s="38" t="n">
        <f aca="false">'2026 Forecast A'!J270</f>
        <v>1.80877416096373</v>
      </c>
      <c r="I320" s="38" t="n">
        <f aca="false">'2026 Forecast B'!J270</f>
        <v>1.9254971424187</v>
      </c>
      <c r="J320" s="38" t="n">
        <f aca="false">'2026 Forecast C'!J270</f>
        <v>1.88510957763259</v>
      </c>
      <c r="K320" s="18" t="n">
        <f aca="false">'2026 Forecast A'!F270</f>
        <v>802</v>
      </c>
      <c r="L320" s="39" t="str">
        <f aca="false">IF(OR(AND(D320&gt;0.5,E320&gt;0.5,F320&gt;0.5),AND(D320&lt;0.5,E320&lt;0.5,F320&lt;0.5)),"Yes","No — toss-up")</f>
        <v>Yes</v>
      </c>
    </row>
    <row r="321" customFormat="false" ht="15" hidden="false" customHeight="false" outlineLevel="0" collapsed="false">
      <c r="A321" s="9" t="str">
        <f aca="false">'2026 Forecast A'!A271</f>
        <v>Northampton</v>
      </c>
      <c r="B321" s="9" t="str">
        <f aca="false">'2026 Forecast A'!B271</f>
        <v>BETHLEHEM TOWNSHIP</v>
      </c>
      <c r="C321" s="9" t="str">
        <f aca="false">'2026 Forecast A'!C271</f>
        <v>BETHLEHEM TWSP 4TH WARD 3RD DISTRICT</v>
      </c>
      <c r="D321" s="10" t="n">
        <f aca="false">'2026 Forecast A'!G271</f>
        <v>0.52234993614304</v>
      </c>
      <c r="E321" s="10" t="n">
        <f aca="false">'2026 Forecast B'!G271</f>
        <v>0.524904214559387</v>
      </c>
      <c r="F321" s="10" t="n">
        <f aca="false">'2026 Forecast C'!G271</f>
        <v>0.524904214559387</v>
      </c>
      <c r="G321" s="38" t="n">
        <f aca="false">(MAX(D321:F321)-MIN(D321:F321))*100</f>
        <v>0.255427841634737</v>
      </c>
      <c r="H321" s="38" t="n">
        <f aca="false">'2026 Forecast A'!J271</f>
        <v>1.80877416096373</v>
      </c>
      <c r="I321" s="38" t="n">
        <f aca="false">'2026 Forecast B'!J271</f>
        <v>1.9254971424187</v>
      </c>
      <c r="J321" s="38" t="n">
        <f aca="false">'2026 Forecast C'!J271</f>
        <v>1.88510957763259</v>
      </c>
      <c r="K321" s="18" t="n">
        <f aca="false">'2026 Forecast A'!F271</f>
        <v>783</v>
      </c>
      <c r="L321" s="39" t="str">
        <f aca="false">IF(OR(AND(D321&gt;0.5,E321&gt;0.5,F321&gt;0.5),AND(D321&lt;0.5,E321&lt;0.5,F321&lt;0.5)),"Yes","No — toss-up")</f>
        <v>Yes</v>
      </c>
    </row>
    <row r="322" customFormat="false" ht="15" hidden="false" customHeight="false" outlineLevel="0" collapsed="false">
      <c r="A322" s="9" t="str">
        <f aca="false">'2026 Forecast A'!A272</f>
        <v>Northampton</v>
      </c>
      <c r="B322" s="9" t="str">
        <f aca="false">'2026 Forecast A'!B272</f>
        <v>BETHLEHEM TOWNSHIP</v>
      </c>
      <c r="C322" s="9" t="str">
        <f aca="false">'2026 Forecast A'!C272</f>
        <v>BETHLEHEM TWSP 4TH WARD 4TH DISTRICT</v>
      </c>
      <c r="D322" s="10" t="n">
        <f aca="false">'2026 Forecast A'!G272</f>
        <v>0.520475561426684</v>
      </c>
      <c r="E322" s="10" t="n">
        <f aca="false">'2026 Forecast B'!G272</f>
        <v>0.525759577278732</v>
      </c>
      <c r="F322" s="10" t="n">
        <f aca="false">'2026 Forecast C'!G272</f>
        <v>0.523117569352708</v>
      </c>
      <c r="G322" s="38" t="n">
        <f aca="false">(MAX(D322:F322)-MIN(D322:F322))*100</f>
        <v>0.528401585204752</v>
      </c>
      <c r="H322" s="38" t="n">
        <f aca="false">'2026 Forecast A'!J272</f>
        <v>3.02363014511423</v>
      </c>
      <c r="I322" s="38" t="n">
        <f aca="false">'2026 Forecast B'!J272</f>
        <v>2.87918965002339</v>
      </c>
      <c r="J322" s="38" t="n">
        <f aca="false">'2026 Forecast C'!J272</f>
        <v>3.15466234357281</v>
      </c>
      <c r="K322" s="18" t="n">
        <f aca="false">'2026 Forecast A'!F272</f>
        <v>757</v>
      </c>
      <c r="L322" s="39" t="str">
        <f aca="false">IF(OR(AND(D322&gt;0.5,E322&gt;0.5,F322&gt;0.5),AND(D322&lt;0.5,E322&lt;0.5,F322&lt;0.5)),"Yes","No — toss-up")</f>
        <v>Yes</v>
      </c>
    </row>
    <row r="323" customFormat="false" ht="15" hidden="false" customHeight="false" outlineLevel="0" collapsed="false">
      <c r="A323" s="9" t="str">
        <f aca="false">'2026 Forecast A'!A273</f>
        <v>Northampton</v>
      </c>
      <c r="B323" s="9" t="str">
        <f aca="false">'2026 Forecast A'!B273</f>
        <v>BUSHKILL</v>
      </c>
      <c r="C323" s="9" t="str">
        <f aca="false">'2026 Forecast A'!C273</f>
        <v>BUSHKILL TWSP - BUSHKILL CENTER</v>
      </c>
      <c r="D323" s="10" t="n">
        <f aca="false">'2026 Forecast A'!G273</f>
        <v>0.391819160387513</v>
      </c>
      <c r="E323" s="10" t="n">
        <f aca="false">'2026 Forecast B'!G273</f>
        <v>0.381593110871905</v>
      </c>
      <c r="F323" s="10" t="n">
        <f aca="false">'2026 Forecast C'!G273</f>
        <v>0.388589881593111</v>
      </c>
      <c r="G323" s="38" t="n">
        <f aca="false">(MAX(D323:F323)-MIN(D323:F323))*100</f>
        <v>1.02260495156082</v>
      </c>
      <c r="H323" s="38" t="n">
        <f aca="false">'2026 Forecast A'!J273</f>
        <v>1.24981746705324</v>
      </c>
      <c r="I323" s="38" t="n">
        <f aca="false">'2026 Forecast B'!J273</f>
        <v>1.86991787188303</v>
      </c>
      <c r="J323" s="38" t="n">
        <f aca="false">'2026 Forecast C'!J273</f>
        <v>1.24424911322721</v>
      </c>
      <c r="K323" s="18" t="n">
        <f aca="false">'2026 Forecast A'!F273</f>
        <v>1858</v>
      </c>
      <c r="L323" s="39" t="str">
        <f aca="false">IF(OR(AND(D323&gt;0.5,E323&gt;0.5,F323&gt;0.5),AND(D323&lt;0.5,E323&lt;0.5,F323&lt;0.5)),"Yes","No — toss-up")</f>
        <v>Yes</v>
      </c>
    </row>
    <row r="324" customFormat="false" ht="15" hidden="false" customHeight="false" outlineLevel="0" collapsed="false">
      <c r="A324" s="9" t="str">
        <f aca="false">'2026 Forecast A'!A274</f>
        <v>Northampton</v>
      </c>
      <c r="B324" s="9" t="str">
        <f aca="false">'2026 Forecast A'!B274</f>
        <v>BUSHKILL</v>
      </c>
      <c r="C324" s="9" t="str">
        <f aca="false">'2026 Forecast A'!C274</f>
        <v>BUSHKILL TWSP - CHERRY HILL</v>
      </c>
      <c r="D324" s="10" t="n">
        <f aca="false">'2026 Forecast A'!G274</f>
        <v>0.415</v>
      </c>
      <c r="E324" s="10" t="n">
        <f aca="false">'2026 Forecast B'!G274</f>
        <v>0.4025</v>
      </c>
      <c r="F324" s="10" t="n">
        <f aca="false">'2026 Forecast C'!G274</f>
        <v>0.413125</v>
      </c>
      <c r="G324" s="38" t="n">
        <f aca="false">(MAX(D324:F324)-MIN(D324:F324))*100</f>
        <v>1.25</v>
      </c>
      <c r="H324" s="38" t="n">
        <f aca="false">'2026 Forecast A'!J274</f>
        <v>1.24981746705324</v>
      </c>
      <c r="I324" s="38" t="n">
        <f aca="false">'2026 Forecast B'!J274</f>
        <v>1.86991787188303</v>
      </c>
      <c r="J324" s="38" t="n">
        <f aca="false">'2026 Forecast C'!J274</f>
        <v>1.24424911322721</v>
      </c>
      <c r="K324" s="18" t="n">
        <f aca="false">'2026 Forecast A'!F274</f>
        <v>1600</v>
      </c>
      <c r="L324" s="39" t="str">
        <f aca="false">IF(OR(AND(D324&gt;0.5,E324&gt;0.5,F324&gt;0.5),AND(D324&lt;0.5,E324&lt;0.5,F324&lt;0.5)),"Yes","No — toss-up")</f>
        <v>Yes</v>
      </c>
    </row>
    <row r="325" customFormat="false" ht="15" hidden="false" customHeight="false" outlineLevel="0" collapsed="false">
      <c r="A325" s="9" t="str">
        <f aca="false">'2026 Forecast A'!A275</f>
        <v>Northampton</v>
      </c>
      <c r="B325" s="9" t="str">
        <f aca="false">'2026 Forecast A'!B275</f>
        <v>BUSHKILL</v>
      </c>
      <c r="C325" s="9" t="str">
        <f aca="false">'2026 Forecast A'!C275</f>
        <v>BUSHKILL TWSP - CLEARFIELD</v>
      </c>
      <c r="D325" s="10" t="n">
        <f aca="false">'2026 Forecast A'!G275</f>
        <v>0.356178608515057</v>
      </c>
      <c r="E325" s="10" t="n">
        <f aca="false">'2026 Forecast B'!G275</f>
        <v>0.354101765316719</v>
      </c>
      <c r="F325" s="10" t="n">
        <f aca="false">'2026 Forecast C'!G275</f>
        <v>0.349948078920042</v>
      </c>
      <c r="G325" s="38" t="n">
        <f aca="false">(MAX(D325:F325)-MIN(D325:F325))*100</f>
        <v>0.623052959501558</v>
      </c>
      <c r="H325" s="38" t="n">
        <f aca="false">'2026 Forecast A'!J275</f>
        <v>1.80877416096373</v>
      </c>
      <c r="I325" s="38" t="n">
        <f aca="false">'2026 Forecast B'!J275</f>
        <v>1.9254971424187</v>
      </c>
      <c r="J325" s="38" t="n">
        <f aca="false">'2026 Forecast C'!J275</f>
        <v>1.88510957763259</v>
      </c>
      <c r="K325" s="18" t="n">
        <f aca="false">'2026 Forecast A'!F275</f>
        <v>963</v>
      </c>
      <c r="L325" s="39" t="str">
        <f aca="false">IF(OR(AND(D325&gt;0.5,E325&gt;0.5,F325&gt;0.5),AND(D325&lt;0.5,E325&lt;0.5,F325&lt;0.5)),"Yes","No — toss-up")</f>
        <v>Yes</v>
      </c>
    </row>
    <row r="326" customFormat="false" ht="15" hidden="false" customHeight="false" outlineLevel="0" collapsed="false">
      <c r="A326" s="9" t="str">
        <f aca="false">'2026 Forecast A'!A276</f>
        <v>Northampton</v>
      </c>
      <c r="B326" s="9" t="str">
        <f aca="false">'2026 Forecast A'!B276</f>
        <v>CHAPMAN</v>
      </c>
      <c r="C326" s="9" t="str">
        <f aca="false">'2026 Forecast A'!C276</f>
        <v>CHAPMAN</v>
      </c>
      <c r="D326" s="10" t="n">
        <f aca="false">'2026 Forecast A'!G276</f>
        <v>0.360824742268041</v>
      </c>
      <c r="E326" s="10" t="n">
        <f aca="false">'2026 Forecast B'!G276</f>
        <v>0.360824742268041</v>
      </c>
      <c r="F326" s="10" t="n">
        <f aca="false">'2026 Forecast C'!G276</f>
        <v>0.350515463917526</v>
      </c>
      <c r="G326" s="38" t="n">
        <f aca="false">(MAX(D326:F326)-MIN(D326:F326))*100</f>
        <v>1.03092783505155</v>
      </c>
      <c r="H326" s="38" t="n">
        <f aca="false">'2026 Forecast A'!J276</f>
        <v>3.02363014511423</v>
      </c>
      <c r="I326" s="38" t="n">
        <f aca="false">'2026 Forecast B'!J276</f>
        <v>2.87918965002339</v>
      </c>
      <c r="J326" s="38" t="n">
        <f aca="false">'2026 Forecast C'!J276</f>
        <v>3.15466234357281</v>
      </c>
      <c r="K326" s="18" t="n">
        <f aca="false">'2026 Forecast A'!F276</f>
        <v>97</v>
      </c>
      <c r="L326" s="39" t="str">
        <f aca="false">IF(OR(AND(D326&gt;0.5,E326&gt;0.5,F326&gt;0.5),AND(D326&lt;0.5,E326&lt;0.5,F326&lt;0.5)),"Yes","No — toss-up")</f>
        <v>Yes</v>
      </c>
    </row>
    <row r="327" customFormat="false" ht="15" hidden="false" customHeight="false" outlineLevel="0" collapsed="false">
      <c r="A327" s="9" t="str">
        <f aca="false">'2026 Forecast A'!A277</f>
        <v>Northampton</v>
      </c>
      <c r="B327" s="9" t="str">
        <f aca="false">'2026 Forecast A'!B277</f>
        <v>EAST ALLEN</v>
      </c>
      <c r="C327" s="9" t="str">
        <f aca="false">'2026 Forecast A'!C277</f>
        <v>EAST ALLEN TWSP - EASTERN</v>
      </c>
      <c r="D327" s="10" t="n">
        <f aca="false">'2026 Forecast A'!G277</f>
        <v>0.433309809456598</v>
      </c>
      <c r="E327" s="10" t="n">
        <f aca="false">'2026 Forecast B'!G277</f>
        <v>0.419195483415667</v>
      </c>
      <c r="F327" s="10" t="n">
        <f aca="false">'2026 Forecast C'!G277</f>
        <v>0.432604093154552</v>
      </c>
      <c r="G327" s="38" t="n">
        <f aca="false">(MAX(D327:F327)-MIN(D327:F327))*100</f>
        <v>1.41143260409315</v>
      </c>
      <c r="H327" s="38" t="n">
        <f aca="false">'2026 Forecast A'!J277</f>
        <v>1.24981746705324</v>
      </c>
      <c r="I327" s="38" t="n">
        <f aca="false">'2026 Forecast B'!J277</f>
        <v>1.86991787188303</v>
      </c>
      <c r="J327" s="38" t="n">
        <f aca="false">'2026 Forecast C'!J277</f>
        <v>1.24424911322721</v>
      </c>
      <c r="K327" s="18" t="n">
        <f aca="false">'2026 Forecast A'!F277</f>
        <v>1417</v>
      </c>
      <c r="L327" s="39" t="str">
        <f aca="false">IF(OR(AND(D327&gt;0.5,E327&gt;0.5,F327&gt;0.5),AND(D327&lt;0.5,E327&lt;0.5,F327&lt;0.5)),"Yes","No — toss-up")</f>
        <v>Yes</v>
      </c>
    </row>
    <row r="328" customFormat="false" ht="15" hidden="false" customHeight="false" outlineLevel="0" collapsed="false">
      <c r="A328" s="9" t="str">
        <f aca="false">'2026 Forecast A'!A278</f>
        <v>Northampton</v>
      </c>
      <c r="B328" s="9" t="str">
        <f aca="false">'2026 Forecast A'!B278</f>
        <v>EAST ALLEN</v>
      </c>
      <c r="C328" s="9" t="str">
        <f aca="false">'2026 Forecast A'!C278</f>
        <v>EAST ALLEN TWSP - WESTERN</v>
      </c>
      <c r="D328" s="10" t="n">
        <f aca="false">'2026 Forecast A'!G278</f>
        <v>0.457959183673469</v>
      </c>
      <c r="E328" s="10" t="n">
        <f aca="false">'2026 Forecast B'!G278</f>
        <v>0.455510204081633</v>
      </c>
      <c r="F328" s="10" t="n">
        <f aca="false">'2026 Forecast C'!G278</f>
        <v>0.456326530612245</v>
      </c>
      <c r="G328" s="38" t="n">
        <f aca="false">(MAX(D328:F328)-MIN(D328:F328))*100</f>
        <v>0.244897959183671</v>
      </c>
      <c r="H328" s="38" t="n">
        <f aca="false">'2026 Forecast A'!J278</f>
        <v>1.24981746705324</v>
      </c>
      <c r="I328" s="38" t="n">
        <f aca="false">'2026 Forecast B'!J278</f>
        <v>1.86991787188303</v>
      </c>
      <c r="J328" s="38" t="n">
        <f aca="false">'2026 Forecast C'!J278</f>
        <v>1.24424911322721</v>
      </c>
      <c r="K328" s="18" t="n">
        <f aca="false">'2026 Forecast A'!F278</f>
        <v>1225</v>
      </c>
      <c r="L328" s="39" t="str">
        <f aca="false">IF(OR(AND(D328&gt;0.5,E328&gt;0.5,F328&gt;0.5),AND(D328&lt;0.5,E328&lt;0.5,F328&lt;0.5)),"Yes","No — toss-up")</f>
        <v>Yes</v>
      </c>
    </row>
    <row r="329" customFormat="false" ht="15" hidden="false" customHeight="false" outlineLevel="0" collapsed="false">
      <c r="A329" s="9" t="str">
        <f aca="false">'2026 Forecast A'!A279</f>
        <v>Northampton</v>
      </c>
      <c r="B329" s="9" t="str">
        <f aca="false">'2026 Forecast A'!B279</f>
        <v>EAST BANGOR</v>
      </c>
      <c r="C329" s="9" t="str">
        <f aca="false">'2026 Forecast A'!C279</f>
        <v>EAST BANGOR</v>
      </c>
      <c r="D329" s="10" t="n">
        <f aca="false">'2026 Forecast A'!G279</f>
        <v>0.405555555555556</v>
      </c>
      <c r="E329" s="10" t="n">
        <f aca="false">'2026 Forecast B'!G279</f>
        <v>0.408333333333333</v>
      </c>
      <c r="F329" s="10" t="n">
        <f aca="false">'2026 Forecast C'!G279</f>
        <v>0.402777777777778</v>
      </c>
      <c r="G329" s="38" t="n">
        <f aca="false">(MAX(D329:F329)-MIN(D329:F329))*100</f>
        <v>0.555555555555554</v>
      </c>
      <c r="H329" s="38" t="n">
        <f aca="false">'2026 Forecast A'!J279</f>
        <v>3.02363014511423</v>
      </c>
      <c r="I329" s="38" t="n">
        <f aca="false">'2026 Forecast B'!J279</f>
        <v>2.87918965002339</v>
      </c>
      <c r="J329" s="38" t="n">
        <f aca="false">'2026 Forecast C'!J279</f>
        <v>3.15466234357281</v>
      </c>
      <c r="K329" s="18" t="n">
        <f aca="false">'2026 Forecast A'!F279</f>
        <v>360</v>
      </c>
      <c r="L329" s="39" t="str">
        <f aca="false">IF(OR(AND(D329&gt;0.5,E329&gt;0.5,F329&gt;0.5),AND(D329&lt;0.5,E329&lt;0.5,F329&lt;0.5)),"Yes","No — toss-up")</f>
        <v>Yes</v>
      </c>
    </row>
    <row r="330" customFormat="false" ht="15" hidden="false" customHeight="false" outlineLevel="0" collapsed="false">
      <c r="A330" s="9" t="str">
        <f aca="false">'2026 Forecast A'!A280</f>
        <v>Northampton</v>
      </c>
      <c r="B330" s="9" t="str">
        <f aca="false">'2026 Forecast A'!B280</f>
        <v>EASTON</v>
      </c>
      <c r="C330" s="9" t="str">
        <f aca="false">'2026 Forecast A'!C280</f>
        <v>EASTON 10TH WARD</v>
      </c>
      <c r="D330" s="10" t="n">
        <f aca="false">'2026 Forecast A'!G280</f>
        <v>0.605361930294906</v>
      </c>
      <c r="E330" s="10" t="n">
        <f aca="false">'2026 Forecast B'!G280</f>
        <v>0.6343163538874</v>
      </c>
      <c r="F330" s="10" t="n">
        <f aca="false">'2026 Forecast C'!G280</f>
        <v>0.604289544235925</v>
      </c>
      <c r="G330" s="38" t="n">
        <f aca="false">(MAX(D330:F330)-MIN(D330:F330))*100</f>
        <v>3.00268096514745</v>
      </c>
      <c r="H330" s="38" t="n">
        <f aca="false">'2026 Forecast A'!J280</f>
        <v>1.24981746705324</v>
      </c>
      <c r="I330" s="38" t="n">
        <f aca="false">'2026 Forecast B'!J280</f>
        <v>1.86991787188303</v>
      </c>
      <c r="J330" s="38" t="n">
        <f aca="false">'2026 Forecast C'!J280</f>
        <v>1.24424911322721</v>
      </c>
      <c r="K330" s="18" t="n">
        <f aca="false">'2026 Forecast A'!F280</f>
        <v>1865</v>
      </c>
      <c r="L330" s="39" t="str">
        <f aca="false">IF(OR(AND(D330&gt;0.5,E330&gt;0.5,F330&gt;0.5),AND(D330&lt;0.5,E330&lt;0.5,F330&lt;0.5)),"Yes","No — toss-up")</f>
        <v>Yes</v>
      </c>
    </row>
    <row r="331" customFormat="false" ht="15" hidden="false" customHeight="false" outlineLevel="0" collapsed="false">
      <c r="A331" s="9" t="str">
        <f aca="false">'2026 Forecast A'!A281</f>
        <v>Northampton</v>
      </c>
      <c r="B331" s="9" t="str">
        <f aca="false">'2026 Forecast A'!B281</f>
        <v>EASTON</v>
      </c>
      <c r="C331" s="9" t="str">
        <f aca="false">'2026 Forecast A'!C281</f>
        <v>EASTON 11TH WARD</v>
      </c>
      <c r="D331" s="10" t="n">
        <f aca="false">'2026 Forecast A'!G281</f>
        <v>0.630769230769231</v>
      </c>
      <c r="E331" s="10" t="n">
        <f aca="false">'2026 Forecast B'!G281</f>
        <v>0.66025641025641</v>
      </c>
      <c r="F331" s="10" t="n">
        <f aca="false">'2026 Forecast C'!G281</f>
        <v>0.630769230769231</v>
      </c>
      <c r="G331" s="38" t="n">
        <f aca="false">(MAX(D331:F331)-MIN(D331:F331))*100</f>
        <v>2.94871794871795</v>
      </c>
      <c r="H331" s="38" t="n">
        <f aca="false">'2026 Forecast A'!J281</f>
        <v>1.80877416096373</v>
      </c>
      <c r="I331" s="38" t="n">
        <f aca="false">'2026 Forecast B'!J281</f>
        <v>1.9254971424187</v>
      </c>
      <c r="J331" s="38" t="n">
        <f aca="false">'2026 Forecast C'!J281</f>
        <v>1.88510957763259</v>
      </c>
      <c r="K331" s="18" t="n">
        <f aca="false">'2026 Forecast A'!F281</f>
        <v>780</v>
      </c>
      <c r="L331" s="39" t="str">
        <f aca="false">IF(OR(AND(D331&gt;0.5,E331&gt;0.5,F331&gt;0.5),AND(D331&lt;0.5,E331&lt;0.5,F331&lt;0.5)),"Yes","No — toss-up")</f>
        <v>Yes</v>
      </c>
    </row>
    <row r="332" customFormat="false" ht="15" hidden="false" customHeight="false" outlineLevel="0" collapsed="false">
      <c r="A332" s="9" t="str">
        <f aca="false">'2026 Forecast A'!A282</f>
        <v>Northampton</v>
      </c>
      <c r="B332" s="9" t="str">
        <f aca="false">'2026 Forecast A'!B282</f>
        <v>EASTON</v>
      </c>
      <c r="C332" s="9" t="str">
        <f aca="false">'2026 Forecast A'!C282</f>
        <v>EASTON 2ND WARD</v>
      </c>
      <c r="D332" s="10" t="n">
        <f aca="false">'2026 Forecast A'!G282</f>
        <v>0.701492537313433</v>
      </c>
      <c r="E332" s="10" t="n">
        <f aca="false">'2026 Forecast B'!G282</f>
        <v>0.69485903814262</v>
      </c>
      <c r="F332" s="10" t="n">
        <f aca="false">'2026 Forecast C'!G282</f>
        <v>0.708126036484245</v>
      </c>
      <c r="G332" s="38" t="n">
        <f aca="false">(MAX(D332:F332)-MIN(D332:F332))*100</f>
        <v>1.32669983416253</v>
      </c>
      <c r="H332" s="38" t="n">
        <f aca="false">'2026 Forecast A'!J282</f>
        <v>3.02363014511423</v>
      </c>
      <c r="I332" s="38" t="n">
        <f aca="false">'2026 Forecast B'!J282</f>
        <v>2.87918965002339</v>
      </c>
      <c r="J332" s="38" t="n">
        <f aca="false">'2026 Forecast C'!J282</f>
        <v>3.15466234357281</v>
      </c>
      <c r="K332" s="18" t="n">
        <f aca="false">'2026 Forecast A'!F282</f>
        <v>603</v>
      </c>
      <c r="L332" s="39" t="str">
        <f aca="false">IF(OR(AND(D332&gt;0.5,E332&gt;0.5,F332&gt;0.5),AND(D332&lt;0.5,E332&lt;0.5,F332&lt;0.5)),"Yes","No — toss-up")</f>
        <v>Yes</v>
      </c>
    </row>
    <row r="333" customFormat="false" ht="15" hidden="false" customHeight="false" outlineLevel="0" collapsed="false">
      <c r="A333" s="9" t="str">
        <f aca="false">'2026 Forecast A'!A283</f>
        <v>Northampton</v>
      </c>
      <c r="B333" s="9" t="str">
        <f aca="false">'2026 Forecast A'!B283</f>
        <v>EASTON</v>
      </c>
      <c r="C333" s="9" t="str">
        <f aca="false">'2026 Forecast A'!C283</f>
        <v>EASTON 3RD WARD 2ND DISTRICT</v>
      </c>
      <c r="D333" s="10" t="n">
        <f aca="false">'2026 Forecast A'!G283</f>
        <v>0.722289890377588</v>
      </c>
      <c r="E333" s="10" t="n">
        <f aca="false">'2026 Forecast B'!G283</f>
        <v>0.719853836784409</v>
      </c>
      <c r="F333" s="10" t="n">
        <f aca="false">'2026 Forecast C'!G283</f>
        <v>0.729598051157126</v>
      </c>
      <c r="G333" s="38" t="n">
        <f aca="false">(MAX(D333:F333)-MIN(D333:F333))*100</f>
        <v>0.974421437271622</v>
      </c>
      <c r="H333" s="38" t="n">
        <f aca="false">'2026 Forecast A'!J283</f>
        <v>1.80877416096373</v>
      </c>
      <c r="I333" s="38" t="n">
        <f aca="false">'2026 Forecast B'!J283</f>
        <v>1.9254971424187</v>
      </c>
      <c r="J333" s="38" t="n">
        <f aca="false">'2026 Forecast C'!J283</f>
        <v>1.88510957763259</v>
      </c>
      <c r="K333" s="18" t="n">
        <f aca="false">'2026 Forecast A'!F283</f>
        <v>821</v>
      </c>
      <c r="L333" s="39" t="str">
        <f aca="false">IF(OR(AND(D333&gt;0.5,E333&gt;0.5,F333&gt;0.5),AND(D333&lt;0.5,E333&lt;0.5,F333&lt;0.5)),"Yes","No — toss-up")</f>
        <v>Yes</v>
      </c>
    </row>
    <row r="334" customFormat="false" ht="15" hidden="false" customHeight="false" outlineLevel="0" collapsed="false">
      <c r="A334" s="9" t="str">
        <f aca="false">'2026 Forecast A'!A284</f>
        <v>Northampton</v>
      </c>
      <c r="B334" s="9" t="str">
        <f aca="false">'2026 Forecast A'!B284</f>
        <v>EASTON</v>
      </c>
      <c r="C334" s="9" t="str">
        <f aca="false">'2026 Forecast A'!C284</f>
        <v>EASTON 3RD WARD 3RD DISTRICT</v>
      </c>
      <c r="D334" s="10" t="n">
        <f aca="false">'2026 Forecast A'!G284</f>
        <v>0.769881556683587</v>
      </c>
      <c r="E334" s="10" t="n">
        <f aca="false">'2026 Forecast B'!G284</f>
        <v>0.758037225042301</v>
      </c>
      <c r="F334" s="10" t="n">
        <f aca="false">'2026 Forecast C'!G284</f>
        <v>0.77326565143824</v>
      </c>
      <c r="G334" s="38" t="n">
        <f aca="false">(MAX(D334:F334)-MIN(D334:F334))*100</f>
        <v>1.5228426395939</v>
      </c>
      <c r="H334" s="38" t="n">
        <f aca="false">'2026 Forecast A'!J284</f>
        <v>3.02363014511423</v>
      </c>
      <c r="I334" s="38" t="n">
        <f aca="false">'2026 Forecast B'!J284</f>
        <v>2.87918965002339</v>
      </c>
      <c r="J334" s="38" t="n">
        <f aca="false">'2026 Forecast C'!J284</f>
        <v>3.15466234357281</v>
      </c>
      <c r="K334" s="18" t="n">
        <f aca="false">'2026 Forecast A'!F284</f>
        <v>591</v>
      </c>
      <c r="L334" s="39" t="str">
        <f aca="false">IF(OR(AND(D334&gt;0.5,E334&gt;0.5,F334&gt;0.5),AND(D334&lt;0.5,E334&lt;0.5,F334&lt;0.5)),"Yes","No — toss-up")</f>
        <v>Yes</v>
      </c>
    </row>
    <row r="335" customFormat="false" ht="15" hidden="false" customHeight="false" outlineLevel="0" collapsed="false">
      <c r="A335" s="9" t="str">
        <f aca="false">'2026 Forecast A'!A285</f>
        <v>Northampton</v>
      </c>
      <c r="B335" s="9" t="str">
        <f aca="false">'2026 Forecast A'!B285</f>
        <v>EASTON</v>
      </c>
      <c r="C335" s="9" t="str">
        <f aca="false">'2026 Forecast A'!C285</f>
        <v>EASTON 3RD WARD 4TH DISTRICT</v>
      </c>
      <c r="D335" s="10" t="n">
        <f aca="false">'2026 Forecast A'!G285</f>
        <v>0.683068017366136</v>
      </c>
      <c r="E335" s="10" t="n">
        <f aca="false">'2026 Forecast B'!G285</f>
        <v>0.677279305354559</v>
      </c>
      <c r="F335" s="10" t="n">
        <f aca="false">'2026 Forecast C'!G285</f>
        <v>0.690303907380608</v>
      </c>
      <c r="G335" s="38" t="n">
        <f aca="false">(MAX(D335:F335)-MIN(D335:F335))*100</f>
        <v>1.30246020260492</v>
      </c>
      <c r="H335" s="38" t="n">
        <f aca="false">'2026 Forecast A'!J285</f>
        <v>3.02363014511423</v>
      </c>
      <c r="I335" s="38" t="n">
        <f aca="false">'2026 Forecast B'!J285</f>
        <v>2.87918965002339</v>
      </c>
      <c r="J335" s="38" t="n">
        <f aca="false">'2026 Forecast C'!J285</f>
        <v>3.15466234357281</v>
      </c>
      <c r="K335" s="18" t="n">
        <f aca="false">'2026 Forecast A'!F285</f>
        <v>691</v>
      </c>
      <c r="L335" s="39" t="str">
        <f aca="false">IF(OR(AND(D335&gt;0.5,E335&gt;0.5,F335&gt;0.5),AND(D335&lt;0.5,E335&lt;0.5,F335&lt;0.5)),"Yes","No — toss-up")</f>
        <v>Yes</v>
      </c>
    </row>
    <row r="336" customFormat="false" ht="15" hidden="false" customHeight="false" outlineLevel="0" collapsed="false">
      <c r="A336" s="9" t="str">
        <f aca="false">'2026 Forecast A'!A286</f>
        <v>Northampton</v>
      </c>
      <c r="B336" s="9" t="str">
        <f aca="false">'2026 Forecast A'!B286</f>
        <v>EASTON</v>
      </c>
      <c r="C336" s="9" t="str">
        <f aca="false">'2026 Forecast A'!C286</f>
        <v>EASTON 4TH WARD</v>
      </c>
      <c r="D336" s="10" t="n">
        <f aca="false">'2026 Forecast A'!G286</f>
        <v>0.662745098039216</v>
      </c>
      <c r="E336" s="10" t="n">
        <f aca="false">'2026 Forecast B'!G286</f>
        <v>0.668627450980392</v>
      </c>
      <c r="F336" s="10" t="n">
        <f aca="false">'2026 Forecast C'!G286</f>
        <v>0.670588235294118</v>
      </c>
      <c r="G336" s="38" t="n">
        <f aca="false">(MAX(D336:F336)-MIN(D336:F336))*100</f>
        <v>0.784313725490193</v>
      </c>
      <c r="H336" s="38" t="n">
        <f aca="false">'2026 Forecast A'!J286</f>
        <v>3.02363014511423</v>
      </c>
      <c r="I336" s="38" t="n">
        <f aca="false">'2026 Forecast B'!J286</f>
        <v>2.87918965002339</v>
      </c>
      <c r="J336" s="38" t="n">
        <f aca="false">'2026 Forecast C'!J286</f>
        <v>3.15466234357281</v>
      </c>
      <c r="K336" s="18" t="n">
        <f aca="false">'2026 Forecast A'!F286</f>
        <v>510</v>
      </c>
      <c r="L336" s="39" t="str">
        <f aca="false">IF(OR(AND(D336&gt;0.5,E336&gt;0.5,F336&gt;0.5),AND(D336&lt;0.5,E336&lt;0.5,F336&lt;0.5)),"Yes","No — toss-up")</f>
        <v>Yes</v>
      </c>
    </row>
    <row r="337" customFormat="false" ht="15" hidden="false" customHeight="false" outlineLevel="0" collapsed="false">
      <c r="A337" s="9" t="str">
        <f aca="false">'2026 Forecast A'!A287</f>
        <v>Northampton</v>
      </c>
      <c r="B337" s="9" t="str">
        <f aca="false">'2026 Forecast A'!B287</f>
        <v>EASTON</v>
      </c>
      <c r="C337" s="9" t="str">
        <f aca="false">'2026 Forecast A'!C287</f>
        <v>EASTON 5TH WARD</v>
      </c>
      <c r="D337" s="10" t="n">
        <f aca="false">'2026 Forecast A'!G287</f>
        <v>0.70935960591133</v>
      </c>
      <c r="E337" s="10" t="n">
        <f aca="false">'2026 Forecast B'!G287</f>
        <v>0.714285714285714</v>
      </c>
      <c r="F337" s="10" t="n">
        <f aca="false">'2026 Forecast C'!G287</f>
        <v>0.714285714285714</v>
      </c>
      <c r="G337" s="38" t="n">
        <f aca="false">(MAX(D337:F337)-MIN(D337:F337))*100</f>
        <v>0.492610837438423</v>
      </c>
      <c r="H337" s="38" t="n">
        <f aca="false">'2026 Forecast A'!J287</f>
        <v>3.02363014511423</v>
      </c>
      <c r="I337" s="38" t="n">
        <f aca="false">'2026 Forecast B'!J287</f>
        <v>2.87918965002339</v>
      </c>
      <c r="J337" s="38" t="n">
        <f aca="false">'2026 Forecast C'!J287</f>
        <v>3.15466234357281</v>
      </c>
      <c r="K337" s="18" t="n">
        <f aca="false">'2026 Forecast A'!F287</f>
        <v>203</v>
      </c>
      <c r="L337" s="39" t="str">
        <f aca="false">IF(OR(AND(D337&gt;0.5,E337&gt;0.5,F337&gt;0.5),AND(D337&lt;0.5,E337&lt;0.5,F337&lt;0.5)),"Yes","No — toss-up")</f>
        <v>Yes</v>
      </c>
    </row>
    <row r="338" customFormat="false" ht="15" hidden="false" customHeight="false" outlineLevel="0" collapsed="false">
      <c r="A338" s="9" t="str">
        <f aca="false">'2026 Forecast A'!A288</f>
        <v>Northampton</v>
      </c>
      <c r="B338" s="9" t="str">
        <f aca="false">'2026 Forecast A'!B288</f>
        <v>EASTON</v>
      </c>
      <c r="C338" s="9" t="str">
        <f aca="false">'2026 Forecast A'!C288</f>
        <v>EASTON 6TH WARD</v>
      </c>
      <c r="D338" s="10" t="n">
        <f aca="false">'2026 Forecast A'!G288</f>
        <v>0.707547169811321</v>
      </c>
      <c r="E338" s="10" t="n">
        <f aca="false">'2026 Forecast B'!G288</f>
        <v>0.70440251572327</v>
      </c>
      <c r="F338" s="10" t="n">
        <f aca="false">'2026 Forecast C'!G288</f>
        <v>0.713836477987421</v>
      </c>
      <c r="G338" s="38" t="n">
        <f aca="false">(MAX(D338:F338)-MIN(D338:F338))*100</f>
        <v>0.943396226415094</v>
      </c>
      <c r="H338" s="38" t="n">
        <f aca="false">'2026 Forecast A'!J288</f>
        <v>3.02363014511423</v>
      </c>
      <c r="I338" s="38" t="n">
        <f aca="false">'2026 Forecast B'!J288</f>
        <v>2.87918965002339</v>
      </c>
      <c r="J338" s="38" t="n">
        <f aca="false">'2026 Forecast C'!J288</f>
        <v>3.15466234357281</v>
      </c>
      <c r="K338" s="18" t="n">
        <f aca="false">'2026 Forecast A'!F288</f>
        <v>318</v>
      </c>
      <c r="L338" s="39" t="str">
        <f aca="false">IF(OR(AND(D338&gt;0.5,E338&gt;0.5,F338&gt;0.5),AND(D338&lt;0.5,E338&lt;0.5,F338&lt;0.5)),"Yes","No — toss-up")</f>
        <v>Yes</v>
      </c>
    </row>
    <row r="339" customFormat="false" ht="15" hidden="false" customHeight="false" outlineLevel="0" collapsed="false">
      <c r="A339" s="9" t="str">
        <f aca="false">'2026 Forecast A'!A289</f>
        <v>Northampton</v>
      </c>
      <c r="B339" s="9" t="str">
        <f aca="false">'2026 Forecast A'!B289</f>
        <v>EASTON</v>
      </c>
      <c r="C339" s="9" t="str">
        <f aca="false">'2026 Forecast A'!C289</f>
        <v>EASTON 7TH WARD</v>
      </c>
      <c r="D339" s="10" t="n">
        <f aca="false">'2026 Forecast A'!G289</f>
        <v>0.675213675213675</v>
      </c>
      <c r="E339" s="10" t="n">
        <f aca="false">'2026 Forecast B'!G289</f>
        <v>0.675213675213675</v>
      </c>
      <c r="F339" s="10" t="n">
        <f aca="false">'2026 Forecast C'!G289</f>
        <v>0.680911680911681</v>
      </c>
      <c r="G339" s="38" t="n">
        <f aca="false">(MAX(D339:F339)-MIN(D339:F339))*100</f>
        <v>0.56980056980056</v>
      </c>
      <c r="H339" s="38" t="n">
        <f aca="false">'2026 Forecast A'!J289</f>
        <v>3.02363014511423</v>
      </c>
      <c r="I339" s="38" t="n">
        <f aca="false">'2026 Forecast B'!J289</f>
        <v>2.87918965002339</v>
      </c>
      <c r="J339" s="38" t="n">
        <f aca="false">'2026 Forecast C'!J289</f>
        <v>3.15466234357281</v>
      </c>
      <c r="K339" s="18" t="n">
        <f aca="false">'2026 Forecast A'!F289</f>
        <v>351</v>
      </c>
      <c r="L339" s="39" t="str">
        <f aca="false">IF(OR(AND(D339&gt;0.5,E339&gt;0.5,F339&gt;0.5),AND(D339&lt;0.5,E339&lt;0.5,F339&lt;0.5)),"Yes","No — toss-up")</f>
        <v>Yes</v>
      </c>
    </row>
    <row r="340" customFormat="false" ht="15" hidden="false" customHeight="false" outlineLevel="0" collapsed="false">
      <c r="A340" s="9" t="str">
        <f aca="false">'2026 Forecast A'!A290</f>
        <v>Northampton</v>
      </c>
      <c r="B340" s="9" t="str">
        <f aca="false">'2026 Forecast A'!B290</f>
        <v>EASTON</v>
      </c>
      <c r="C340" s="9" t="str">
        <f aca="false">'2026 Forecast A'!C290</f>
        <v>EASTON 8TH WARD</v>
      </c>
      <c r="D340" s="10" t="n">
        <f aca="false">'2026 Forecast A'!G290</f>
        <v>0.622181596587447</v>
      </c>
      <c r="E340" s="10" t="n">
        <f aca="false">'2026 Forecast B'!G290</f>
        <v>0.628275441803778</v>
      </c>
      <c r="F340" s="10" t="n">
        <f aca="false">'2026 Forecast C'!G290</f>
        <v>0.620353443022547</v>
      </c>
      <c r="G340" s="38" t="n">
        <f aca="false">(MAX(D340:F340)-MIN(D340:F340))*100</f>
        <v>0.79219987812309</v>
      </c>
      <c r="H340" s="38" t="n">
        <f aca="false">'2026 Forecast A'!J290</f>
        <v>1.24981746705324</v>
      </c>
      <c r="I340" s="38" t="n">
        <f aca="false">'2026 Forecast B'!J290</f>
        <v>1.86991787188303</v>
      </c>
      <c r="J340" s="38" t="n">
        <f aca="false">'2026 Forecast C'!J290</f>
        <v>1.24424911322721</v>
      </c>
      <c r="K340" s="18" t="n">
        <f aca="false">'2026 Forecast A'!F290</f>
        <v>1641</v>
      </c>
      <c r="L340" s="39" t="str">
        <f aca="false">IF(OR(AND(D340&gt;0.5,E340&gt;0.5,F340&gt;0.5),AND(D340&lt;0.5,E340&lt;0.5,F340&lt;0.5)),"Yes","No — toss-up")</f>
        <v>Yes</v>
      </c>
    </row>
    <row r="341" customFormat="false" ht="15" hidden="false" customHeight="false" outlineLevel="0" collapsed="false">
      <c r="A341" s="9" t="str">
        <f aca="false">'2026 Forecast A'!A291</f>
        <v>Northampton</v>
      </c>
      <c r="B341" s="9" t="str">
        <f aca="false">'2026 Forecast A'!B291</f>
        <v>EASTON</v>
      </c>
      <c r="C341" s="9" t="str">
        <f aca="false">'2026 Forecast A'!C291</f>
        <v>EASTON 9TH WARD</v>
      </c>
      <c r="D341" s="10" t="n">
        <f aca="false">'2026 Forecast A'!G291</f>
        <v>0.678185745140389</v>
      </c>
      <c r="E341" s="10" t="n">
        <f aca="false">'2026 Forecast B'!G291</f>
        <v>0.695464362850972</v>
      </c>
      <c r="F341" s="10" t="n">
        <f aca="false">'2026 Forecast C'!G291</f>
        <v>0.684665226781858</v>
      </c>
      <c r="G341" s="38" t="n">
        <f aca="false">(MAX(D341:F341)-MIN(D341:F341))*100</f>
        <v>1.72786177105831</v>
      </c>
      <c r="H341" s="38" t="n">
        <f aca="false">'2026 Forecast A'!J291</f>
        <v>1.80877416096373</v>
      </c>
      <c r="I341" s="38" t="n">
        <f aca="false">'2026 Forecast B'!J291</f>
        <v>1.9254971424187</v>
      </c>
      <c r="J341" s="38" t="n">
        <f aca="false">'2026 Forecast C'!J291</f>
        <v>1.88510957763259</v>
      </c>
      <c r="K341" s="18" t="n">
        <f aca="false">'2026 Forecast A'!F291</f>
        <v>926</v>
      </c>
      <c r="L341" s="39" t="str">
        <f aca="false">IF(OR(AND(D341&gt;0.5,E341&gt;0.5,F341&gt;0.5),AND(D341&lt;0.5,E341&lt;0.5,F341&lt;0.5)),"Yes","No — toss-up")</f>
        <v>Yes</v>
      </c>
    </row>
    <row r="342" customFormat="false" ht="15" hidden="false" customHeight="false" outlineLevel="0" collapsed="false">
      <c r="A342" s="9" t="str">
        <f aca="false">'2026 Forecast A'!A292</f>
        <v>Northampton</v>
      </c>
      <c r="B342" s="9" t="str">
        <f aca="false">'2026 Forecast A'!B292</f>
        <v>FORKS</v>
      </c>
      <c r="C342" s="9" t="str">
        <f aca="false">'2026 Forecast A'!C292</f>
        <v>FORKS TWSP EAST</v>
      </c>
      <c r="D342" s="10" t="n">
        <f aca="false">'2026 Forecast A'!G292</f>
        <v>0.501468428781204</v>
      </c>
      <c r="E342" s="10" t="n">
        <f aca="false">'2026 Forecast B'!G292</f>
        <v>0.508810572687225</v>
      </c>
      <c r="F342" s="10" t="n">
        <f aca="false">'2026 Forecast C'!G292</f>
        <v>0.501468428781204</v>
      </c>
      <c r="G342" s="38" t="n">
        <f aca="false">(MAX(D342:F342)-MIN(D342:F342))*100</f>
        <v>0.73421439060205</v>
      </c>
      <c r="H342" s="38" t="n">
        <f aca="false">'2026 Forecast A'!J292</f>
        <v>1.24981746705324</v>
      </c>
      <c r="I342" s="38" t="n">
        <f aca="false">'2026 Forecast B'!J292</f>
        <v>1.86991787188303</v>
      </c>
      <c r="J342" s="38" t="n">
        <f aca="false">'2026 Forecast C'!J292</f>
        <v>1.24424911322721</v>
      </c>
      <c r="K342" s="18" t="n">
        <f aca="false">'2026 Forecast A'!F292</f>
        <v>1362</v>
      </c>
      <c r="L342" s="39" t="str">
        <f aca="false">IF(OR(AND(D342&gt;0.5,E342&gt;0.5,F342&gt;0.5),AND(D342&lt;0.5,E342&lt;0.5,F342&lt;0.5)),"Yes","No — toss-up")</f>
        <v>Yes</v>
      </c>
    </row>
    <row r="343" customFormat="false" ht="15" hidden="false" customHeight="false" outlineLevel="0" collapsed="false">
      <c r="A343" s="9" t="str">
        <f aca="false">'2026 Forecast A'!A293</f>
        <v>Northampton</v>
      </c>
      <c r="B343" s="9" t="str">
        <f aca="false">'2026 Forecast A'!B293</f>
        <v>FORKS</v>
      </c>
      <c r="C343" s="9" t="str">
        <f aca="false">'2026 Forecast A'!C293</f>
        <v>FORKS TWSP NORTH</v>
      </c>
      <c r="D343" s="10" t="n">
        <f aca="false">'2026 Forecast A'!G293</f>
        <v>0.490304709141274</v>
      </c>
      <c r="E343" s="10" t="n">
        <f aca="false">'2026 Forecast B'!G293</f>
        <v>0.496768236380425</v>
      </c>
      <c r="F343" s="10" t="n">
        <f aca="false">'2026 Forecast C'!G293</f>
        <v>0.484764542936288</v>
      </c>
      <c r="G343" s="38" t="n">
        <f aca="false">(MAX(D343:F343)-MIN(D343:F343))*100</f>
        <v>1.20036934441367</v>
      </c>
      <c r="H343" s="38" t="n">
        <f aca="false">'2026 Forecast A'!J293</f>
        <v>1.80877416096373</v>
      </c>
      <c r="I343" s="38" t="n">
        <f aca="false">'2026 Forecast B'!J293</f>
        <v>1.9254971424187</v>
      </c>
      <c r="J343" s="38" t="n">
        <f aca="false">'2026 Forecast C'!J293</f>
        <v>1.88510957763259</v>
      </c>
      <c r="K343" s="18" t="n">
        <f aca="false">'2026 Forecast A'!F293</f>
        <v>1083</v>
      </c>
      <c r="L343" s="39" t="str">
        <f aca="false">IF(OR(AND(D343&gt;0.5,E343&gt;0.5,F343&gt;0.5),AND(D343&lt;0.5,E343&lt;0.5,F343&lt;0.5)),"Yes","No — toss-up")</f>
        <v>Yes</v>
      </c>
    </row>
    <row r="344" customFormat="false" ht="15" hidden="false" customHeight="false" outlineLevel="0" collapsed="false">
      <c r="A344" s="9" t="str">
        <f aca="false">'2026 Forecast A'!A294</f>
        <v>Northampton</v>
      </c>
      <c r="B344" s="9" t="str">
        <f aca="false">'2026 Forecast A'!B294</f>
        <v>FORKS</v>
      </c>
      <c r="C344" s="9" t="str">
        <f aca="false">'2026 Forecast A'!C294</f>
        <v>FORKS TWSP NORTHWEST</v>
      </c>
      <c r="D344" s="10" t="n">
        <f aca="false">'2026 Forecast A'!G294</f>
        <v>0.543889845094664</v>
      </c>
      <c r="E344" s="10" t="n">
        <f aca="false">'2026 Forecast B'!G294</f>
        <v>0.530120481927711</v>
      </c>
      <c r="F344" s="10" t="n">
        <f aca="false">'2026 Forecast C'!G294</f>
        <v>0.542168674698795</v>
      </c>
      <c r="G344" s="38" t="n">
        <f aca="false">(MAX(D344:F344)-MIN(D344:F344))*100</f>
        <v>1.37693631669535</v>
      </c>
      <c r="H344" s="38" t="n">
        <f aca="false">'2026 Forecast A'!J294</f>
        <v>3.02363014511423</v>
      </c>
      <c r="I344" s="38" t="n">
        <f aca="false">'2026 Forecast B'!J294</f>
        <v>2.87918965002339</v>
      </c>
      <c r="J344" s="38" t="n">
        <f aca="false">'2026 Forecast C'!J294</f>
        <v>3.15466234357281</v>
      </c>
      <c r="K344" s="18" t="n">
        <f aca="false">'2026 Forecast A'!F294</f>
        <v>581</v>
      </c>
      <c r="L344" s="39" t="str">
        <f aca="false">IF(OR(AND(D344&gt;0.5,E344&gt;0.5,F344&gt;0.5),AND(D344&lt;0.5,E344&lt;0.5,F344&lt;0.5)),"Yes","No — toss-up")</f>
        <v>Yes</v>
      </c>
    </row>
    <row r="345" customFormat="false" ht="15" hidden="false" customHeight="false" outlineLevel="0" collapsed="false">
      <c r="A345" s="9" t="str">
        <f aca="false">'2026 Forecast A'!A295</f>
        <v>Northampton</v>
      </c>
      <c r="B345" s="9" t="str">
        <f aca="false">'2026 Forecast A'!B295</f>
        <v>FORKS</v>
      </c>
      <c r="C345" s="9" t="str">
        <f aca="false">'2026 Forecast A'!C295</f>
        <v>FORKS TWSP SOUTH</v>
      </c>
      <c r="D345" s="10" t="n">
        <f aca="false">'2026 Forecast A'!G295</f>
        <v>0.501342882721576</v>
      </c>
      <c r="E345" s="10" t="n">
        <f aca="false">'2026 Forecast B'!G295</f>
        <v>0.510295434198747</v>
      </c>
      <c r="F345" s="10" t="n">
        <f aca="false">'2026 Forecast C'!G295</f>
        <v>0.49686660698299</v>
      </c>
      <c r="G345" s="38" t="n">
        <f aca="false">(MAX(D345:F345)-MIN(D345:F345))*100</f>
        <v>1.34288272157565</v>
      </c>
      <c r="H345" s="38" t="n">
        <f aca="false">'2026 Forecast A'!J295</f>
        <v>1.80877416096373</v>
      </c>
      <c r="I345" s="38" t="n">
        <f aca="false">'2026 Forecast B'!J295</f>
        <v>1.9254971424187</v>
      </c>
      <c r="J345" s="38" t="n">
        <f aca="false">'2026 Forecast C'!J295</f>
        <v>1.88510957763259</v>
      </c>
      <c r="K345" s="18" t="n">
        <f aca="false">'2026 Forecast A'!F295</f>
        <v>1117</v>
      </c>
      <c r="L345" s="39" t="str">
        <f aca="false">IF(OR(AND(D345&gt;0.5,E345&gt;0.5,F345&gt;0.5),AND(D345&lt;0.5,E345&lt;0.5,F345&lt;0.5)),"Yes","No — toss-up")</f>
        <v>No — toss-up</v>
      </c>
    </row>
    <row r="346" customFormat="false" ht="15" hidden="false" customHeight="false" outlineLevel="0" collapsed="false">
      <c r="A346" s="9" t="str">
        <f aca="false">'2026 Forecast A'!A296</f>
        <v>Northampton</v>
      </c>
      <c r="B346" s="9" t="str">
        <f aca="false">'2026 Forecast A'!B296</f>
        <v>FORKS</v>
      </c>
      <c r="C346" s="9" t="str">
        <f aca="false">'2026 Forecast A'!C296</f>
        <v>FORKS TWSP SOUTHEAST</v>
      </c>
      <c r="D346" s="10" t="n">
        <f aca="false">'2026 Forecast A'!G296</f>
        <v>0.516288252714709</v>
      </c>
      <c r="E346" s="10" t="n">
        <f aca="false">'2026 Forecast B'!G296</f>
        <v>0.524185587364265</v>
      </c>
      <c r="F346" s="10" t="n">
        <f aca="false">'2026 Forecast C'!G296</f>
        <v>0.518262586377098</v>
      </c>
      <c r="G346" s="38" t="n">
        <f aca="false">(MAX(D346:F346)-MIN(D346:F346))*100</f>
        <v>0.789733464955578</v>
      </c>
      <c r="H346" s="38" t="n">
        <f aca="false">'2026 Forecast A'!J296</f>
        <v>1.80877416096373</v>
      </c>
      <c r="I346" s="38" t="n">
        <f aca="false">'2026 Forecast B'!J296</f>
        <v>1.9254971424187</v>
      </c>
      <c r="J346" s="38" t="n">
        <f aca="false">'2026 Forecast C'!J296</f>
        <v>1.88510957763259</v>
      </c>
      <c r="K346" s="18" t="n">
        <f aca="false">'2026 Forecast A'!F296</f>
        <v>1013</v>
      </c>
      <c r="L346" s="39" t="str">
        <f aca="false">IF(OR(AND(D346&gt;0.5,E346&gt;0.5,F346&gt;0.5),AND(D346&lt;0.5,E346&lt;0.5,F346&lt;0.5)),"Yes","No — toss-up")</f>
        <v>Yes</v>
      </c>
    </row>
    <row r="347" customFormat="false" ht="15" hidden="false" customHeight="false" outlineLevel="0" collapsed="false">
      <c r="A347" s="9" t="str">
        <f aca="false">'2026 Forecast A'!A297</f>
        <v>Northampton</v>
      </c>
      <c r="B347" s="9" t="str">
        <f aca="false">'2026 Forecast A'!B297</f>
        <v>FORKS</v>
      </c>
      <c r="C347" s="9" t="str">
        <f aca="false">'2026 Forecast A'!C297</f>
        <v>FORKS TWSP SOUTHWEST</v>
      </c>
      <c r="D347" s="10" t="n">
        <f aca="false">'2026 Forecast A'!G297</f>
        <v>0.491386382280558</v>
      </c>
      <c r="E347" s="10" t="n">
        <f aca="false">'2026 Forecast B'!G297</f>
        <v>0.500410172272354</v>
      </c>
      <c r="F347" s="10" t="n">
        <f aca="false">'2026 Forecast C'!G297</f>
        <v>0.486464315012305</v>
      </c>
      <c r="G347" s="38" t="n">
        <f aca="false">(MAX(D347:F347)-MIN(D347:F347))*100</f>
        <v>1.39458572600492</v>
      </c>
      <c r="H347" s="38" t="n">
        <f aca="false">'2026 Forecast A'!J297</f>
        <v>1.24981746705324</v>
      </c>
      <c r="I347" s="38" t="n">
        <f aca="false">'2026 Forecast B'!J297</f>
        <v>1.86991787188303</v>
      </c>
      <c r="J347" s="38" t="n">
        <f aca="false">'2026 Forecast C'!J297</f>
        <v>1.24424911322721</v>
      </c>
      <c r="K347" s="18" t="n">
        <f aca="false">'2026 Forecast A'!F297</f>
        <v>1219</v>
      </c>
      <c r="L347" s="39" t="str">
        <f aca="false">IF(OR(AND(D347&gt;0.5,E347&gt;0.5,F347&gt;0.5),AND(D347&lt;0.5,E347&lt;0.5,F347&lt;0.5)),"Yes","No — toss-up")</f>
        <v>No — toss-up</v>
      </c>
    </row>
    <row r="348" customFormat="false" ht="15" hidden="false" customHeight="false" outlineLevel="0" collapsed="false">
      <c r="A348" s="9" t="str">
        <f aca="false">'2026 Forecast A'!A298</f>
        <v>Northampton</v>
      </c>
      <c r="B348" s="9" t="str">
        <f aca="false">'2026 Forecast A'!B298</f>
        <v>FORKS</v>
      </c>
      <c r="C348" s="9" t="str">
        <f aca="false">'2026 Forecast A'!C298</f>
        <v>FORKS TWSP WEST</v>
      </c>
      <c r="D348" s="10" t="n">
        <f aca="false">'2026 Forecast A'!G298</f>
        <v>0.44991789819376</v>
      </c>
      <c r="E348" s="10" t="n">
        <f aca="false">'2026 Forecast B'!G298</f>
        <v>0.461412151067324</v>
      </c>
      <c r="F348" s="10" t="n">
        <f aca="false">'2026 Forecast C'!G298</f>
        <v>0.451559934318555</v>
      </c>
      <c r="G348" s="38" t="n">
        <f aca="false">(MAX(D348:F348)-MIN(D348:F348))*100</f>
        <v>1.14942528735632</v>
      </c>
      <c r="H348" s="38" t="n">
        <f aca="false">'2026 Forecast A'!J298</f>
        <v>3.02363014511423</v>
      </c>
      <c r="I348" s="38" t="n">
        <f aca="false">'2026 Forecast B'!J298</f>
        <v>2.87918965002339</v>
      </c>
      <c r="J348" s="38" t="n">
        <f aca="false">'2026 Forecast C'!J298</f>
        <v>3.15466234357281</v>
      </c>
      <c r="K348" s="18" t="n">
        <f aca="false">'2026 Forecast A'!F298</f>
        <v>609</v>
      </c>
      <c r="L348" s="39" t="str">
        <f aca="false">IF(OR(AND(D348&gt;0.5,E348&gt;0.5,F348&gt;0.5),AND(D348&lt;0.5,E348&lt;0.5,F348&lt;0.5)),"Yes","No — toss-up")</f>
        <v>Yes</v>
      </c>
    </row>
    <row r="349" customFormat="false" ht="15" hidden="false" customHeight="false" outlineLevel="0" collapsed="false">
      <c r="A349" s="9" t="str">
        <f aca="false">'2026 Forecast A'!A299</f>
        <v>Northampton</v>
      </c>
      <c r="B349" s="9" t="str">
        <f aca="false">'2026 Forecast A'!B299</f>
        <v>FREEMANSBURG</v>
      </c>
      <c r="C349" s="9" t="str">
        <f aca="false">'2026 Forecast A'!C299</f>
        <v>FREEMANSBURG</v>
      </c>
      <c r="D349" s="10" t="n">
        <f aca="false">'2026 Forecast A'!G299</f>
        <v>0.596794081381011</v>
      </c>
      <c r="E349" s="10" t="n">
        <f aca="false">'2026 Forecast B'!G299</f>
        <v>0.604192355117139</v>
      </c>
      <c r="F349" s="10" t="n">
        <f aca="false">'2026 Forecast C'!G299</f>
        <v>0.600493218249075</v>
      </c>
      <c r="G349" s="38" t="n">
        <f aca="false">(MAX(D349:F349)-MIN(D349:F349))*100</f>
        <v>0.739827373612823</v>
      </c>
      <c r="H349" s="38" t="n">
        <f aca="false">'2026 Forecast A'!J299</f>
        <v>1.80877416096373</v>
      </c>
      <c r="I349" s="38" t="n">
        <f aca="false">'2026 Forecast B'!J299</f>
        <v>1.9254971424187</v>
      </c>
      <c r="J349" s="38" t="n">
        <f aca="false">'2026 Forecast C'!J299</f>
        <v>1.88510957763259</v>
      </c>
      <c r="K349" s="18" t="n">
        <f aca="false">'2026 Forecast A'!F299</f>
        <v>811</v>
      </c>
      <c r="L349" s="39" t="str">
        <f aca="false">IF(OR(AND(D349&gt;0.5,E349&gt;0.5,F349&gt;0.5),AND(D349&lt;0.5,E349&lt;0.5,F349&lt;0.5)),"Yes","No — toss-up")</f>
        <v>Yes</v>
      </c>
    </row>
    <row r="350" customFormat="false" ht="15" hidden="false" customHeight="false" outlineLevel="0" collapsed="false">
      <c r="A350" s="9" t="str">
        <f aca="false">'2026 Forecast A'!A300</f>
        <v>Northampton</v>
      </c>
      <c r="B350" s="9" t="str">
        <f aca="false">'2026 Forecast A'!B300</f>
        <v>GLENDON</v>
      </c>
      <c r="C350" s="9" t="str">
        <f aca="false">'2026 Forecast A'!C300</f>
        <v>GLENDON</v>
      </c>
      <c r="D350" s="10" t="n">
        <f aca="false">'2026 Forecast A'!G300</f>
        <v>0.520833333333333</v>
      </c>
      <c r="E350" s="10" t="n">
        <f aca="false">'2026 Forecast B'!G300</f>
        <v>0.520833333333333</v>
      </c>
      <c r="F350" s="10" t="n">
        <f aca="false">'2026 Forecast C'!G300</f>
        <v>0.520833333333333</v>
      </c>
      <c r="G350" s="38" t="n">
        <f aca="false">(MAX(D350:F350)-MIN(D350:F350))*100</f>
        <v>0</v>
      </c>
      <c r="H350" s="38" t="n">
        <f aca="false">'2026 Forecast A'!J300</f>
        <v>3.02363014511423</v>
      </c>
      <c r="I350" s="38" t="n">
        <f aca="false">'2026 Forecast B'!J300</f>
        <v>2.87918965002339</v>
      </c>
      <c r="J350" s="38" t="n">
        <f aca="false">'2026 Forecast C'!J300</f>
        <v>3.15466234357281</v>
      </c>
      <c r="K350" s="18" t="n">
        <f aca="false">'2026 Forecast A'!F300</f>
        <v>144</v>
      </c>
      <c r="L350" s="39" t="str">
        <f aca="false">IF(OR(AND(D350&gt;0.5,E350&gt;0.5,F350&gt;0.5),AND(D350&lt;0.5,E350&lt;0.5,F350&lt;0.5)),"Yes","No — toss-up")</f>
        <v>Yes</v>
      </c>
    </row>
    <row r="351" customFormat="false" ht="15" hidden="false" customHeight="false" outlineLevel="0" collapsed="false">
      <c r="A351" s="9" t="str">
        <f aca="false">'2026 Forecast A'!A301</f>
        <v>Northampton</v>
      </c>
      <c r="B351" s="9" t="str">
        <f aca="false">'2026 Forecast A'!B301</f>
        <v>HANOVER</v>
      </c>
      <c r="C351" s="9" t="str">
        <f aca="false">'2026 Forecast A'!C301</f>
        <v>HANOVER #1</v>
      </c>
      <c r="D351" s="10" t="n">
        <f aca="false">'2026 Forecast A'!G301</f>
        <v>0.587962962962963</v>
      </c>
      <c r="E351" s="10" t="n">
        <f aca="false">'2026 Forecast B'!G301</f>
        <v>0.580246913580247</v>
      </c>
      <c r="F351" s="10" t="n">
        <f aca="false">'2026 Forecast C'!G301</f>
        <v>0.594907407407407</v>
      </c>
      <c r="G351" s="38" t="n">
        <f aca="false">(MAX(D351:F351)-MIN(D351:F351))*100</f>
        <v>1.46604938271605</v>
      </c>
      <c r="H351" s="38" t="n">
        <f aca="false">'2026 Forecast A'!J301</f>
        <v>1.24981746705324</v>
      </c>
      <c r="I351" s="38" t="n">
        <f aca="false">'2026 Forecast B'!J301</f>
        <v>1.86991787188303</v>
      </c>
      <c r="J351" s="38" t="n">
        <f aca="false">'2026 Forecast C'!J301</f>
        <v>1.24424911322721</v>
      </c>
      <c r="K351" s="18" t="n">
        <f aca="false">'2026 Forecast A'!F301</f>
        <v>1296</v>
      </c>
      <c r="L351" s="39" t="str">
        <f aca="false">IF(OR(AND(D351&gt;0.5,E351&gt;0.5,F351&gt;0.5),AND(D351&lt;0.5,E351&lt;0.5,F351&lt;0.5)),"Yes","No — toss-up")</f>
        <v>Yes</v>
      </c>
    </row>
    <row r="352" customFormat="false" ht="15" hidden="false" customHeight="false" outlineLevel="0" collapsed="false">
      <c r="A352" s="9" t="str">
        <f aca="false">'2026 Forecast A'!A302</f>
        <v>Northampton</v>
      </c>
      <c r="B352" s="9" t="str">
        <f aca="false">'2026 Forecast A'!B302</f>
        <v>HANOVER</v>
      </c>
      <c r="C352" s="9" t="str">
        <f aca="false">'2026 Forecast A'!C302</f>
        <v>HANOVER #2</v>
      </c>
      <c r="D352" s="10" t="n">
        <f aca="false">'2026 Forecast A'!G302</f>
        <v>0.558599695585997</v>
      </c>
      <c r="E352" s="10" t="n">
        <f aca="false">'2026 Forecast B'!G302</f>
        <v>0.557838660578387</v>
      </c>
      <c r="F352" s="10" t="n">
        <f aca="false">'2026 Forecast C'!G302</f>
        <v>0.563165905631659</v>
      </c>
      <c r="G352" s="38" t="n">
        <f aca="false">(MAX(D352:F352)-MIN(D352:F352))*100</f>
        <v>0.532724505327242</v>
      </c>
      <c r="H352" s="38" t="n">
        <f aca="false">'2026 Forecast A'!J302</f>
        <v>1.24981746705324</v>
      </c>
      <c r="I352" s="38" t="n">
        <f aca="false">'2026 Forecast B'!J302</f>
        <v>1.86991787188303</v>
      </c>
      <c r="J352" s="38" t="n">
        <f aca="false">'2026 Forecast C'!J302</f>
        <v>1.24424911322721</v>
      </c>
      <c r="K352" s="18" t="n">
        <f aca="false">'2026 Forecast A'!F302</f>
        <v>1314</v>
      </c>
      <c r="L352" s="39" t="str">
        <f aca="false">IF(OR(AND(D352&gt;0.5,E352&gt;0.5,F352&gt;0.5),AND(D352&lt;0.5,E352&lt;0.5,F352&lt;0.5)),"Yes","No — toss-up")</f>
        <v>Yes</v>
      </c>
    </row>
    <row r="353" customFormat="false" ht="15" hidden="false" customHeight="false" outlineLevel="0" collapsed="false">
      <c r="A353" s="9" t="str">
        <f aca="false">'2026 Forecast A'!A303</f>
        <v>Northampton</v>
      </c>
      <c r="B353" s="9" t="str">
        <f aca="false">'2026 Forecast A'!B303</f>
        <v>HANOVER</v>
      </c>
      <c r="C353" s="9" t="str">
        <f aca="false">'2026 Forecast A'!C303</f>
        <v>HANOVER #3</v>
      </c>
      <c r="D353" s="10" t="n">
        <f aca="false">'2026 Forecast A'!G303</f>
        <v>0.521917808219178</v>
      </c>
      <c r="E353" s="10" t="n">
        <f aca="false">'2026 Forecast B'!G303</f>
        <v>0.520547945205479</v>
      </c>
      <c r="F353" s="10" t="n">
        <f aca="false">'2026 Forecast C'!G303</f>
        <v>0.524657534246575</v>
      </c>
      <c r="G353" s="38" t="n">
        <f aca="false">(MAX(D353:F353)-MIN(D353:F353))*100</f>
        <v>0.410958904109593</v>
      </c>
      <c r="H353" s="38" t="n">
        <f aca="false">'2026 Forecast A'!J303</f>
        <v>3.02363014511423</v>
      </c>
      <c r="I353" s="38" t="n">
        <f aca="false">'2026 Forecast B'!J303</f>
        <v>2.87918965002339</v>
      </c>
      <c r="J353" s="38" t="n">
        <f aca="false">'2026 Forecast C'!J303</f>
        <v>3.15466234357281</v>
      </c>
      <c r="K353" s="18" t="n">
        <f aca="false">'2026 Forecast A'!F303</f>
        <v>730</v>
      </c>
      <c r="L353" s="39" t="str">
        <f aca="false">IF(OR(AND(D353&gt;0.5,E353&gt;0.5,F353&gt;0.5),AND(D353&lt;0.5,E353&lt;0.5,F353&lt;0.5)),"Yes","No — toss-up")</f>
        <v>Yes</v>
      </c>
    </row>
    <row r="354" customFormat="false" ht="15" hidden="false" customHeight="false" outlineLevel="0" collapsed="false">
      <c r="A354" s="9" t="str">
        <f aca="false">'2026 Forecast A'!A304</f>
        <v>Northampton</v>
      </c>
      <c r="B354" s="9" t="str">
        <f aca="false">'2026 Forecast A'!B304</f>
        <v>HANOVER</v>
      </c>
      <c r="C354" s="9" t="str">
        <f aca="false">'2026 Forecast A'!C304</f>
        <v>HANOVER #4</v>
      </c>
      <c r="D354" s="10" t="n">
        <f aca="false">'2026 Forecast A'!G304</f>
        <v>0.522943722943723</v>
      </c>
      <c r="E354" s="10" t="n">
        <f aca="false">'2026 Forecast B'!G304</f>
        <v>0.521212121212121</v>
      </c>
      <c r="F354" s="10" t="n">
        <f aca="false">'2026 Forecast C'!G304</f>
        <v>0.526406926406926</v>
      </c>
      <c r="G354" s="38" t="n">
        <f aca="false">(MAX(D354:F354)-MIN(D354:F354))*100</f>
        <v>0.51948051948052</v>
      </c>
      <c r="H354" s="38" t="n">
        <f aca="false">'2026 Forecast A'!J304</f>
        <v>1.80877416096373</v>
      </c>
      <c r="I354" s="38" t="n">
        <f aca="false">'2026 Forecast B'!J304</f>
        <v>1.9254971424187</v>
      </c>
      <c r="J354" s="38" t="n">
        <f aca="false">'2026 Forecast C'!J304</f>
        <v>1.88510957763259</v>
      </c>
      <c r="K354" s="18" t="n">
        <f aca="false">'2026 Forecast A'!F304</f>
        <v>1155</v>
      </c>
      <c r="L354" s="39" t="str">
        <f aca="false">IF(OR(AND(D354&gt;0.5,E354&gt;0.5,F354&gt;0.5),AND(D354&lt;0.5,E354&lt;0.5,F354&lt;0.5)),"Yes","No — toss-up")</f>
        <v>Yes</v>
      </c>
    </row>
    <row r="355" customFormat="false" ht="15" hidden="false" customHeight="false" outlineLevel="0" collapsed="false">
      <c r="A355" s="9" t="str">
        <f aca="false">'2026 Forecast A'!A305</f>
        <v>Northampton</v>
      </c>
      <c r="B355" s="9" t="str">
        <f aca="false">'2026 Forecast A'!B305</f>
        <v>HANOVER</v>
      </c>
      <c r="C355" s="9" t="str">
        <f aca="false">'2026 Forecast A'!C305</f>
        <v>HANOVER #5</v>
      </c>
      <c r="D355" s="10" t="n">
        <f aca="false">'2026 Forecast A'!G305</f>
        <v>0.557035803497086</v>
      </c>
      <c r="E355" s="10" t="n">
        <f aca="false">'2026 Forecast B'!G305</f>
        <v>0.554537885095754</v>
      </c>
      <c r="F355" s="10" t="n">
        <f aca="false">'2026 Forecast C'!G305</f>
        <v>0.56203164029975</v>
      </c>
      <c r="G355" s="38" t="n">
        <f aca="false">(MAX(D355:F355)-MIN(D355:F355))*100</f>
        <v>0.749375520399664</v>
      </c>
      <c r="H355" s="38" t="n">
        <f aca="false">'2026 Forecast A'!J305</f>
        <v>1.24981746705324</v>
      </c>
      <c r="I355" s="38" t="n">
        <f aca="false">'2026 Forecast B'!J305</f>
        <v>1.86991787188303</v>
      </c>
      <c r="J355" s="38" t="n">
        <f aca="false">'2026 Forecast C'!J305</f>
        <v>1.24424911322721</v>
      </c>
      <c r="K355" s="18" t="n">
        <f aca="false">'2026 Forecast A'!F305</f>
        <v>1201</v>
      </c>
      <c r="L355" s="39" t="str">
        <f aca="false">IF(OR(AND(D355&gt;0.5,E355&gt;0.5,F355&gt;0.5),AND(D355&lt;0.5,E355&lt;0.5,F355&lt;0.5)),"Yes","No — toss-up")</f>
        <v>Yes</v>
      </c>
    </row>
    <row r="356" customFormat="false" ht="15" hidden="false" customHeight="false" outlineLevel="0" collapsed="false">
      <c r="A356" s="9" t="str">
        <f aca="false">'2026 Forecast A'!A306</f>
        <v>Northampton</v>
      </c>
      <c r="B356" s="9" t="str">
        <f aca="false">'2026 Forecast A'!B306</f>
        <v>HANOVER</v>
      </c>
      <c r="C356" s="9" t="str">
        <f aca="false">'2026 Forecast A'!C306</f>
        <v>HANOVER #6</v>
      </c>
      <c r="D356" s="10" t="n">
        <f aca="false">'2026 Forecast A'!G306</f>
        <v>0.528767123287671</v>
      </c>
      <c r="E356" s="10" t="n">
        <f aca="false">'2026 Forecast B'!G306</f>
        <v>0.53013698630137</v>
      </c>
      <c r="F356" s="10" t="n">
        <f aca="false">'2026 Forecast C'!G306</f>
        <v>0.532876712328767</v>
      </c>
      <c r="G356" s="38" t="n">
        <f aca="false">(MAX(D356:F356)-MIN(D356:F356))*100</f>
        <v>0.410958904109582</v>
      </c>
      <c r="H356" s="38" t="n">
        <f aca="false">'2026 Forecast A'!J306</f>
        <v>3.02363014511423</v>
      </c>
      <c r="I356" s="38" t="n">
        <f aca="false">'2026 Forecast B'!J306</f>
        <v>2.87918965002339</v>
      </c>
      <c r="J356" s="38" t="n">
        <f aca="false">'2026 Forecast C'!J306</f>
        <v>3.15466234357281</v>
      </c>
      <c r="K356" s="18" t="n">
        <f aca="false">'2026 Forecast A'!F306</f>
        <v>730</v>
      </c>
      <c r="L356" s="39" t="str">
        <f aca="false">IF(OR(AND(D356&gt;0.5,E356&gt;0.5,F356&gt;0.5),AND(D356&lt;0.5,E356&lt;0.5,F356&lt;0.5)),"Yes","No — toss-up")</f>
        <v>Yes</v>
      </c>
    </row>
    <row r="357" customFormat="false" ht="15" hidden="false" customHeight="false" outlineLevel="0" collapsed="false">
      <c r="A357" s="9" t="str">
        <f aca="false">'2026 Forecast A'!A307</f>
        <v>Northampton</v>
      </c>
      <c r="B357" s="9" t="str">
        <f aca="false">'2026 Forecast A'!B307</f>
        <v>HELLERTOWN</v>
      </c>
      <c r="C357" s="9" t="str">
        <f aca="false">'2026 Forecast A'!C307</f>
        <v>HELLERTOWN BORO 1ST WARD</v>
      </c>
      <c r="D357" s="10" t="n">
        <f aca="false">'2026 Forecast A'!G307</f>
        <v>0.505494505494506</v>
      </c>
      <c r="E357" s="10" t="n">
        <f aca="false">'2026 Forecast B'!G307</f>
        <v>0.510989010989011</v>
      </c>
      <c r="F357" s="10" t="n">
        <f aca="false">'2026 Forecast C'!G307</f>
        <v>0.505494505494506</v>
      </c>
      <c r="G357" s="38" t="n">
        <f aca="false">(MAX(D357:F357)-MIN(D357:F357))*100</f>
        <v>0.549450549450548</v>
      </c>
      <c r="H357" s="38" t="n">
        <f aca="false">'2026 Forecast A'!J307</f>
        <v>1.80877416096373</v>
      </c>
      <c r="I357" s="38" t="n">
        <f aca="false">'2026 Forecast B'!J307</f>
        <v>1.9254971424187</v>
      </c>
      <c r="J357" s="38" t="n">
        <f aca="false">'2026 Forecast C'!J307</f>
        <v>1.88510957763259</v>
      </c>
      <c r="K357" s="18" t="n">
        <f aca="false">'2026 Forecast A'!F307</f>
        <v>910</v>
      </c>
      <c r="L357" s="39" t="str">
        <f aca="false">IF(OR(AND(D357&gt;0.5,E357&gt;0.5,F357&gt;0.5),AND(D357&lt;0.5,E357&lt;0.5,F357&lt;0.5)),"Yes","No — toss-up")</f>
        <v>Yes</v>
      </c>
    </row>
    <row r="358" customFormat="false" ht="15" hidden="false" customHeight="false" outlineLevel="0" collapsed="false">
      <c r="A358" s="9" t="str">
        <f aca="false">'2026 Forecast A'!A308</f>
        <v>Northampton</v>
      </c>
      <c r="B358" s="9" t="str">
        <f aca="false">'2026 Forecast A'!B308</f>
        <v>HELLERTOWN</v>
      </c>
      <c r="C358" s="9" t="str">
        <f aca="false">'2026 Forecast A'!C308</f>
        <v>HELLERTOWN BORO 2ND WARD</v>
      </c>
      <c r="D358" s="10" t="n">
        <f aca="false">'2026 Forecast A'!G308</f>
        <v>0.516405135520685</v>
      </c>
      <c r="E358" s="10" t="n">
        <f aca="false">'2026 Forecast B'!G308</f>
        <v>0.523537803138374</v>
      </c>
      <c r="F358" s="10" t="n">
        <f aca="false">'2026 Forecast C'!G308</f>
        <v>0.517831669044223</v>
      </c>
      <c r="G358" s="38" t="n">
        <f aca="false">(MAX(D358:F358)-MIN(D358:F358))*100</f>
        <v>0.713266761768894</v>
      </c>
      <c r="H358" s="38" t="n">
        <f aca="false">'2026 Forecast A'!J308</f>
        <v>3.02363014511423</v>
      </c>
      <c r="I358" s="38" t="n">
        <f aca="false">'2026 Forecast B'!J308</f>
        <v>2.87918965002339</v>
      </c>
      <c r="J358" s="38" t="n">
        <f aca="false">'2026 Forecast C'!J308</f>
        <v>3.15466234357281</v>
      </c>
      <c r="K358" s="18" t="n">
        <f aca="false">'2026 Forecast A'!F308</f>
        <v>701</v>
      </c>
      <c r="L358" s="39" t="str">
        <f aca="false">IF(OR(AND(D358&gt;0.5,E358&gt;0.5,F358&gt;0.5),AND(D358&lt;0.5,E358&lt;0.5,F358&lt;0.5)),"Yes","No — toss-up")</f>
        <v>Yes</v>
      </c>
    </row>
    <row r="359" customFormat="false" ht="15" hidden="false" customHeight="false" outlineLevel="0" collapsed="false">
      <c r="A359" s="9" t="str">
        <f aca="false">'2026 Forecast A'!A309</f>
        <v>Northampton</v>
      </c>
      <c r="B359" s="9" t="str">
        <f aca="false">'2026 Forecast A'!B309</f>
        <v>HELLERTOWN</v>
      </c>
      <c r="C359" s="9" t="str">
        <f aca="false">'2026 Forecast A'!C309</f>
        <v>HELLERTOWN BORO 3RD WARD</v>
      </c>
      <c r="D359" s="10" t="n">
        <f aca="false">'2026 Forecast A'!G309</f>
        <v>0.530973451327434</v>
      </c>
      <c r="E359" s="10" t="n">
        <f aca="false">'2026 Forecast B'!G309</f>
        <v>0.532940019665683</v>
      </c>
      <c r="F359" s="10" t="n">
        <f aca="false">'2026 Forecast C'!G309</f>
        <v>0.533923303834808</v>
      </c>
      <c r="G359" s="38" t="n">
        <f aca="false">(MAX(D359:F359)-MIN(D359:F359))*100</f>
        <v>0.294985250737456</v>
      </c>
      <c r="H359" s="38" t="n">
        <f aca="false">'2026 Forecast A'!J309</f>
        <v>1.80877416096373</v>
      </c>
      <c r="I359" s="38" t="n">
        <f aca="false">'2026 Forecast B'!J309</f>
        <v>1.9254971424187</v>
      </c>
      <c r="J359" s="38" t="n">
        <f aca="false">'2026 Forecast C'!J309</f>
        <v>1.88510957763259</v>
      </c>
      <c r="K359" s="18" t="n">
        <f aca="false">'2026 Forecast A'!F309</f>
        <v>1017</v>
      </c>
      <c r="L359" s="39" t="str">
        <f aca="false">IF(OR(AND(D359&gt;0.5,E359&gt;0.5,F359&gt;0.5),AND(D359&lt;0.5,E359&lt;0.5,F359&lt;0.5)),"Yes","No — toss-up")</f>
        <v>Yes</v>
      </c>
    </row>
    <row r="360" customFormat="false" ht="15" hidden="false" customHeight="false" outlineLevel="0" collapsed="false">
      <c r="A360" s="9" t="str">
        <f aca="false">'2026 Forecast A'!A310</f>
        <v>Northampton</v>
      </c>
      <c r="B360" s="9" t="str">
        <f aca="false">'2026 Forecast A'!B310</f>
        <v>LEHIGH</v>
      </c>
      <c r="C360" s="9" t="str">
        <f aca="false">'2026 Forecast A'!C310</f>
        <v>LEHIGH TWSP - CENTRAL</v>
      </c>
      <c r="D360" s="10" t="n">
        <f aca="false">'2026 Forecast A'!G310</f>
        <v>0.350261389096341</v>
      </c>
      <c r="E360" s="10" t="n">
        <f aca="false">'2026 Forecast B'!G310</f>
        <v>0.353248693054518</v>
      </c>
      <c r="F360" s="10" t="n">
        <f aca="false">'2026 Forecast C'!G310</f>
        <v>0.343539955190441</v>
      </c>
      <c r="G360" s="38" t="n">
        <f aca="false">(MAX(D360:F360)-MIN(D360:F360))*100</f>
        <v>0.970873786407767</v>
      </c>
      <c r="H360" s="38" t="n">
        <f aca="false">'2026 Forecast A'!J310</f>
        <v>1.24981746705324</v>
      </c>
      <c r="I360" s="38" t="n">
        <f aca="false">'2026 Forecast B'!J310</f>
        <v>1.86991787188303</v>
      </c>
      <c r="J360" s="38" t="n">
        <f aca="false">'2026 Forecast C'!J310</f>
        <v>1.24424911322721</v>
      </c>
      <c r="K360" s="18" t="n">
        <f aca="false">'2026 Forecast A'!F310</f>
        <v>1339</v>
      </c>
      <c r="L360" s="39" t="str">
        <f aca="false">IF(OR(AND(D360&gt;0.5,E360&gt;0.5,F360&gt;0.5),AND(D360&lt;0.5,E360&lt;0.5,F360&lt;0.5)),"Yes","No — toss-up")</f>
        <v>Yes</v>
      </c>
    </row>
    <row r="361" customFormat="false" ht="15" hidden="false" customHeight="false" outlineLevel="0" collapsed="false">
      <c r="A361" s="9" t="str">
        <f aca="false">'2026 Forecast A'!A311</f>
        <v>Northampton</v>
      </c>
      <c r="B361" s="9" t="str">
        <f aca="false">'2026 Forecast A'!B311</f>
        <v>LEHIGH</v>
      </c>
      <c r="C361" s="9" t="str">
        <f aca="false">'2026 Forecast A'!C311</f>
        <v>LEHIGH TWSP - DANIELSVILLE</v>
      </c>
      <c r="D361" s="10" t="n">
        <f aca="false">'2026 Forecast A'!G311</f>
        <v>0.353177257525084</v>
      </c>
      <c r="E361" s="10" t="n">
        <f aca="false">'2026 Forecast B'!G311</f>
        <v>0.354515050167224</v>
      </c>
      <c r="F361" s="10" t="n">
        <f aca="false">'2026 Forecast C'!G311</f>
        <v>0.347826086956522</v>
      </c>
      <c r="G361" s="38" t="n">
        <f aca="false">(MAX(D361:F361)-MIN(D361:F361))*100</f>
        <v>0.668896321070234</v>
      </c>
      <c r="H361" s="38" t="n">
        <f aca="false">'2026 Forecast A'!J311</f>
        <v>1.24981746705324</v>
      </c>
      <c r="I361" s="38" t="n">
        <f aca="false">'2026 Forecast B'!J311</f>
        <v>1.86991787188303</v>
      </c>
      <c r="J361" s="38" t="n">
        <f aca="false">'2026 Forecast C'!J311</f>
        <v>1.24424911322721</v>
      </c>
      <c r="K361" s="18" t="n">
        <f aca="false">'2026 Forecast A'!F311</f>
        <v>1495</v>
      </c>
      <c r="L361" s="39" t="str">
        <f aca="false">IF(OR(AND(D361&gt;0.5,E361&gt;0.5,F361&gt;0.5),AND(D361&lt;0.5,E361&lt;0.5,F361&lt;0.5)),"Yes","No — toss-up")</f>
        <v>Yes</v>
      </c>
    </row>
    <row r="362" customFormat="false" ht="15" hidden="false" customHeight="false" outlineLevel="0" collapsed="false">
      <c r="A362" s="9" t="str">
        <f aca="false">'2026 Forecast A'!A312</f>
        <v>Northampton</v>
      </c>
      <c r="B362" s="9" t="str">
        <f aca="false">'2026 Forecast A'!B312</f>
        <v>LEHIGH</v>
      </c>
      <c r="C362" s="9" t="str">
        <f aca="false">'2026 Forecast A'!C312</f>
        <v>LEHIGH TWSP - NORTHWESTERN</v>
      </c>
      <c r="D362" s="10" t="n">
        <f aca="false">'2026 Forecast A'!G312</f>
        <v>0.317647058823529</v>
      </c>
      <c r="E362" s="10" t="n">
        <f aca="false">'2026 Forecast B'!G312</f>
        <v>0.325490196078431</v>
      </c>
      <c r="F362" s="10" t="n">
        <f aca="false">'2026 Forecast C'!G312</f>
        <v>0.309803921568627</v>
      </c>
      <c r="G362" s="38" t="n">
        <f aca="false">(MAX(D362:F362)-MIN(D362:F362))*100</f>
        <v>1.56862745098039</v>
      </c>
      <c r="H362" s="38" t="n">
        <f aca="false">'2026 Forecast A'!J312</f>
        <v>3.02363014511423</v>
      </c>
      <c r="I362" s="38" t="n">
        <f aca="false">'2026 Forecast B'!J312</f>
        <v>2.87918965002339</v>
      </c>
      <c r="J362" s="38" t="n">
        <f aca="false">'2026 Forecast C'!J312</f>
        <v>3.15466234357281</v>
      </c>
      <c r="K362" s="18" t="n">
        <f aca="false">'2026 Forecast A'!F312</f>
        <v>510</v>
      </c>
      <c r="L362" s="39" t="str">
        <f aca="false">IF(OR(AND(D362&gt;0.5,E362&gt;0.5,F362&gt;0.5),AND(D362&lt;0.5,E362&lt;0.5,F362&lt;0.5)),"Yes","No — toss-up")</f>
        <v>Yes</v>
      </c>
    </row>
    <row r="363" customFormat="false" ht="15" hidden="false" customHeight="false" outlineLevel="0" collapsed="false">
      <c r="A363" s="9" t="str">
        <f aca="false">'2026 Forecast A'!A313</f>
        <v>Northampton</v>
      </c>
      <c r="B363" s="9" t="str">
        <f aca="false">'2026 Forecast A'!B313</f>
        <v>LEHIGH</v>
      </c>
      <c r="C363" s="9" t="str">
        <f aca="false">'2026 Forecast A'!C313</f>
        <v>LEHIGH TWSP - PENNSVILLE</v>
      </c>
      <c r="D363" s="10" t="n">
        <f aca="false">'2026 Forecast A'!G313</f>
        <v>0.357450473729543</v>
      </c>
      <c r="E363" s="10" t="n">
        <f aca="false">'2026 Forecast B'!G313</f>
        <v>0.360034453057709</v>
      </c>
      <c r="F363" s="10" t="n">
        <f aca="false">'2026 Forecast C'!G313</f>
        <v>0.351421188630491</v>
      </c>
      <c r="G363" s="38" t="n">
        <f aca="false">(MAX(D363:F363)-MIN(D363:F363))*100</f>
        <v>0.861326442721794</v>
      </c>
      <c r="H363" s="38" t="n">
        <f aca="false">'2026 Forecast A'!J313</f>
        <v>1.80877416096373</v>
      </c>
      <c r="I363" s="38" t="n">
        <f aca="false">'2026 Forecast B'!J313</f>
        <v>1.9254971424187</v>
      </c>
      <c r="J363" s="38" t="n">
        <f aca="false">'2026 Forecast C'!J313</f>
        <v>1.88510957763259</v>
      </c>
      <c r="K363" s="18" t="n">
        <f aca="false">'2026 Forecast A'!F313</f>
        <v>1161</v>
      </c>
      <c r="L363" s="39" t="str">
        <f aca="false">IF(OR(AND(D363&gt;0.5,E363&gt;0.5,F363&gt;0.5),AND(D363&lt;0.5,E363&lt;0.5,F363&lt;0.5)),"Yes","No — toss-up")</f>
        <v>Yes</v>
      </c>
    </row>
    <row r="364" customFormat="false" ht="15" hidden="false" customHeight="false" outlineLevel="0" collapsed="false">
      <c r="A364" s="9" t="str">
        <f aca="false">'2026 Forecast A'!A314</f>
        <v>Northampton</v>
      </c>
      <c r="B364" s="9" t="str">
        <f aca="false">'2026 Forecast A'!B314</f>
        <v>LEHIGH</v>
      </c>
      <c r="C364" s="9" t="str">
        <f aca="false">'2026 Forecast A'!C314</f>
        <v>LEHIGH TWSP - TREICHLERS</v>
      </c>
      <c r="D364" s="10" t="n">
        <f aca="false">'2026 Forecast A'!G314</f>
        <v>0.364945978391357</v>
      </c>
      <c r="E364" s="10" t="n">
        <f aca="false">'2026 Forecast B'!G314</f>
        <v>0.362545018007203</v>
      </c>
      <c r="F364" s="10" t="n">
        <f aca="false">'2026 Forecast C'!G314</f>
        <v>0.358943577430972</v>
      </c>
      <c r="G364" s="38" t="n">
        <f aca="false">(MAX(D364:F364)-MIN(D364:F364))*100</f>
        <v>0.600240096038418</v>
      </c>
      <c r="H364" s="38" t="n">
        <f aca="false">'2026 Forecast A'!J314</f>
        <v>1.80877416096373</v>
      </c>
      <c r="I364" s="38" t="n">
        <f aca="false">'2026 Forecast B'!J314</f>
        <v>1.9254971424187</v>
      </c>
      <c r="J364" s="38" t="n">
        <f aca="false">'2026 Forecast C'!J314</f>
        <v>1.88510957763259</v>
      </c>
      <c r="K364" s="18" t="n">
        <f aca="false">'2026 Forecast A'!F314</f>
        <v>833</v>
      </c>
      <c r="L364" s="39" t="str">
        <f aca="false">IF(OR(AND(D364&gt;0.5,E364&gt;0.5,F364&gt;0.5),AND(D364&lt;0.5,E364&lt;0.5,F364&lt;0.5)),"Yes","No — toss-up")</f>
        <v>Yes</v>
      </c>
    </row>
    <row r="365" customFormat="false" ht="15" hidden="false" customHeight="false" outlineLevel="0" collapsed="false">
      <c r="A365" s="9" t="str">
        <f aca="false">'2026 Forecast A'!A315</f>
        <v>Northampton</v>
      </c>
      <c r="B365" s="9" t="str">
        <f aca="false">'2026 Forecast A'!B315</f>
        <v>LOWER MOUNT BETHEL</v>
      </c>
      <c r="C365" s="9" t="str">
        <f aca="false">'2026 Forecast A'!C315</f>
        <v>LOWER MT BETHEL - LOWER</v>
      </c>
      <c r="D365" s="10" t="n">
        <f aca="false">'2026 Forecast A'!G315</f>
        <v>0.362105263157895</v>
      </c>
      <c r="E365" s="10" t="n">
        <f aca="false">'2026 Forecast B'!G315</f>
        <v>0.36</v>
      </c>
      <c r="F365" s="10" t="n">
        <f aca="false">'2026 Forecast C'!G315</f>
        <v>0.36</v>
      </c>
      <c r="G365" s="38" t="n">
        <f aca="false">(MAX(D365:F365)-MIN(D365:F365))*100</f>
        <v>0.210526315789478</v>
      </c>
      <c r="H365" s="38" t="n">
        <f aca="false">'2026 Forecast A'!J315</f>
        <v>3.02363014511423</v>
      </c>
      <c r="I365" s="38" t="n">
        <f aca="false">'2026 Forecast B'!J315</f>
        <v>2.87918965002339</v>
      </c>
      <c r="J365" s="38" t="n">
        <f aca="false">'2026 Forecast C'!J315</f>
        <v>3.15466234357281</v>
      </c>
      <c r="K365" s="18" t="n">
        <f aca="false">'2026 Forecast A'!F315</f>
        <v>475</v>
      </c>
      <c r="L365" s="39" t="str">
        <f aca="false">IF(OR(AND(D365&gt;0.5,E365&gt;0.5,F365&gt;0.5),AND(D365&lt;0.5,E365&lt;0.5,F365&lt;0.5)),"Yes","No — toss-up")</f>
        <v>Yes</v>
      </c>
    </row>
    <row r="366" customFormat="false" ht="15" hidden="false" customHeight="false" outlineLevel="0" collapsed="false">
      <c r="A366" s="9" t="str">
        <f aca="false">'2026 Forecast A'!A316</f>
        <v>Northampton</v>
      </c>
      <c r="B366" s="9" t="str">
        <f aca="false">'2026 Forecast A'!B316</f>
        <v>LOWER MOUNT BETHEL</v>
      </c>
      <c r="C366" s="9" t="str">
        <f aca="false">'2026 Forecast A'!C316</f>
        <v>LOWER MT BETHEL - UPPER</v>
      </c>
      <c r="D366" s="10" t="n">
        <f aca="false">'2026 Forecast A'!G316</f>
        <v>0.339366515837104</v>
      </c>
      <c r="E366" s="10" t="n">
        <f aca="false">'2026 Forecast B'!G316</f>
        <v>0.338235294117647</v>
      </c>
      <c r="F366" s="10" t="n">
        <f aca="false">'2026 Forecast C'!G316</f>
        <v>0.333710407239819</v>
      </c>
      <c r="G366" s="38" t="n">
        <f aca="false">(MAX(D366:F366)-MIN(D366:F366))*100</f>
        <v>0.56561085972851</v>
      </c>
      <c r="H366" s="38" t="n">
        <f aca="false">'2026 Forecast A'!J316</f>
        <v>1.80877416096373</v>
      </c>
      <c r="I366" s="38" t="n">
        <f aca="false">'2026 Forecast B'!J316</f>
        <v>1.9254971424187</v>
      </c>
      <c r="J366" s="38" t="n">
        <f aca="false">'2026 Forecast C'!J316</f>
        <v>1.88510957763259</v>
      </c>
      <c r="K366" s="18" t="n">
        <f aca="false">'2026 Forecast A'!F316</f>
        <v>884</v>
      </c>
      <c r="L366" s="39" t="str">
        <f aca="false">IF(OR(AND(D366&gt;0.5,E366&gt;0.5,F366&gt;0.5),AND(D366&lt;0.5,E366&lt;0.5,F366&lt;0.5)),"Yes","No — toss-up")</f>
        <v>Yes</v>
      </c>
    </row>
    <row r="367" customFormat="false" ht="15" hidden="false" customHeight="false" outlineLevel="0" collapsed="false">
      <c r="A367" s="9" t="str">
        <f aca="false">'2026 Forecast A'!A317</f>
        <v>Northampton</v>
      </c>
      <c r="B367" s="9" t="str">
        <f aca="false">'2026 Forecast A'!B317</f>
        <v>LOWER NAZARETH</v>
      </c>
      <c r="C367" s="9" t="str">
        <f aca="false">'2026 Forecast A'!C317</f>
        <v>LOWER NAZARETH EAST</v>
      </c>
      <c r="D367" s="10" t="n">
        <f aca="false">'2026 Forecast A'!G317</f>
        <v>0.420454545454545</v>
      </c>
      <c r="E367" s="10" t="n">
        <f aca="false">'2026 Forecast B'!G317</f>
        <v>0.420454545454545</v>
      </c>
      <c r="F367" s="10" t="n">
        <f aca="false">'2026 Forecast C'!G317</f>
        <v>0.420454545454545</v>
      </c>
      <c r="G367" s="38" t="n">
        <f aca="false">(MAX(D367:F367)-MIN(D367:F367))*100</f>
        <v>0</v>
      </c>
      <c r="H367" s="38" t="n">
        <f aca="false">'2026 Forecast A'!J317</f>
        <v>3.02363014511423</v>
      </c>
      <c r="I367" s="38" t="n">
        <f aca="false">'2026 Forecast B'!J317</f>
        <v>2.87918965002339</v>
      </c>
      <c r="J367" s="38" t="n">
        <f aca="false">'2026 Forecast C'!J317</f>
        <v>3.15466234357281</v>
      </c>
      <c r="K367" s="18" t="n">
        <f aca="false">'2026 Forecast A'!F317</f>
        <v>88</v>
      </c>
      <c r="L367" s="39" t="str">
        <f aca="false">IF(OR(AND(D367&gt;0.5,E367&gt;0.5,F367&gt;0.5),AND(D367&lt;0.5,E367&lt;0.5,F367&lt;0.5)),"Yes","No — toss-up")</f>
        <v>Yes</v>
      </c>
    </row>
    <row r="368" customFormat="false" ht="15" hidden="false" customHeight="false" outlineLevel="0" collapsed="false">
      <c r="A368" s="9" t="str">
        <f aca="false">'2026 Forecast A'!A318</f>
        <v>Northampton</v>
      </c>
      <c r="B368" s="9" t="str">
        <f aca="false">'2026 Forecast A'!B318</f>
        <v>LOWER NAZARETH</v>
      </c>
      <c r="C368" s="9" t="str">
        <f aca="false">'2026 Forecast A'!C318</f>
        <v>LOWER NAZARETH NORTH</v>
      </c>
      <c r="D368" s="10" t="n">
        <f aca="false">'2026 Forecast A'!G318</f>
        <v>0.481255448997385</v>
      </c>
      <c r="E368" s="10" t="n">
        <f aca="false">'2026 Forecast B'!G318</f>
        <v>0.483870967741936</v>
      </c>
      <c r="F368" s="10" t="n">
        <f aca="false">'2026 Forecast C'!G318</f>
        <v>0.475152571926765</v>
      </c>
      <c r="G368" s="38" t="n">
        <f aca="false">(MAX(D368:F368)-MIN(D368:F368))*100</f>
        <v>0.871839581517003</v>
      </c>
      <c r="H368" s="38" t="n">
        <f aca="false">'2026 Forecast A'!J318</f>
        <v>1.80877416096373</v>
      </c>
      <c r="I368" s="38" t="n">
        <f aca="false">'2026 Forecast B'!J318</f>
        <v>1.9254971424187</v>
      </c>
      <c r="J368" s="38" t="n">
        <f aca="false">'2026 Forecast C'!J318</f>
        <v>1.88510957763259</v>
      </c>
      <c r="K368" s="18" t="n">
        <f aca="false">'2026 Forecast A'!F318</f>
        <v>1147</v>
      </c>
      <c r="L368" s="39" t="str">
        <f aca="false">IF(OR(AND(D368&gt;0.5,E368&gt;0.5,F368&gt;0.5),AND(D368&lt;0.5,E368&lt;0.5,F368&lt;0.5)),"Yes","No — toss-up")</f>
        <v>Yes</v>
      </c>
    </row>
    <row r="369" customFormat="false" ht="15" hidden="false" customHeight="false" outlineLevel="0" collapsed="false">
      <c r="A369" s="9" t="str">
        <f aca="false">'2026 Forecast A'!A319</f>
        <v>Northampton</v>
      </c>
      <c r="B369" s="9" t="str">
        <f aca="false">'2026 Forecast A'!B319</f>
        <v>LOWER NAZARETH</v>
      </c>
      <c r="C369" s="9" t="str">
        <f aca="false">'2026 Forecast A'!C319</f>
        <v>LOWER NAZARETH SOUTH</v>
      </c>
      <c r="D369" s="10" t="n">
        <f aca="false">'2026 Forecast A'!G319</f>
        <v>0.444558521560575</v>
      </c>
      <c r="E369" s="10" t="n">
        <f aca="false">'2026 Forecast B'!G319</f>
        <v>0.4435318275154</v>
      </c>
      <c r="F369" s="10" t="n">
        <f aca="false">'2026 Forecast C'!G319</f>
        <v>0.4435318275154</v>
      </c>
      <c r="G369" s="38" t="n">
        <f aca="false">(MAX(D369:F369)-MIN(D369:F369))*100</f>
        <v>0.102669404517453</v>
      </c>
      <c r="H369" s="38" t="n">
        <f aca="false">'2026 Forecast A'!J319</f>
        <v>1.80877416096373</v>
      </c>
      <c r="I369" s="38" t="n">
        <f aca="false">'2026 Forecast B'!J319</f>
        <v>1.9254971424187</v>
      </c>
      <c r="J369" s="38" t="n">
        <f aca="false">'2026 Forecast C'!J319</f>
        <v>1.88510957763259</v>
      </c>
      <c r="K369" s="18" t="n">
        <f aca="false">'2026 Forecast A'!F319</f>
        <v>974</v>
      </c>
      <c r="L369" s="39" t="str">
        <f aca="false">IF(OR(AND(D369&gt;0.5,E369&gt;0.5,F369&gt;0.5),AND(D369&lt;0.5,E369&lt;0.5,F369&lt;0.5)),"Yes","No — toss-up")</f>
        <v>Yes</v>
      </c>
    </row>
    <row r="370" customFormat="false" ht="15" hidden="false" customHeight="false" outlineLevel="0" collapsed="false">
      <c r="A370" s="9" t="str">
        <f aca="false">'2026 Forecast A'!A320</f>
        <v>Northampton</v>
      </c>
      <c r="B370" s="9" t="str">
        <f aca="false">'2026 Forecast A'!B320</f>
        <v>LOWER NAZARETH</v>
      </c>
      <c r="C370" s="9" t="str">
        <f aca="false">'2026 Forecast A'!C320</f>
        <v>LOWER NAZARETH WEST</v>
      </c>
      <c r="D370" s="10" t="n">
        <f aca="false">'2026 Forecast A'!G320</f>
        <v>0.452380952380952</v>
      </c>
      <c r="E370" s="10" t="n">
        <f aca="false">'2026 Forecast B'!G320</f>
        <v>0.458553791887125</v>
      </c>
      <c r="F370" s="10" t="n">
        <f aca="false">'2026 Forecast C'!G320</f>
        <v>0.443562610229277</v>
      </c>
      <c r="G370" s="38" t="n">
        <f aca="false">(MAX(D370:F370)-MIN(D370:F370))*100</f>
        <v>1.49911816578483</v>
      </c>
      <c r="H370" s="38" t="n">
        <f aca="false">'2026 Forecast A'!J320</f>
        <v>1.80877416096373</v>
      </c>
      <c r="I370" s="38" t="n">
        <f aca="false">'2026 Forecast B'!J320</f>
        <v>1.9254971424187</v>
      </c>
      <c r="J370" s="38" t="n">
        <f aca="false">'2026 Forecast C'!J320</f>
        <v>1.88510957763259</v>
      </c>
      <c r="K370" s="18" t="n">
        <f aca="false">'2026 Forecast A'!F320</f>
        <v>1134</v>
      </c>
      <c r="L370" s="39" t="str">
        <f aca="false">IF(OR(AND(D370&gt;0.5,E370&gt;0.5,F370&gt;0.5),AND(D370&lt;0.5,E370&lt;0.5,F370&lt;0.5)),"Yes","No — toss-up")</f>
        <v>Yes</v>
      </c>
    </row>
    <row r="371" customFormat="false" ht="15" hidden="false" customHeight="false" outlineLevel="0" collapsed="false">
      <c r="A371" s="9" t="str">
        <f aca="false">'2026 Forecast A'!A321</f>
        <v>Northampton</v>
      </c>
      <c r="B371" s="9" t="str">
        <f aca="false">'2026 Forecast A'!B321</f>
        <v>LOWER SAUCON</v>
      </c>
      <c r="C371" s="9" t="str">
        <f aca="false">'2026 Forecast A'!C321</f>
        <v>LOWER SAUCON TWSP - 1</v>
      </c>
      <c r="D371" s="10" t="n">
        <f aca="false">'2026 Forecast A'!G321</f>
        <v>0.526595744680851</v>
      </c>
      <c r="E371" s="10" t="n">
        <f aca="false">'2026 Forecast B'!G321</f>
        <v>0.511702127659575</v>
      </c>
      <c r="F371" s="10" t="n">
        <f aca="false">'2026 Forecast C'!G321</f>
        <v>0.530851063829787</v>
      </c>
      <c r="G371" s="38" t="n">
        <f aca="false">(MAX(D371:F371)-MIN(D371:F371))*100</f>
        <v>1.91489361702127</v>
      </c>
      <c r="H371" s="38" t="n">
        <f aca="false">'2026 Forecast A'!J321</f>
        <v>1.80877416096373</v>
      </c>
      <c r="I371" s="38" t="n">
        <f aca="false">'2026 Forecast B'!J321</f>
        <v>1.9254971424187</v>
      </c>
      <c r="J371" s="38" t="n">
        <f aca="false">'2026 Forecast C'!J321</f>
        <v>1.88510957763259</v>
      </c>
      <c r="K371" s="18" t="n">
        <f aca="false">'2026 Forecast A'!F321</f>
        <v>940</v>
      </c>
      <c r="L371" s="39" t="str">
        <f aca="false">IF(OR(AND(D371&gt;0.5,E371&gt;0.5,F371&gt;0.5),AND(D371&lt;0.5,E371&lt;0.5,F371&lt;0.5)),"Yes","No — toss-up")</f>
        <v>Yes</v>
      </c>
    </row>
    <row r="372" customFormat="false" ht="15" hidden="false" customHeight="false" outlineLevel="0" collapsed="false">
      <c r="A372" s="9" t="str">
        <f aca="false">'2026 Forecast A'!A322</f>
        <v>Northampton</v>
      </c>
      <c r="B372" s="9" t="str">
        <f aca="false">'2026 Forecast A'!B322</f>
        <v>LOWER SAUCON</v>
      </c>
      <c r="C372" s="9" t="str">
        <f aca="false">'2026 Forecast A'!C322</f>
        <v>LOWER SAUCON TWSP - 2</v>
      </c>
      <c r="D372" s="10" t="n">
        <f aca="false">'2026 Forecast A'!G322</f>
        <v>0.44139650872818</v>
      </c>
      <c r="E372" s="10" t="n">
        <f aca="false">'2026 Forecast B'!G322</f>
        <v>0.443059019118869</v>
      </c>
      <c r="F372" s="10" t="n">
        <f aca="false">'2026 Forecast C'!G322</f>
        <v>0.44139650872818</v>
      </c>
      <c r="G372" s="38" t="n">
        <f aca="false">(MAX(D372:F372)-MIN(D372:F372))*100</f>
        <v>0.166251039068993</v>
      </c>
      <c r="H372" s="38" t="n">
        <f aca="false">'2026 Forecast A'!J322</f>
        <v>1.24981746705324</v>
      </c>
      <c r="I372" s="38" t="n">
        <f aca="false">'2026 Forecast B'!J322</f>
        <v>1.86991787188303</v>
      </c>
      <c r="J372" s="38" t="n">
        <f aca="false">'2026 Forecast C'!J322</f>
        <v>1.24424911322721</v>
      </c>
      <c r="K372" s="18" t="n">
        <f aca="false">'2026 Forecast A'!F322</f>
        <v>1203</v>
      </c>
      <c r="L372" s="39" t="str">
        <f aca="false">IF(OR(AND(D372&gt;0.5,E372&gt;0.5,F372&gt;0.5),AND(D372&lt;0.5,E372&lt;0.5,F372&lt;0.5)),"Yes","No — toss-up")</f>
        <v>Yes</v>
      </c>
    </row>
    <row r="373" customFormat="false" ht="15" hidden="false" customHeight="false" outlineLevel="0" collapsed="false">
      <c r="A373" s="9" t="str">
        <f aca="false">'2026 Forecast A'!A323</f>
        <v>Northampton</v>
      </c>
      <c r="B373" s="9" t="str">
        <f aca="false">'2026 Forecast A'!B323</f>
        <v>LOWER SAUCON</v>
      </c>
      <c r="C373" s="9" t="str">
        <f aca="false">'2026 Forecast A'!C323</f>
        <v>LOWER SAUCON TWSP - 3</v>
      </c>
      <c r="D373" s="10" t="n">
        <f aca="false">'2026 Forecast A'!G323</f>
        <v>0.416606498194946</v>
      </c>
      <c r="E373" s="10" t="n">
        <f aca="false">'2026 Forecast B'!G323</f>
        <v>0.406498194945848</v>
      </c>
      <c r="F373" s="10" t="n">
        <f aca="false">'2026 Forecast C'!G323</f>
        <v>0.416606498194946</v>
      </c>
      <c r="G373" s="38" t="n">
        <f aca="false">(MAX(D373:F373)-MIN(D373:F373))*100</f>
        <v>1.01083032490975</v>
      </c>
      <c r="H373" s="38" t="n">
        <f aca="false">'2026 Forecast A'!J323</f>
        <v>1.24981746705324</v>
      </c>
      <c r="I373" s="38" t="n">
        <f aca="false">'2026 Forecast B'!J323</f>
        <v>1.86991787188303</v>
      </c>
      <c r="J373" s="38" t="n">
        <f aca="false">'2026 Forecast C'!J323</f>
        <v>1.24424911322721</v>
      </c>
      <c r="K373" s="18" t="n">
        <f aca="false">'2026 Forecast A'!F323</f>
        <v>1385</v>
      </c>
      <c r="L373" s="39" t="str">
        <f aca="false">IF(OR(AND(D373&gt;0.5,E373&gt;0.5,F373&gt;0.5),AND(D373&lt;0.5,E373&lt;0.5,F373&lt;0.5)),"Yes","No — toss-up")</f>
        <v>Yes</v>
      </c>
    </row>
    <row r="374" customFormat="false" ht="15" hidden="false" customHeight="false" outlineLevel="0" collapsed="false">
      <c r="A374" s="9" t="str">
        <f aca="false">'2026 Forecast A'!A324</f>
        <v>Northampton</v>
      </c>
      <c r="B374" s="9" t="str">
        <f aca="false">'2026 Forecast A'!B324</f>
        <v>LOWER SAUCON</v>
      </c>
      <c r="C374" s="9" t="str">
        <f aca="false">'2026 Forecast A'!C324</f>
        <v>LOWER SAUCON TWSP - 4</v>
      </c>
      <c r="D374" s="10" t="n">
        <f aca="false">'2026 Forecast A'!G324</f>
        <v>0.521320495185695</v>
      </c>
      <c r="E374" s="10" t="n">
        <f aca="false">'2026 Forecast B'!G324</f>
        <v>0.519944979367263</v>
      </c>
      <c r="F374" s="10" t="n">
        <f aca="false">'2026 Forecast C'!G324</f>
        <v>0.524071526822558</v>
      </c>
      <c r="G374" s="38" t="n">
        <f aca="false">(MAX(D374:F374)-MIN(D374:F374))*100</f>
        <v>0.412654745529573</v>
      </c>
      <c r="H374" s="38" t="n">
        <f aca="false">'2026 Forecast A'!J324</f>
        <v>3.02363014511423</v>
      </c>
      <c r="I374" s="38" t="n">
        <f aca="false">'2026 Forecast B'!J324</f>
        <v>2.87918965002339</v>
      </c>
      <c r="J374" s="38" t="n">
        <f aca="false">'2026 Forecast C'!J324</f>
        <v>3.15466234357281</v>
      </c>
      <c r="K374" s="18" t="n">
        <f aca="false">'2026 Forecast A'!F324</f>
        <v>727</v>
      </c>
      <c r="L374" s="39" t="str">
        <f aca="false">IF(OR(AND(D374&gt;0.5,E374&gt;0.5,F374&gt;0.5),AND(D374&lt;0.5,E374&lt;0.5,F374&lt;0.5)),"Yes","No — toss-up")</f>
        <v>Yes</v>
      </c>
    </row>
    <row r="375" customFormat="false" ht="15" hidden="false" customHeight="false" outlineLevel="0" collapsed="false">
      <c r="A375" s="9" t="str">
        <f aca="false">'2026 Forecast A'!A325</f>
        <v>Northampton</v>
      </c>
      <c r="B375" s="9" t="str">
        <f aca="false">'2026 Forecast A'!B325</f>
        <v>LOWER SAUCON</v>
      </c>
      <c r="C375" s="9" t="str">
        <f aca="false">'2026 Forecast A'!C325</f>
        <v>LOWER SAUCON TWSP - 6</v>
      </c>
      <c r="D375" s="10" t="n">
        <f aca="false">'2026 Forecast A'!G325</f>
        <v>0.426713947990544</v>
      </c>
      <c r="E375" s="10" t="n">
        <f aca="false">'2026 Forecast B'!G325</f>
        <v>0.42080378250591</v>
      </c>
      <c r="F375" s="10" t="n">
        <f aca="false">'2026 Forecast C'!G325</f>
        <v>0.425531914893617</v>
      </c>
      <c r="G375" s="38" t="n">
        <f aca="false">(MAX(D375:F375)-MIN(D375:F375))*100</f>
        <v>0.591016548463358</v>
      </c>
      <c r="H375" s="38" t="n">
        <f aca="false">'2026 Forecast A'!J325</f>
        <v>1.80877416096373</v>
      </c>
      <c r="I375" s="38" t="n">
        <f aca="false">'2026 Forecast B'!J325</f>
        <v>1.9254971424187</v>
      </c>
      <c r="J375" s="38" t="n">
        <f aca="false">'2026 Forecast C'!J325</f>
        <v>1.88510957763259</v>
      </c>
      <c r="K375" s="18" t="n">
        <f aca="false">'2026 Forecast A'!F325</f>
        <v>846</v>
      </c>
      <c r="L375" s="39" t="str">
        <f aca="false">IF(OR(AND(D375&gt;0.5,E375&gt;0.5,F375&gt;0.5),AND(D375&lt;0.5,E375&lt;0.5,F375&lt;0.5)),"Yes","No — toss-up")</f>
        <v>Yes</v>
      </c>
    </row>
    <row r="376" customFormat="false" ht="15" hidden="false" customHeight="false" outlineLevel="0" collapsed="false">
      <c r="A376" s="9" t="str">
        <f aca="false">'2026 Forecast A'!A326</f>
        <v>Northampton</v>
      </c>
      <c r="B376" s="9" t="str">
        <f aca="false">'2026 Forecast A'!B326</f>
        <v>LOWER SAUCON</v>
      </c>
      <c r="C376" s="9" t="str">
        <f aca="false">'2026 Forecast A'!C326</f>
        <v>LOWER SAUCON TWSP - 7</v>
      </c>
      <c r="D376" s="10" t="n">
        <f aca="false">'2026 Forecast A'!G326</f>
        <v>0.472524327418432</v>
      </c>
      <c r="E376" s="10" t="n">
        <f aca="false">'2026 Forecast B'!G326</f>
        <v>0.461076130509445</v>
      </c>
      <c r="F376" s="10" t="n">
        <f aca="false">'2026 Forecast C'!G326</f>
        <v>0.471093302804808</v>
      </c>
      <c r="G376" s="38" t="n">
        <f aca="false">(MAX(D376:F376)-MIN(D376:F376))*100</f>
        <v>1.14481969089869</v>
      </c>
      <c r="H376" s="38" t="n">
        <f aca="false">'2026 Forecast A'!J326</f>
        <v>1.24981746705324</v>
      </c>
      <c r="I376" s="38" t="n">
        <f aca="false">'2026 Forecast B'!J326</f>
        <v>1.86991787188303</v>
      </c>
      <c r="J376" s="38" t="n">
        <f aca="false">'2026 Forecast C'!J326</f>
        <v>1.24424911322721</v>
      </c>
      <c r="K376" s="18" t="n">
        <f aca="false">'2026 Forecast A'!F326</f>
        <v>3494</v>
      </c>
      <c r="L376" s="39" t="str">
        <f aca="false">IF(OR(AND(D376&gt;0.5,E376&gt;0.5,F376&gt;0.5),AND(D376&lt;0.5,E376&lt;0.5,F376&lt;0.5)),"Yes","No — toss-up")</f>
        <v>Yes</v>
      </c>
    </row>
    <row r="377" customFormat="false" ht="15" hidden="false" customHeight="false" outlineLevel="0" collapsed="false">
      <c r="A377" s="9" t="str">
        <f aca="false">'2026 Forecast A'!A327</f>
        <v>Northampton</v>
      </c>
      <c r="B377" s="9" t="str">
        <f aca="false">'2026 Forecast A'!B327</f>
        <v>MOORE</v>
      </c>
      <c r="C377" s="9" t="str">
        <f aca="false">'2026 Forecast A'!C327</f>
        <v>MOORE TWSP - BEERSVILLE</v>
      </c>
      <c r="D377" s="10" t="n">
        <f aca="false">'2026 Forecast A'!G327</f>
        <v>0.352941176470588</v>
      </c>
      <c r="E377" s="10" t="n">
        <f aca="false">'2026 Forecast B'!G327</f>
        <v>0.349789915966387</v>
      </c>
      <c r="F377" s="10" t="n">
        <f aca="false">'2026 Forecast C'!G327</f>
        <v>0.346638655462185</v>
      </c>
      <c r="G377" s="38" t="n">
        <f aca="false">(MAX(D377:F377)-MIN(D377:F377))*100</f>
        <v>0.630252100840339</v>
      </c>
      <c r="H377" s="38" t="n">
        <f aca="false">'2026 Forecast A'!J327</f>
        <v>1.80877416096373</v>
      </c>
      <c r="I377" s="38" t="n">
        <f aca="false">'2026 Forecast B'!J327</f>
        <v>1.9254971424187</v>
      </c>
      <c r="J377" s="38" t="n">
        <f aca="false">'2026 Forecast C'!J327</f>
        <v>1.88510957763259</v>
      </c>
      <c r="K377" s="18" t="n">
        <f aca="false">'2026 Forecast A'!F327</f>
        <v>952</v>
      </c>
      <c r="L377" s="39" t="str">
        <f aca="false">IF(OR(AND(D377&gt;0.5,E377&gt;0.5,F377&gt;0.5),AND(D377&lt;0.5,E377&lt;0.5,F377&lt;0.5)),"Yes","No — toss-up")</f>
        <v>Yes</v>
      </c>
    </row>
    <row r="378" customFormat="false" ht="15" hidden="false" customHeight="false" outlineLevel="0" collapsed="false">
      <c r="A378" s="9" t="str">
        <f aca="false">'2026 Forecast A'!A328</f>
        <v>Northampton</v>
      </c>
      <c r="B378" s="9" t="str">
        <f aca="false">'2026 Forecast A'!B328</f>
        <v>MOORE</v>
      </c>
      <c r="C378" s="9" t="str">
        <f aca="false">'2026 Forecast A'!C328</f>
        <v>MOORE TWSP - EASTERN</v>
      </c>
      <c r="D378" s="10" t="n">
        <f aca="false">'2026 Forecast A'!G328</f>
        <v>0.34853249475891</v>
      </c>
      <c r="E378" s="10" t="n">
        <f aca="false">'2026 Forecast B'!G328</f>
        <v>0.352201257861635</v>
      </c>
      <c r="F378" s="10" t="n">
        <f aca="false">'2026 Forecast C'!G328</f>
        <v>0.341719077568134</v>
      </c>
      <c r="G378" s="38" t="n">
        <f aca="false">(MAX(D378:F378)-MIN(D378:F378))*100</f>
        <v>1.0482180293501</v>
      </c>
      <c r="H378" s="38" t="n">
        <f aca="false">'2026 Forecast A'!J328</f>
        <v>1.24981746705324</v>
      </c>
      <c r="I378" s="38" t="n">
        <f aca="false">'2026 Forecast B'!J328</f>
        <v>1.86991787188303</v>
      </c>
      <c r="J378" s="38" t="n">
        <f aca="false">'2026 Forecast C'!J328</f>
        <v>1.24424911322721</v>
      </c>
      <c r="K378" s="18" t="n">
        <f aca="false">'2026 Forecast A'!F328</f>
        <v>1908</v>
      </c>
      <c r="L378" s="39" t="str">
        <f aca="false">IF(OR(AND(D378&gt;0.5,E378&gt;0.5,F378&gt;0.5),AND(D378&lt;0.5,E378&lt;0.5,F378&lt;0.5)),"Yes","No — toss-up")</f>
        <v>Yes</v>
      </c>
    </row>
    <row r="379" customFormat="false" ht="15" hidden="false" customHeight="false" outlineLevel="0" collapsed="false">
      <c r="A379" s="9" t="str">
        <f aca="false">'2026 Forecast A'!A329</f>
        <v>Northampton</v>
      </c>
      <c r="B379" s="9" t="str">
        <f aca="false">'2026 Forecast A'!B329</f>
        <v>MOORE</v>
      </c>
      <c r="C379" s="9" t="str">
        <f aca="false">'2026 Forecast A'!C329</f>
        <v>MOORE TWSP - KLECKNERSVILLE</v>
      </c>
      <c r="D379" s="10" t="n">
        <f aca="false">'2026 Forecast A'!G329</f>
        <v>0.32739420935412</v>
      </c>
      <c r="E379" s="10" t="n">
        <f aca="false">'2026 Forecast B'!G329</f>
        <v>0.328136599851522</v>
      </c>
      <c r="F379" s="10" t="n">
        <f aca="false">'2026 Forecast C'!G329</f>
        <v>0.320712694877506</v>
      </c>
      <c r="G379" s="38" t="n">
        <f aca="false">(MAX(D379:F379)-MIN(D379:F379))*100</f>
        <v>0.742390497401629</v>
      </c>
      <c r="H379" s="38" t="n">
        <f aca="false">'2026 Forecast A'!J329</f>
        <v>1.24981746705324</v>
      </c>
      <c r="I379" s="38" t="n">
        <f aca="false">'2026 Forecast B'!J329</f>
        <v>1.86991787188303</v>
      </c>
      <c r="J379" s="38" t="n">
        <f aca="false">'2026 Forecast C'!J329</f>
        <v>1.24424911322721</v>
      </c>
      <c r="K379" s="18" t="n">
        <f aca="false">'2026 Forecast A'!F329</f>
        <v>1347</v>
      </c>
      <c r="L379" s="39" t="str">
        <f aca="false">IF(OR(AND(D379&gt;0.5,E379&gt;0.5,F379&gt;0.5),AND(D379&lt;0.5,E379&lt;0.5,F379&lt;0.5)),"Yes","No — toss-up")</f>
        <v>Yes</v>
      </c>
    </row>
    <row r="380" customFormat="false" ht="15" hidden="false" customHeight="false" outlineLevel="0" collapsed="false">
      <c r="A380" s="9" t="str">
        <f aca="false">'2026 Forecast A'!A330</f>
        <v>Northampton</v>
      </c>
      <c r="B380" s="9" t="str">
        <f aca="false">'2026 Forecast A'!B330</f>
        <v>MOORE</v>
      </c>
      <c r="C380" s="9" t="str">
        <f aca="false">'2026 Forecast A'!C330</f>
        <v>MOORE TWSP - POINT PHILLIPS</v>
      </c>
      <c r="D380" s="10" t="n">
        <f aca="false">'2026 Forecast A'!G330</f>
        <v>0.3296875</v>
      </c>
      <c r="E380" s="10" t="n">
        <f aca="false">'2026 Forecast B'!G330</f>
        <v>0.3375</v>
      </c>
      <c r="F380" s="10" t="n">
        <f aca="false">'2026 Forecast C'!G330</f>
        <v>0.321875</v>
      </c>
      <c r="G380" s="38" t="n">
        <f aca="false">(MAX(D380:F380)-MIN(D380:F380))*100</f>
        <v>1.5625</v>
      </c>
      <c r="H380" s="38" t="n">
        <f aca="false">'2026 Forecast A'!J330</f>
        <v>3.02363014511423</v>
      </c>
      <c r="I380" s="38" t="n">
        <f aca="false">'2026 Forecast B'!J330</f>
        <v>2.87918965002339</v>
      </c>
      <c r="J380" s="38" t="n">
        <f aca="false">'2026 Forecast C'!J330</f>
        <v>3.15466234357281</v>
      </c>
      <c r="K380" s="18" t="n">
        <f aca="false">'2026 Forecast A'!F330</f>
        <v>640</v>
      </c>
      <c r="L380" s="39" t="str">
        <f aca="false">IF(OR(AND(D380&gt;0.5,E380&gt;0.5,F380&gt;0.5),AND(D380&lt;0.5,E380&lt;0.5,F380&lt;0.5)),"Yes","No — toss-up")</f>
        <v>Yes</v>
      </c>
    </row>
    <row r="381" customFormat="false" ht="15" hidden="false" customHeight="false" outlineLevel="0" collapsed="false">
      <c r="A381" s="9" t="str">
        <f aca="false">'2026 Forecast A'!A331</f>
        <v>Northampton</v>
      </c>
      <c r="B381" s="9" t="str">
        <f aca="false">'2026 Forecast A'!B331</f>
        <v>NAZARETH</v>
      </c>
      <c r="C381" s="9" t="str">
        <f aca="false">'2026 Forecast A'!C331</f>
        <v>NAZARETH BORO 1ST WARD</v>
      </c>
      <c r="D381" s="10" t="n">
        <f aca="false">'2026 Forecast A'!G331</f>
        <v>0.50920245398773</v>
      </c>
      <c r="E381" s="10" t="n">
        <f aca="false">'2026 Forecast B'!G331</f>
        <v>0.505112474437628</v>
      </c>
      <c r="F381" s="10" t="n">
        <f aca="false">'2026 Forecast C'!G331</f>
        <v>0.511247443762781</v>
      </c>
      <c r="G381" s="38" t="n">
        <f aca="false">(MAX(D381:F381)-MIN(D381:F381))*100</f>
        <v>0.613496932515334</v>
      </c>
      <c r="H381" s="38" t="n">
        <f aca="false">'2026 Forecast A'!J331</f>
        <v>1.80877416096373</v>
      </c>
      <c r="I381" s="38" t="n">
        <f aca="false">'2026 Forecast B'!J331</f>
        <v>1.9254971424187</v>
      </c>
      <c r="J381" s="38" t="n">
        <f aca="false">'2026 Forecast C'!J331</f>
        <v>1.88510957763259</v>
      </c>
      <c r="K381" s="18" t="n">
        <f aca="false">'2026 Forecast A'!F331</f>
        <v>978</v>
      </c>
      <c r="L381" s="39" t="str">
        <f aca="false">IF(OR(AND(D381&gt;0.5,E381&gt;0.5,F381&gt;0.5),AND(D381&lt;0.5,E381&lt;0.5,F381&lt;0.5)),"Yes","No — toss-up")</f>
        <v>Yes</v>
      </c>
    </row>
    <row r="382" customFormat="false" ht="15" hidden="false" customHeight="false" outlineLevel="0" collapsed="false">
      <c r="A382" s="9" t="str">
        <f aca="false">'2026 Forecast A'!A332</f>
        <v>Northampton</v>
      </c>
      <c r="B382" s="9" t="str">
        <f aca="false">'2026 Forecast A'!B332</f>
        <v>NAZARETH</v>
      </c>
      <c r="C382" s="9" t="str">
        <f aca="false">'2026 Forecast A'!C332</f>
        <v>NAZARETH BORO 2ND WARD</v>
      </c>
      <c r="D382" s="10" t="n">
        <f aca="false">'2026 Forecast A'!G332</f>
        <v>0.516005121638924</v>
      </c>
      <c r="E382" s="10" t="n">
        <f aca="false">'2026 Forecast B'!G332</f>
        <v>0.519846350832266</v>
      </c>
      <c r="F382" s="10" t="n">
        <f aca="false">'2026 Forecast C'!G332</f>
        <v>0.517285531370038</v>
      </c>
      <c r="G382" s="38" t="n">
        <f aca="false">(MAX(D382:F382)-MIN(D382:F382))*100</f>
        <v>0.384122919334196</v>
      </c>
      <c r="H382" s="38" t="n">
        <f aca="false">'2026 Forecast A'!J332</f>
        <v>1.80877416096373</v>
      </c>
      <c r="I382" s="38" t="n">
        <f aca="false">'2026 Forecast B'!J332</f>
        <v>1.9254971424187</v>
      </c>
      <c r="J382" s="38" t="n">
        <f aca="false">'2026 Forecast C'!J332</f>
        <v>1.88510957763259</v>
      </c>
      <c r="K382" s="18" t="n">
        <f aca="false">'2026 Forecast A'!F332</f>
        <v>781</v>
      </c>
      <c r="L382" s="39" t="str">
        <f aca="false">IF(OR(AND(D382&gt;0.5,E382&gt;0.5,F382&gt;0.5),AND(D382&lt;0.5,E382&lt;0.5,F382&lt;0.5)),"Yes","No — toss-up")</f>
        <v>Yes</v>
      </c>
    </row>
    <row r="383" customFormat="false" ht="15" hidden="false" customHeight="false" outlineLevel="0" collapsed="false">
      <c r="A383" s="9" t="str">
        <f aca="false">'2026 Forecast A'!A333</f>
        <v>Northampton</v>
      </c>
      <c r="B383" s="9" t="str">
        <f aca="false">'2026 Forecast A'!B333</f>
        <v>NAZARETH</v>
      </c>
      <c r="C383" s="9" t="str">
        <f aca="false">'2026 Forecast A'!C333</f>
        <v>NAZARETH BORO 3RD WARD</v>
      </c>
      <c r="D383" s="10" t="n">
        <f aca="false">'2026 Forecast A'!G333</f>
        <v>0.498018494055482</v>
      </c>
      <c r="E383" s="10" t="n">
        <f aca="false">'2026 Forecast B'!G333</f>
        <v>0.501981505944518</v>
      </c>
      <c r="F383" s="10" t="n">
        <f aca="false">'2026 Forecast C'!G333</f>
        <v>0.499339498018494</v>
      </c>
      <c r="G383" s="38" t="n">
        <f aca="false">(MAX(D383:F383)-MIN(D383:F383))*100</f>
        <v>0.396301188903569</v>
      </c>
      <c r="H383" s="38" t="n">
        <f aca="false">'2026 Forecast A'!J333</f>
        <v>3.02363014511423</v>
      </c>
      <c r="I383" s="38" t="n">
        <f aca="false">'2026 Forecast B'!J333</f>
        <v>2.87918965002339</v>
      </c>
      <c r="J383" s="38" t="n">
        <f aca="false">'2026 Forecast C'!J333</f>
        <v>3.15466234357281</v>
      </c>
      <c r="K383" s="18" t="n">
        <f aca="false">'2026 Forecast A'!F333</f>
        <v>757</v>
      </c>
      <c r="L383" s="39" t="str">
        <f aca="false">IF(OR(AND(D383&gt;0.5,E383&gt;0.5,F383&gt;0.5),AND(D383&lt;0.5,E383&lt;0.5,F383&lt;0.5)),"Yes","No — toss-up")</f>
        <v>No — toss-up</v>
      </c>
    </row>
    <row r="384" customFormat="false" ht="15" hidden="false" customHeight="false" outlineLevel="0" collapsed="false">
      <c r="A384" s="9" t="str">
        <f aca="false">'2026 Forecast A'!A334</f>
        <v>Northampton</v>
      </c>
      <c r="B384" s="9" t="str">
        <f aca="false">'2026 Forecast A'!B334</f>
        <v>NORTH CATASAUQUA</v>
      </c>
      <c r="C384" s="9" t="str">
        <f aca="false">'2026 Forecast A'!C334</f>
        <v>NORTH CATASAUQUA 1ST WARD</v>
      </c>
      <c r="D384" s="10" t="n">
        <f aca="false">'2026 Forecast A'!G334</f>
        <v>0.464751958224543</v>
      </c>
      <c r="E384" s="10" t="n">
        <f aca="false">'2026 Forecast B'!G334</f>
        <v>0.485639686684073</v>
      </c>
      <c r="F384" s="10" t="n">
        <f aca="false">'2026 Forecast C'!G334</f>
        <v>0.462140992167102</v>
      </c>
      <c r="G384" s="38" t="n">
        <f aca="false">(MAX(D384:F384)-MIN(D384:F384))*100</f>
        <v>2.34986945169713</v>
      </c>
      <c r="H384" s="38" t="n">
        <f aca="false">'2026 Forecast A'!J334</f>
        <v>3.02363014511423</v>
      </c>
      <c r="I384" s="38" t="n">
        <f aca="false">'2026 Forecast B'!J334</f>
        <v>2.87918965002339</v>
      </c>
      <c r="J384" s="38" t="n">
        <f aca="false">'2026 Forecast C'!J334</f>
        <v>3.15466234357281</v>
      </c>
      <c r="K384" s="18" t="n">
        <f aca="false">'2026 Forecast A'!F334</f>
        <v>383</v>
      </c>
      <c r="L384" s="39" t="str">
        <f aca="false">IF(OR(AND(D384&gt;0.5,E384&gt;0.5,F384&gt;0.5),AND(D384&lt;0.5,E384&lt;0.5,F384&lt;0.5)),"Yes","No — toss-up")</f>
        <v>Yes</v>
      </c>
    </row>
    <row r="385" customFormat="false" ht="15" hidden="false" customHeight="false" outlineLevel="0" collapsed="false">
      <c r="A385" s="9" t="str">
        <f aca="false">'2026 Forecast A'!A335</f>
        <v>Northampton</v>
      </c>
      <c r="B385" s="9" t="str">
        <f aca="false">'2026 Forecast A'!B335</f>
        <v>NORTH CATASAUQUA</v>
      </c>
      <c r="C385" s="9" t="str">
        <f aca="false">'2026 Forecast A'!C335</f>
        <v>NORTH CATASAUQUA 2ND WARD</v>
      </c>
      <c r="D385" s="10" t="n">
        <f aca="false">'2026 Forecast A'!G335</f>
        <v>0.512869399428027</v>
      </c>
      <c r="E385" s="10" t="n">
        <f aca="false">'2026 Forecast B'!G335</f>
        <v>0.516682554814109</v>
      </c>
      <c r="F385" s="10" t="n">
        <f aca="false">'2026 Forecast C'!G335</f>
        <v>0.513822688274547</v>
      </c>
      <c r="G385" s="38" t="n">
        <f aca="false">(MAX(D385:F385)-MIN(D385:F385))*100</f>
        <v>0.381315538608196</v>
      </c>
      <c r="H385" s="38" t="n">
        <f aca="false">'2026 Forecast A'!J335</f>
        <v>1.80877416096373</v>
      </c>
      <c r="I385" s="38" t="n">
        <f aca="false">'2026 Forecast B'!J335</f>
        <v>1.9254971424187</v>
      </c>
      <c r="J385" s="38" t="n">
        <f aca="false">'2026 Forecast C'!J335</f>
        <v>1.88510957763259</v>
      </c>
      <c r="K385" s="18" t="n">
        <f aca="false">'2026 Forecast A'!F335</f>
        <v>1049</v>
      </c>
      <c r="L385" s="39" t="str">
        <f aca="false">IF(OR(AND(D385&gt;0.5,E385&gt;0.5,F385&gt;0.5),AND(D385&lt;0.5,E385&lt;0.5,F385&lt;0.5)),"Yes","No — toss-up")</f>
        <v>Yes</v>
      </c>
    </row>
    <row r="386" customFormat="false" ht="15" hidden="false" customHeight="false" outlineLevel="0" collapsed="false">
      <c r="A386" s="9" t="str">
        <f aca="false">'2026 Forecast A'!A336</f>
        <v>Northampton</v>
      </c>
      <c r="B386" s="9" t="str">
        <f aca="false">'2026 Forecast A'!B336</f>
        <v>NORTHAMPTON</v>
      </c>
      <c r="C386" s="9" t="str">
        <f aca="false">'2026 Forecast A'!C336</f>
        <v>NORTHAMPTON BORO 1ST WARD</v>
      </c>
      <c r="D386" s="10" t="n">
        <f aca="false">'2026 Forecast A'!G336</f>
        <v>0.492217898832685</v>
      </c>
      <c r="E386" s="10" t="n">
        <f aca="false">'2026 Forecast B'!G336</f>
        <v>0.494163424124514</v>
      </c>
      <c r="F386" s="10" t="n">
        <f aca="false">'2026 Forecast C'!G336</f>
        <v>0.49124513618677</v>
      </c>
      <c r="G386" s="38" t="n">
        <f aca="false">(MAX(D386:F386)-MIN(D386:F386))*100</f>
        <v>0.291828793774324</v>
      </c>
      <c r="H386" s="38" t="n">
        <f aca="false">'2026 Forecast A'!J336</f>
        <v>1.80877416096373</v>
      </c>
      <c r="I386" s="38" t="n">
        <f aca="false">'2026 Forecast B'!J336</f>
        <v>1.9254971424187</v>
      </c>
      <c r="J386" s="38" t="n">
        <f aca="false">'2026 Forecast C'!J336</f>
        <v>1.88510957763259</v>
      </c>
      <c r="K386" s="18" t="n">
        <f aca="false">'2026 Forecast A'!F336</f>
        <v>1028</v>
      </c>
      <c r="L386" s="39" t="str">
        <f aca="false">IF(OR(AND(D386&gt;0.5,E386&gt;0.5,F386&gt;0.5),AND(D386&lt;0.5,E386&lt;0.5,F386&lt;0.5)),"Yes","No — toss-up")</f>
        <v>Yes</v>
      </c>
    </row>
    <row r="387" customFormat="false" ht="15" hidden="false" customHeight="false" outlineLevel="0" collapsed="false">
      <c r="A387" s="9" t="str">
        <f aca="false">'2026 Forecast A'!A337</f>
        <v>Northampton</v>
      </c>
      <c r="B387" s="9" t="str">
        <f aca="false">'2026 Forecast A'!B337</f>
        <v>NORTHAMPTON</v>
      </c>
      <c r="C387" s="9" t="str">
        <f aca="false">'2026 Forecast A'!C337</f>
        <v>NORTHAMPTON BORO 2ND WARD</v>
      </c>
      <c r="D387" s="10" t="n">
        <f aca="false">'2026 Forecast A'!G337</f>
        <v>0.51036866359447</v>
      </c>
      <c r="E387" s="10" t="n">
        <f aca="false">'2026 Forecast B'!G337</f>
        <v>0.51036866359447</v>
      </c>
      <c r="F387" s="10" t="n">
        <f aca="false">'2026 Forecast C'!G337</f>
        <v>0.51036866359447</v>
      </c>
      <c r="G387" s="38" t="n">
        <f aca="false">(MAX(D387:F387)-MIN(D387:F387))*100</f>
        <v>0</v>
      </c>
      <c r="H387" s="38" t="n">
        <f aca="false">'2026 Forecast A'!J337</f>
        <v>1.80877416096373</v>
      </c>
      <c r="I387" s="38" t="n">
        <f aca="false">'2026 Forecast B'!J337</f>
        <v>1.9254971424187</v>
      </c>
      <c r="J387" s="38" t="n">
        <f aca="false">'2026 Forecast C'!J337</f>
        <v>1.88510957763259</v>
      </c>
      <c r="K387" s="18" t="n">
        <f aca="false">'2026 Forecast A'!F337</f>
        <v>868</v>
      </c>
      <c r="L387" s="39" t="str">
        <f aca="false">IF(OR(AND(D387&gt;0.5,E387&gt;0.5,F387&gt;0.5),AND(D387&lt;0.5,E387&lt;0.5,F387&lt;0.5)),"Yes","No — toss-up")</f>
        <v>Yes</v>
      </c>
    </row>
    <row r="388" customFormat="false" ht="15" hidden="false" customHeight="false" outlineLevel="0" collapsed="false">
      <c r="A388" s="9" t="str">
        <f aca="false">'2026 Forecast A'!A338</f>
        <v>Northampton</v>
      </c>
      <c r="B388" s="9" t="str">
        <f aca="false">'2026 Forecast A'!B338</f>
        <v>NORTHAMPTON</v>
      </c>
      <c r="C388" s="9" t="str">
        <f aca="false">'2026 Forecast A'!C338</f>
        <v>NORTHAMPTON BORO 3RD WARD</v>
      </c>
      <c r="D388" s="10" t="n">
        <f aca="false">'2026 Forecast A'!G338</f>
        <v>0.486659551760939</v>
      </c>
      <c r="E388" s="10" t="n">
        <f aca="false">'2026 Forecast B'!G338</f>
        <v>0.493596584845251</v>
      </c>
      <c r="F388" s="10" t="n">
        <f aca="false">'2026 Forecast C'!G338</f>
        <v>0.486125933831377</v>
      </c>
      <c r="G388" s="38" t="n">
        <f aca="false">(MAX(D388:F388)-MIN(D388:F388))*100</f>
        <v>0.747065101387406</v>
      </c>
      <c r="H388" s="38" t="n">
        <f aca="false">'2026 Forecast A'!J338</f>
        <v>1.24981746705324</v>
      </c>
      <c r="I388" s="38" t="n">
        <f aca="false">'2026 Forecast B'!J338</f>
        <v>1.86991787188303</v>
      </c>
      <c r="J388" s="38" t="n">
        <f aca="false">'2026 Forecast C'!J338</f>
        <v>1.24424911322721</v>
      </c>
      <c r="K388" s="18" t="n">
        <f aca="false">'2026 Forecast A'!F338</f>
        <v>1874</v>
      </c>
      <c r="L388" s="39" t="str">
        <f aca="false">IF(OR(AND(D388&gt;0.5,E388&gt;0.5,F388&gt;0.5),AND(D388&lt;0.5,E388&lt;0.5,F388&lt;0.5)),"Yes","No — toss-up")</f>
        <v>Yes</v>
      </c>
    </row>
    <row r="389" customFormat="false" ht="15" hidden="false" customHeight="false" outlineLevel="0" collapsed="false">
      <c r="A389" s="9" t="str">
        <f aca="false">'2026 Forecast A'!A339</f>
        <v>Northampton</v>
      </c>
      <c r="B389" s="9" t="str">
        <f aca="false">'2026 Forecast A'!B339</f>
        <v>NORTHAMPTON</v>
      </c>
      <c r="C389" s="9" t="str">
        <f aca="false">'2026 Forecast A'!C339</f>
        <v>NORTHAMPTON BORO 4TH WARD</v>
      </c>
      <c r="D389" s="10" t="n">
        <f aca="false">'2026 Forecast A'!G339</f>
        <v>0.459798994974874</v>
      </c>
      <c r="E389" s="10" t="n">
        <f aca="false">'2026 Forecast B'!G339</f>
        <v>0.477386934673367</v>
      </c>
      <c r="F389" s="10" t="n">
        <f aca="false">'2026 Forecast C'!G339</f>
        <v>0.457286432160804</v>
      </c>
      <c r="G389" s="38" t="n">
        <f aca="false">(MAX(D389:F389)-MIN(D389:F389))*100</f>
        <v>2.01005025125629</v>
      </c>
      <c r="H389" s="38" t="n">
        <f aca="false">'2026 Forecast A'!J339</f>
        <v>3.02363014511423</v>
      </c>
      <c r="I389" s="38" t="n">
        <f aca="false">'2026 Forecast B'!J339</f>
        <v>2.87918965002339</v>
      </c>
      <c r="J389" s="38" t="n">
        <f aca="false">'2026 Forecast C'!J339</f>
        <v>3.15466234357281</v>
      </c>
      <c r="K389" s="18" t="n">
        <f aca="false">'2026 Forecast A'!F339</f>
        <v>398</v>
      </c>
      <c r="L389" s="39" t="str">
        <f aca="false">IF(OR(AND(D389&gt;0.5,E389&gt;0.5,F389&gt;0.5),AND(D389&lt;0.5,E389&lt;0.5,F389&lt;0.5)),"Yes","No — toss-up")</f>
        <v>Yes</v>
      </c>
    </row>
    <row r="390" customFormat="false" ht="15" hidden="false" customHeight="false" outlineLevel="0" collapsed="false">
      <c r="A390" s="9" t="str">
        <f aca="false">'2026 Forecast A'!A340</f>
        <v>Northampton</v>
      </c>
      <c r="B390" s="9" t="str">
        <f aca="false">'2026 Forecast A'!B340</f>
        <v>PALMER</v>
      </c>
      <c r="C390" s="9" t="str">
        <f aca="false">'2026 Forecast A'!C340</f>
        <v>PALMER - CENTRAL</v>
      </c>
      <c r="D390" s="10" t="n">
        <f aca="false">'2026 Forecast A'!G340</f>
        <v>0.498189717595945</v>
      </c>
      <c r="E390" s="10" t="n">
        <f aca="false">'2026 Forecast B'!G340</f>
        <v>0.501086169442433</v>
      </c>
      <c r="F390" s="10" t="n">
        <f aca="false">'2026 Forecast C'!G340</f>
        <v>0.498189717595945</v>
      </c>
      <c r="G390" s="38" t="n">
        <f aca="false">(MAX(D390:F390)-MIN(D390:F390))*100</f>
        <v>0.289645184648801</v>
      </c>
      <c r="H390" s="38" t="n">
        <f aca="false">'2026 Forecast A'!J340</f>
        <v>1.24981746705324</v>
      </c>
      <c r="I390" s="38" t="n">
        <f aca="false">'2026 Forecast B'!J340</f>
        <v>1.86991787188303</v>
      </c>
      <c r="J390" s="38" t="n">
        <f aca="false">'2026 Forecast C'!J340</f>
        <v>1.24424911322721</v>
      </c>
      <c r="K390" s="18" t="n">
        <f aca="false">'2026 Forecast A'!F340</f>
        <v>1381</v>
      </c>
      <c r="L390" s="39" t="str">
        <f aca="false">IF(OR(AND(D390&gt;0.5,E390&gt;0.5,F390&gt;0.5),AND(D390&lt;0.5,E390&lt;0.5,F390&lt;0.5)),"Yes","No — toss-up")</f>
        <v>No — toss-up</v>
      </c>
    </row>
    <row r="391" customFormat="false" ht="15" hidden="false" customHeight="false" outlineLevel="0" collapsed="false">
      <c r="A391" s="9" t="str">
        <f aca="false">'2026 Forecast A'!A341</f>
        <v>Northampton</v>
      </c>
      <c r="B391" s="9" t="str">
        <f aca="false">'2026 Forecast A'!B341</f>
        <v>PALMER</v>
      </c>
      <c r="C391" s="9" t="str">
        <f aca="false">'2026 Forecast A'!C341</f>
        <v>PALMER - EAST</v>
      </c>
      <c r="D391" s="10" t="n">
        <f aca="false">'2026 Forecast A'!G341</f>
        <v>0.516556291390729</v>
      </c>
      <c r="E391" s="10" t="n">
        <f aca="false">'2026 Forecast B'!G341</f>
        <v>0.513245033112583</v>
      </c>
      <c r="F391" s="10" t="n">
        <f aca="false">'2026 Forecast C'!G341</f>
        <v>0.519867549668874</v>
      </c>
      <c r="G391" s="38" t="n">
        <f aca="false">(MAX(D391:F391)-MIN(D391:F391))*100</f>
        <v>0.662251655629143</v>
      </c>
      <c r="H391" s="38" t="n">
        <f aca="false">'2026 Forecast A'!J341</f>
        <v>3.02363014511423</v>
      </c>
      <c r="I391" s="38" t="n">
        <f aca="false">'2026 Forecast B'!J341</f>
        <v>2.87918965002339</v>
      </c>
      <c r="J391" s="38" t="n">
        <f aca="false">'2026 Forecast C'!J341</f>
        <v>3.15466234357281</v>
      </c>
      <c r="K391" s="18" t="n">
        <f aca="false">'2026 Forecast A'!F341</f>
        <v>302</v>
      </c>
      <c r="L391" s="39" t="str">
        <f aca="false">IF(OR(AND(D391&gt;0.5,E391&gt;0.5,F391&gt;0.5),AND(D391&lt;0.5,E391&lt;0.5,F391&lt;0.5)),"Yes","No — toss-up")</f>
        <v>Yes</v>
      </c>
    </row>
    <row r="392" customFormat="false" ht="15" hidden="false" customHeight="false" outlineLevel="0" collapsed="false">
      <c r="A392" s="9" t="str">
        <f aca="false">'2026 Forecast A'!A342</f>
        <v>Northampton</v>
      </c>
      <c r="B392" s="9" t="str">
        <f aca="false">'2026 Forecast A'!B342</f>
        <v>PALMER</v>
      </c>
      <c r="C392" s="9" t="str">
        <f aca="false">'2026 Forecast A'!C342</f>
        <v>PALMER - NORTH</v>
      </c>
      <c r="D392" s="10" t="n">
        <f aca="false">'2026 Forecast A'!G342</f>
        <v>0.488352027610009</v>
      </c>
      <c r="E392" s="10" t="n">
        <f aca="false">'2026 Forecast B'!G342</f>
        <v>0.497842968075928</v>
      </c>
      <c r="F392" s="10" t="n">
        <f aca="false">'2026 Forecast C'!G342</f>
        <v>0.483175150992235</v>
      </c>
      <c r="G392" s="38" t="n">
        <f aca="false">(MAX(D392:F392)-MIN(D392:F392))*100</f>
        <v>1.46678170836929</v>
      </c>
      <c r="H392" s="38" t="n">
        <f aca="false">'2026 Forecast A'!J342</f>
        <v>1.80877416096373</v>
      </c>
      <c r="I392" s="38" t="n">
        <f aca="false">'2026 Forecast B'!J342</f>
        <v>1.9254971424187</v>
      </c>
      <c r="J392" s="38" t="n">
        <f aca="false">'2026 Forecast C'!J342</f>
        <v>1.88510957763259</v>
      </c>
      <c r="K392" s="18" t="n">
        <f aca="false">'2026 Forecast A'!F342</f>
        <v>1159</v>
      </c>
      <c r="L392" s="39" t="str">
        <f aca="false">IF(OR(AND(D392&gt;0.5,E392&gt;0.5,F392&gt;0.5),AND(D392&lt;0.5,E392&lt;0.5,F392&lt;0.5)),"Yes","No — toss-up")</f>
        <v>Yes</v>
      </c>
    </row>
    <row r="393" customFormat="false" ht="15" hidden="false" customHeight="false" outlineLevel="0" collapsed="false">
      <c r="A393" s="9" t="str">
        <f aca="false">'2026 Forecast A'!A343</f>
        <v>Northampton</v>
      </c>
      <c r="B393" s="9" t="str">
        <f aca="false">'2026 Forecast A'!B343</f>
        <v>PALMER</v>
      </c>
      <c r="C393" s="9" t="str">
        <f aca="false">'2026 Forecast A'!C343</f>
        <v>PALMER - NORTHEAST</v>
      </c>
      <c r="D393" s="10" t="n">
        <f aca="false">'2026 Forecast A'!G343</f>
        <v>0.531717747683535</v>
      </c>
      <c r="E393" s="10" t="n">
        <f aca="false">'2026 Forecast B'!G343</f>
        <v>0.533856022808268</v>
      </c>
      <c r="F393" s="10" t="n">
        <f aca="false">'2026 Forecast C'!G343</f>
        <v>0.532430506058446</v>
      </c>
      <c r="G393" s="38" t="n">
        <f aca="false">(MAX(D393:F393)-MIN(D393:F393))*100</f>
        <v>0.213827512473275</v>
      </c>
      <c r="H393" s="38" t="n">
        <f aca="false">'2026 Forecast A'!J343</f>
        <v>1.24981746705324</v>
      </c>
      <c r="I393" s="38" t="n">
        <f aca="false">'2026 Forecast B'!J343</f>
        <v>1.86991787188303</v>
      </c>
      <c r="J393" s="38" t="n">
        <f aca="false">'2026 Forecast C'!J343</f>
        <v>1.24424911322721</v>
      </c>
      <c r="K393" s="18" t="n">
        <f aca="false">'2026 Forecast A'!F343</f>
        <v>1403</v>
      </c>
      <c r="L393" s="39" t="str">
        <f aca="false">IF(OR(AND(D393&gt;0.5,E393&gt;0.5,F393&gt;0.5),AND(D393&lt;0.5,E393&lt;0.5,F393&lt;0.5)),"Yes","No — toss-up")</f>
        <v>Yes</v>
      </c>
    </row>
    <row r="394" customFormat="false" ht="15" hidden="false" customHeight="false" outlineLevel="0" collapsed="false">
      <c r="A394" s="9" t="str">
        <f aca="false">'2026 Forecast A'!A344</f>
        <v>Northampton</v>
      </c>
      <c r="B394" s="9" t="str">
        <f aca="false">'2026 Forecast A'!B344</f>
        <v>PALMER</v>
      </c>
      <c r="C394" s="9" t="str">
        <f aca="false">'2026 Forecast A'!C344</f>
        <v>PALMER - NORTHWEST</v>
      </c>
      <c r="D394" s="10" t="n">
        <f aca="false">'2026 Forecast A'!G344</f>
        <v>0.503937007874016</v>
      </c>
      <c r="E394" s="10" t="n">
        <f aca="false">'2026 Forecast B'!G344</f>
        <v>0.504724409448819</v>
      </c>
      <c r="F394" s="10" t="n">
        <f aca="false">'2026 Forecast C'!G344</f>
        <v>0.503937007874016</v>
      </c>
      <c r="G394" s="38" t="n">
        <f aca="false">(MAX(D394:F394)-MIN(D394:F394))*100</f>
        <v>0.078740157480317</v>
      </c>
      <c r="H394" s="38" t="n">
        <f aca="false">'2026 Forecast A'!J344</f>
        <v>1.24981746705324</v>
      </c>
      <c r="I394" s="38" t="n">
        <f aca="false">'2026 Forecast B'!J344</f>
        <v>1.86991787188303</v>
      </c>
      <c r="J394" s="38" t="n">
        <f aca="false">'2026 Forecast C'!J344</f>
        <v>1.24424911322721</v>
      </c>
      <c r="K394" s="18" t="n">
        <f aca="false">'2026 Forecast A'!F344</f>
        <v>1270</v>
      </c>
      <c r="L394" s="39" t="str">
        <f aca="false">IF(OR(AND(D394&gt;0.5,E394&gt;0.5,F394&gt;0.5),AND(D394&lt;0.5,E394&lt;0.5,F394&lt;0.5)),"Yes","No — toss-up")</f>
        <v>Yes</v>
      </c>
    </row>
    <row r="395" customFormat="false" ht="15" hidden="false" customHeight="false" outlineLevel="0" collapsed="false">
      <c r="A395" s="9" t="str">
        <f aca="false">'2026 Forecast A'!A345</f>
        <v>Northampton</v>
      </c>
      <c r="B395" s="9" t="str">
        <f aca="false">'2026 Forecast A'!B345</f>
        <v>PALMER</v>
      </c>
      <c r="C395" s="9" t="str">
        <f aca="false">'2026 Forecast A'!C345</f>
        <v>PALMER - SOUTH</v>
      </c>
      <c r="D395" s="10" t="n">
        <f aca="false">'2026 Forecast A'!G345</f>
        <v>0.50402576489533</v>
      </c>
      <c r="E395" s="10" t="n">
        <f aca="false">'2026 Forecast B'!G345</f>
        <v>0.502415458937198</v>
      </c>
      <c r="F395" s="10" t="n">
        <f aca="false">'2026 Forecast C'!G345</f>
        <v>0.505636070853462</v>
      </c>
      <c r="G395" s="38" t="n">
        <f aca="false">(MAX(D395:F395)-MIN(D395:F395))*100</f>
        <v>0.32206119162641</v>
      </c>
      <c r="H395" s="38" t="n">
        <f aca="false">'2026 Forecast A'!J345</f>
        <v>1.24981746705324</v>
      </c>
      <c r="I395" s="38" t="n">
        <f aca="false">'2026 Forecast B'!J345</f>
        <v>1.86991787188303</v>
      </c>
      <c r="J395" s="38" t="n">
        <f aca="false">'2026 Forecast C'!J345</f>
        <v>1.24424911322721</v>
      </c>
      <c r="K395" s="18" t="n">
        <f aca="false">'2026 Forecast A'!F345</f>
        <v>1242</v>
      </c>
      <c r="L395" s="39" t="str">
        <f aca="false">IF(OR(AND(D395&gt;0.5,E395&gt;0.5,F395&gt;0.5),AND(D395&lt;0.5,E395&lt;0.5,F395&lt;0.5)),"Yes","No — toss-up")</f>
        <v>Yes</v>
      </c>
    </row>
    <row r="396" customFormat="false" ht="15" hidden="false" customHeight="false" outlineLevel="0" collapsed="false">
      <c r="A396" s="9" t="str">
        <f aca="false">'2026 Forecast A'!A346</f>
        <v>Northampton</v>
      </c>
      <c r="B396" s="9" t="str">
        <f aca="false">'2026 Forecast A'!B346</f>
        <v>PALMER</v>
      </c>
      <c r="C396" s="9" t="str">
        <f aca="false">'2026 Forecast A'!C346</f>
        <v>PALMER - SOUTHEAST</v>
      </c>
      <c r="D396" s="10" t="n">
        <f aca="false">'2026 Forecast A'!G346</f>
        <v>0.5302734375</v>
      </c>
      <c r="E396" s="10" t="n">
        <f aca="false">'2026 Forecast B'!G346</f>
        <v>0.525390625</v>
      </c>
      <c r="F396" s="10" t="n">
        <f aca="false">'2026 Forecast C'!G346</f>
        <v>0.529296875</v>
      </c>
      <c r="G396" s="38" t="n">
        <f aca="false">(MAX(D396:F396)-MIN(D396:F396))*100</f>
        <v>0.48828125</v>
      </c>
      <c r="H396" s="38" t="n">
        <f aca="false">'2026 Forecast A'!J346</f>
        <v>1.80877416096373</v>
      </c>
      <c r="I396" s="38" t="n">
        <f aca="false">'2026 Forecast B'!J346</f>
        <v>1.9254971424187</v>
      </c>
      <c r="J396" s="38" t="n">
        <f aca="false">'2026 Forecast C'!J346</f>
        <v>1.88510957763259</v>
      </c>
      <c r="K396" s="18" t="n">
        <f aca="false">'2026 Forecast A'!F346</f>
        <v>1024</v>
      </c>
      <c r="L396" s="39" t="str">
        <f aca="false">IF(OR(AND(D396&gt;0.5,E396&gt;0.5,F396&gt;0.5),AND(D396&lt;0.5,E396&lt;0.5,F396&lt;0.5)),"Yes","No — toss-up")</f>
        <v>Yes</v>
      </c>
    </row>
    <row r="397" customFormat="false" ht="15" hidden="false" customHeight="false" outlineLevel="0" collapsed="false">
      <c r="A397" s="9" t="str">
        <f aca="false">'2026 Forecast A'!A347</f>
        <v>Northampton</v>
      </c>
      <c r="B397" s="9" t="str">
        <f aca="false">'2026 Forecast A'!B347</f>
        <v>PALMER</v>
      </c>
      <c r="C397" s="9" t="str">
        <f aca="false">'2026 Forecast A'!C347</f>
        <v>PALMER - SOUTHWEST</v>
      </c>
      <c r="D397" s="10" t="n">
        <f aca="false">'2026 Forecast A'!G347</f>
        <v>0.462921348314607</v>
      </c>
      <c r="E397" s="10" t="n">
        <f aca="false">'2026 Forecast B'!G347</f>
        <v>0.471910112359551</v>
      </c>
      <c r="F397" s="10" t="n">
        <f aca="false">'2026 Forecast C'!G347</f>
        <v>0.462921348314607</v>
      </c>
      <c r="G397" s="38" t="n">
        <f aca="false">(MAX(D397:F397)-MIN(D397:F397))*100</f>
        <v>0.898876404494381</v>
      </c>
      <c r="H397" s="38" t="n">
        <f aca="false">'2026 Forecast A'!J347</f>
        <v>3.02363014511423</v>
      </c>
      <c r="I397" s="38" t="n">
        <f aca="false">'2026 Forecast B'!J347</f>
        <v>2.87918965002339</v>
      </c>
      <c r="J397" s="38" t="n">
        <f aca="false">'2026 Forecast C'!J347</f>
        <v>3.15466234357281</v>
      </c>
      <c r="K397" s="18" t="n">
        <f aca="false">'2026 Forecast A'!F347</f>
        <v>445</v>
      </c>
      <c r="L397" s="39" t="str">
        <f aca="false">IF(OR(AND(D397&gt;0.5,E397&gt;0.5,F397&gt;0.5),AND(D397&lt;0.5,E397&lt;0.5,F397&lt;0.5)),"Yes","No — toss-up")</f>
        <v>Yes</v>
      </c>
    </row>
    <row r="398" customFormat="false" ht="15" hidden="false" customHeight="false" outlineLevel="0" collapsed="false">
      <c r="A398" s="9" t="str">
        <f aca="false">'2026 Forecast A'!A348</f>
        <v>Northampton</v>
      </c>
      <c r="B398" s="9" t="str">
        <f aca="false">'2026 Forecast A'!B348</f>
        <v>PALMER</v>
      </c>
      <c r="C398" s="9" t="str">
        <f aca="false">'2026 Forecast A'!C348</f>
        <v>PALMER - WEST</v>
      </c>
      <c r="D398" s="10" t="n">
        <f aca="false">'2026 Forecast A'!G348</f>
        <v>0.464744838332684</v>
      </c>
      <c r="E398" s="10" t="n">
        <f aca="false">'2026 Forecast B'!G348</f>
        <v>0.464744838332684</v>
      </c>
      <c r="F398" s="10" t="n">
        <f aca="false">'2026 Forecast C'!G348</f>
        <v>0.463965718737826</v>
      </c>
      <c r="G398" s="38" t="n">
        <f aca="false">(MAX(D398:F398)-MIN(D398:F398))*100</f>
        <v>0.0779119594857769</v>
      </c>
      <c r="H398" s="38" t="n">
        <f aca="false">'2026 Forecast A'!J348</f>
        <v>1.24981746705324</v>
      </c>
      <c r="I398" s="38" t="n">
        <f aca="false">'2026 Forecast B'!J348</f>
        <v>1.86991787188303</v>
      </c>
      <c r="J398" s="38" t="n">
        <f aca="false">'2026 Forecast C'!J348</f>
        <v>1.24424911322721</v>
      </c>
      <c r="K398" s="18" t="n">
        <f aca="false">'2026 Forecast A'!F348</f>
        <v>2567</v>
      </c>
      <c r="L398" s="39" t="str">
        <f aca="false">IF(OR(AND(D398&gt;0.5,E398&gt;0.5,F398&gt;0.5),AND(D398&lt;0.5,E398&lt;0.5,F398&lt;0.5)),"Yes","No — toss-up")</f>
        <v>Yes</v>
      </c>
    </row>
    <row r="399" customFormat="false" ht="15" hidden="false" customHeight="false" outlineLevel="0" collapsed="false">
      <c r="A399" s="9" t="str">
        <f aca="false">'2026 Forecast A'!A349</f>
        <v>Northampton</v>
      </c>
      <c r="B399" s="9" t="str">
        <f aca="false">'2026 Forecast A'!B349</f>
        <v>PEN ARGYL</v>
      </c>
      <c r="C399" s="9" t="str">
        <f aca="false">'2026 Forecast A'!C349</f>
        <v>PEN ARGYL BORO 1ST WARD</v>
      </c>
      <c r="D399" s="10" t="n">
        <f aca="false">'2026 Forecast A'!G349</f>
        <v>0.390697674418605</v>
      </c>
      <c r="E399" s="10" t="n">
        <f aca="false">'2026 Forecast B'!G349</f>
        <v>0.386046511627907</v>
      </c>
      <c r="F399" s="10" t="n">
        <f aca="false">'2026 Forecast C'!G349</f>
        <v>0.386046511627907</v>
      </c>
      <c r="G399" s="38" t="n">
        <f aca="false">(MAX(D399:F399)-MIN(D399:F399))*100</f>
        <v>0.465116279069766</v>
      </c>
      <c r="H399" s="38" t="n">
        <f aca="false">'2026 Forecast A'!J349</f>
        <v>3.02363014511423</v>
      </c>
      <c r="I399" s="38" t="n">
        <f aca="false">'2026 Forecast B'!J349</f>
        <v>2.87918965002339</v>
      </c>
      <c r="J399" s="38" t="n">
        <f aca="false">'2026 Forecast C'!J349</f>
        <v>3.15466234357281</v>
      </c>
      <c r="K399" s="18" t="n">
        <f aca="false">'2026 Forecast A'!F349</f>
        <v>215</v>
      </c>
      <c r="L399" s="39" t="str">
        <f aca="false">IF(OR(AND(D399&gt;0.5,E399&gt;0.5,F399&gt;0.5),AND(D399&lt;0.5,E399&lt;0.5,F399&lt;0.5)),"Yes","No — toss-up")</f>
        <v>Yes</v>
      </c>
    </row>
    <row r="400" customFormat="false" ht="15" hidden="false" customHeight="false" outlineLevel="0" collapsed="false">
      <c r="A400" s="9" t="str">
        <f aca="false">'2026 Forecast A'!A350</f>
        <v>Northampton</v>
      </c>
      <c r="B400" s="9" t="str">
        <f aca="false">'2026 Forecast A'!B350</f>
        <v>PEN ARGYL</v>
      </c>
      <c r="C400" s="9" t="str">
        <f aca="false">'2026 Forecast A'!C350</f>
        <v>PEN ARGYL BORO 2ND WARD</v>
      </c>
      <c r="D400" s="10" t="n">
        <f aca="false">'2026 Forecast A'!G350</f>
        <v>0.367673179396092</v>
      </c>
      <c r="E400" s="10" t="n">
        <f aca="false">'2026 Forecast B'!G350</f>
        <v>0.371225577264654</v>
      </c>
      <c r="F400" s="10" t="n">
        <f aca="false">'2026 Forecast C'!G350</f>
        <v>0.36234458259325</v>
      </c>
      <c r="G400" s="38" t="n">
        <f aca="false">(MAX(D400:F400)-MIN(D400:F400))*100</f>
        <v>0.888099467140324</v>
      </c>
      <c r="H400" s="38" t="n">
        <f aca="false">'2026 Forecast A'!J350</f>
        <v>3.02363014511423</v>
      </c>
      <c r="I400" s="38" t="n">
        <f aca="false">'2026 Forecast B'!J350</f>
        <v>2.87918965002339</v>
      </c>
      <c r="J400" s="38" t="n">
        <f aca="false">'2026 Forecast C'!J350</f>
        <v>3.15466234357281</v>
      </c>
      <c r="K400" s="18" t="n">
        <f aca="false">'2026 Forecast A'!F350</f>
        <v>563</v>
      </c>
      <c r="L400" s="39" t="str">
        <f aca="false">IF(OR(AND(D400&gt;0.5,E400&gt;0.5,F400&gt;0.5),AND(D400&lt;0.5,E400&lt;0.5,F400&lt;0.5)),"Yes","No — toss-up")</f>
        <v>Yes</v>
      </c>
    </row>
    <row r="401" customFormat="false" ht="15" hidden="false" customHeight="false" outlineLevel="0" collapsed="false">
      <c r="A401" s="9" t="str">
        <f aca="false">'2026 Forecast A'!A351</f>
        <v>Northampton</v>
      </c>
      <c r="B401" s="9" t="str">
        <f aca="false">'2026 Forecast A'!B351</f>
        <v>PEN ARGYL</v>
      </c>
      <c r="C401" s="9" t="str">
        <f aca="false">'2026 Forecast A'!C351</f>
        <v>PEN ARGYL BORO 3RD WARD</v>
      </c>
      <c r="D401" s="10" t="n">
        <f aca="false">'2026 Forecast A'!G351</f>
        <v>0.408839779005525</v>
      </c>
      <c r="E401" s="10" t="n">
        <f aca="false">'2026 Forecast B'!G351</f>
        <v>0.408839779005525</v>
      </c>
      <c r="F401" s="10" t="n">
        <f aca="false">'2026 Forecast C'!G351</f>
        <v>0.406077348066298</v>
      </c>
      <c r="G401" s="38" t="n">
        <f aca="false">(MAX(D401:F401)-MIN(D401:F401))*100</f>
        <v>0.276243093922651</v>
      </c>
      <c r="H401" s="38" t="n">
        <f aca="false">'2026 Forecast A'!J351</f>
        <v>3.02363014511423</v>
      </c>
      <c r="I401" s="38" t="n">
        <f aca="false">'2026 Forecast B'!J351</f>
        <v>2.87918965002339</v>
      </c>
      <c r="J401" s="38" t="n">
        <f aca="false">'2026 Forecast C'!J351</f>
        <v>3.15466234357281</v>
      </c>
      <c r="K401" s="18" t="n">
        <f aca="false">'2026 Forecast A'!F351</f>
        <v>362</v>
      </c>
      <c r="L401" s="39" t="str">
        <f aca="false">IF(OR(AND(D401&gt;0.5,E401&gt;0.5,F401&gt;0.5),AND(D401&lt;0.5,E401&lt;0.5,F401&lt;0.5)),"Yes","No — toss-up")</f>
        <v>Yes</v>
      </c>
    </row>
    <row r="402" customFormat="false" ht="15" hidden="false" customHeight="false" outlineLevel="0" collapsed="false">
      <c r="A402" s="9" t="str">
        <f aca="false">'2026 Forecast A'!A352</f>
        <v>Northampton</v>
      </c>
      <c r="B402" s="9" t="str">
        <f aca="false">'2026 Forecast A'!B352</f>
        <v>PEN ARGYL</v>
      </c>
      <c r="C402" s="9" t="str">
        <f aca="false">'2026 Forecast A'!C352</f>
        <v>PEN ARGYL BORO 4TH WARD</v>
      </c>
      <c r="D402" s="10" t="n">
        <f aca="false">'2026 Forecast A'!G352</f>
        <v>0.412037037037037</v>
      </c>
      <c r="E402" s="10" t="n">
        <f aca="false">'2026 Forecast B'!G352</f>
        <v>0.412037037037037</v>
      </c>
      <c r="F402" s="10" t="n">
        <f aca="false">'2026 Forecast C'!G352</f>
        <v>0.407407407407407</v>
      </c>
      <c r="G402" s="38" t="n">
        <f aca="false">(MAX(D402:F402)-MIN(D402:F402))*100</f>
        <v>0.462962962962965</v>
      </c>
      <c r="H402" s="38" t="n">
        <f aca="false">'2026 Forecast A'!J352</f>
        <v>3.02363014511423</v>
      </c>
      <c r="I402" s="38" t="n">
        <f aca="false">'2026 Forecast B'!J352</f>
        <v>2.87918965002339</v>
      </c>
      <c r="J402" s="38" t="n">
        <f aca="false">'2026 Forecast C'!J352</f>
        <v>3.15466234357281</v>
      </c>
      <c r="K402" s="18" t="n">
        <f aca="false">'2026 Forecast A'!F352</f>
        <v>216</v>
      </c>
      <c r="L402" s="39" t="str">
        <f aca="false">IF(OR(AND(D402&gt;0.5,E402&gt;0.5,F402&gt;0.5),AND(D402&lt;0.5,E402&lt;0.5,F402&lt;0.5)),"Yes","No — toss-up")</f>
        <v>Yes</v>
      </c>
    </row>
    <row r="403" customFormat="false" ht="15" hidden="false" customHeight="false" outlineLevel="0" collapsed="false">
      <c r="A403" s="9" t="str">
        <f aca="false">'2026 Forecast A'!A353</f>
        <v>Northampton</v>
      </c>
      <c r="B403" s="9" t="str">
        <f aca="false">'2026 Forecast A'!B353</f>
        <v>PLAINFIELD</v>
      </c>
      <c r="C403" s="9" t="str">
        <f aca="false">'2026 Forecast A'!C353</f>
        <v>PLAINFIELD TWSP - BELFAST</v>
      </c>
      <c r="D403" s="10" t="n">
        <f aca="false">'2026 Forecast A'!G353</f>
        <v>0.360672975814932</v>
      </c>
      <c r="E403" s="10" t="n">
        <f aca="false">'2026 Forecast B'!G353</f>
        <v>0.359621451104101</v>
      </c>
      <c r="F403" s="10" t="n">
        <f aca="false">'2026 Forecast C'!G353</f>
        <v>0.354363827549947</v>
      </c>
      <c r="G403" s="38" t="n">
        <f aca="false">(MAX(D403:F403)-MIN(D403:F403))*100</f>
        <v>0.630914826498419</v>
      </c>
      <c r="H403" s="38" t="n">
        <f aca="false">'2026 Forecast A'!J353</f>
        <v>1.80877416096373</v>
      </c>
      <c r="I403" s="38" t="n">
        <f aca="false">'2026 Forecast B'!J353</f>
        <v>1.9254971424187</v>
      </c>
      <c r="J403" s="38" t="n">
        <f aca="false">'2026 Forecast C'!J353</f>
        <v>1.88510957763259</v>
      </c>
      <c r="K403" s="18" t="n">
        <f aca="false">'2026 Forecast A'!F353</f>
        <v>951</v>
      </c>
      <c r="L403" s="39" t="str">
        <f aca="false">IF(OR(AND(D403&gt;0.5,E403&gt;0.5,F403&gt;0.5),AND(D403&lt;0.5,E403&lt;0.5,F403&lt;0.5)),"Yes","No — toss-up")</f>
        <v>Yes</v>
      </c>
    </row>
    <row r="404" customFormat="false" ht="15" hidden="false" customHeight="false" outlineLevel="0" collapsed="false">
      <c r="A404" s="9" t="str">
        <f aca="false">'2026 Forecast A'!A354</f>
        <v>Northampton</v>
      </c>
      <c r="B404" s="9" t="str">
        <f aca="false">'2026 Forecast A'!B354</f>
        <v>PLAINFIELD</v>
      </c>
      <c r="C404" s="9" t="str">
        <f aca="false">'2026 Forecast A'!C354</f>
        <v>PLAINFIELD TWSP - DELABOLE</v>
      </c>
      <c r="D404" s="10" t="n">
        <f aca="false">'2026 Forecast A'!G354</f>
        <v>0.367156208277704</v>
      </c>
      <c r="E404" s="10" t="n">
        <f aca="false">'2026 Forecast B'!G354</f>
        <v>0.365821094793057</v>
      </c>
      <c r="F404" s="10" t="n">
        <f aca="false">'2026 Forecast C'!G354</f>
        <v>0.361815754339119</v>
      </c>
      <c r="G404" s="38" t="n">
        <f aca="false">(MAX(D404:F404)-MIN(D404:F404))*100</f>
        <v>0.534045393858479</v>
      </c>
      <c r="H404" s="38" t="n">
        <f aca="false">'2026 Forecast A'!J354</f>
        <v>3.02363014511423</v>
      </c>
      <c r="I404" s="38" t="n">
        <f aca="false">'2026 Forecast B'!J354</f>
        <v>2.87918965002339</v>
      </c>
      <c r="J404" s="38" t="n">
        <f aca="false">'2026 Forecast C'!J354</f>
        <v>3.15466234357281</v>
      </c>
      <c r="K404" s="18" t="n">
        <f aca="false">'2026 Forecast A'!F354</f>
        <v>749</v>
      </c>
      <c r="L404" s="39" t="str">
        <f aca="false">IF(OR(AND(D404&gt;0.5,E404&gt;0.5,F404&gt;0.5),AND(D404&lt;0.5,E404&lt;0.5,F404&lt;0.5)),"Yes","No — toss-up")</f>
        <v>Yes</v>
      </c>
    </row>
    <row r="405" customFormat="false" ht="15" hidden="false" customHeight="false" outlineLevel="0" collapsed="false">
      <c r="A405" s="9" t="str">
        <f aca="false">'2026 Forecast A'!A355</f>
        <v>Northampton</v>
      </c>
      <c r="B405" s="9" t="str">
        <f aca="false">'2026 Forecast A'!B355</f>
        <v>PLAINFIELD</v>
      </c>
      <c r="C405" s="9" t="str">
        <f aca="false">'2026 Forecast A'!C355</f>
        <v>PLAINFIELD TWSP - KESSLERSVILLE</v>
      </c>
      <c r="D405" s="10" t="n">
        <f aca="false">'2026 Forecast A'!G355</f>
        <v>0.350777934936351</v>
      </c>
      <c r="E405" s="10" t="n">
        <f aca="false">'2026 Forecast B'!G355</f>
        <v>0.347949080622348</v>
      </c>
      <c r="F405" s="10" t="n">
        <f aca="false">'2026 Forecast C'!G355</f>
        <v>0.345120226308345</v>
      </c>
      <c r="G405" s="38" t="n">
        <f aca="false">(MAX(D405:F405)-MIN(D405:F405))*100</f>
        <v>0.565770862800569</v>
      </c>
      <c r="H405" s="38" t="n">
        <f aca="false">'2026 Forecast A'!J355</f>
        <v>3.02363014511423</v>
      </c>
      <c r="I405" s="38" t="n">
        <f aca="false">'2026 Forecast B'!J355</f>
        <v>2.87918965002339</v>
      </c>
      <c r="J405" s="38" t="n">
        <f aca="false">'2026 Forecast C'!J355</f>
        <v>3.15466234357281</v>
      </c>
      <c r="K405" s="18" t="n">
        <f aca="false">'2026 Forecast A'!F355</f>
        <v>707</v>
      </c>
      <c r="L405" s="39" t="str">
        <f aca="false">IF(OR(AND(D405&gt;0.5,E405&gt;0.5,F405&gt;0.5),AND(D405&lt;0.5,E405&lt;0.5,F405&lt;0.5)),"Yes","No — toss-up")</f>
        <v>Yes</v>
      </c>
    </row>
    <row r="406" customFormat="false" ht="15" hidden="false" customHeight="false" outlineLevel="0" collapsed="false">
      <c r="A406" s="9" t="str">
        <f aca="false">'2026 Forecast A'!A356</f>
        <v>Northampton</v>
      </c>
      <c r="B406" s="9" t="str">
        <f aca="false">'2026 Forecast A'!B356</f>
        <v>PLAINFIELD</v>
      </c>
      <c r="C406" s="9" t="str">
        <f aca="false">'2026 Forecast A'!C356</f>
        <v>PLAINFIELD TWSP - PLAINFIELD CHURCH</v>
      </c>
      <c r="D406" s="10" t="n">
        <f aca="false">'2026 Forecast A'!G356</f>
        <v>0.349228611500701</v>
      </c>
      <c r="E406" s="10" t="n">
        <f aca="false">'2026 Forecast B'!G356</f>
        <v>0.349228611500701</v>
      </c>
      <c r="F406" s="10" t="n">
        <f aca="false">'2026 Forecast C'!G356</f>
        <v>0.343618513323983</v>
      </c>
      <c r="G406" s="38" t="n">
        <f aca="false">(MAX(D406:F406)-MIN(D406:F406))*100</f>
        <v>0.561009817671809</v>
      </c>
      <c r="H406" s="38" t="n">
        <f aca="false">'2026 Forecast A'!J356</f>
        <v>3.02363014511423</v>
      </c>
      <c r="I406" s="38" t="n">
        <f aca="false">'2026 Forecast B'!J356</f>
        <v>2.87918965002339</v>
      </c>
      <c r="J406" s="38" t="n">
        <f aca="false">'2026 Forecast C'!J356</f>
        <v>3.15466234357281</v>
      </c>
      <c r="K406" s="18" t="n">
        <f aca="false">'2026 Forecast A'!F356</f>
        <v>713</v>
      </c>
      <c r="L406" s="39" t="str">
        <f aca="false">IF(OR(AND(D406&gt;0.5,E406&gt;0.5,F406&gt;0.5),AND(D406&lt;0.5,E406&lt;0.5,F406&lt;0.5)),"Yes","No — toss-up")</f>
        <v>Yes</v>
      </c>
    </row>
    <row r="407" customFormat="false" ht="15" hidden="false" customHeight="false" outlineLevel="0" collapsed="false">
      <c r="A407" s="9" t="str">
        <f aca="false">'2026 Forecast A'!A357</f>
        <v>Northampton</v>
      </c>
      <c r="B407" s="9" t="str">
        <f aca="false">'2026 Forecast A'!B357</f>
        <v>PORTLAND</v>
      </c>
      <c r="C407" s="9" t="str">
        <f aca="false">'2026 Forecast A'!C357</f>
        <v>PORTLAND BORO</v>
      </c>
      <c r="D407" s="10" t="n">
        <f aca="false">'2026 Forecast A'!G357</f>
        <v>0.346938775510204</v>
      </c>
      <c r="E407" s="10" t="n">
        <f aca="false">'2026 Forecast B'!G357</f>
        <v>0.346938775510204</v>
      </c>
      <c r="F407" s="10" t="n">
        <f aca="false">'2026 Forecast C'!G357</f>
        <v>0.341836734693878</v>
      </c>
      <c r="G407" s="38" t="n">
        <f aca="false">(MAX(D407:F407)-MIN(D407:F407))*100</f>
        <v>0.510204081632654</v>
      </c>
      <c r="H407" s="38" t="n">
        <f aca="false">'2026 Forecast A'!J357</f>
        <v>3.02363014511423</v>
      </c>
      <c r="I407" s="38" t="n">
        <f aca="false">'2026 Forecast B'!J357</f>
        <v>2.87918965002339</v>
      </c>
      <c r="J407" s="38" t="n">
        <f aca="false">'2026 Forecast C'!J357</f>
        <v>3.15466234357281</v>
      </c>
      <c r="K407" s="18" t="n">
        <f aca="false">'2026 Forecast A'!F357</f>
        <v>196</v>
      </c>
      <c r="L407" s="39" t="str">
        <f aca="false">IF(OR(AND(D407&gt;0.5,E407&gt;0.5,F407&gt;0.5),AND(D407&lt;0.5,E407&lt;0.5,F407&lt;0.5)),"Yes","No — toss-up")</f>
        <v>Yes</v>
      </c>
    </row>
    <row r="408" customFormat="false" ht="15" hidden="false" customHeight="false" outlineLevel="0" collapsed="false">
      <c r="A408" s="9" t="str">
        <f aca="false">'2026 Forecast A'!A358</f>
        <v>Northampton</v>
      </c>
      <c r="B408" s="9" t="str">
        <f aca="false">'2026 Forecast A'!B358</f>
        <v>ROSETO</v>
      </c>
      <c r="C408" s="9" t="str">
        <f aca="false">'2026 Forecast A'!C358</f>
        <v>ROSETO BORO</v>
      </c>
      <c r="D408" s="10" t="n">
        <f aca="false">'2026 Forecast A'!G358</f>
        <v>0.390350877192982</v>
      </c>
      <c r="E408" s="10" t="n">
        <f aca="false">'2026 Forecast B'!G358</f>
        <v>0.391812865497076</v>
      </c>
      <c r="F408" s="10" t="n">
        <f aca="false">'2026 Forecast C'!G358</f>
        <v>0.385964912280702</v>
      </c>
      <c r="G408" s="38" t="n">
        <f aca="false">(MAX(D408:F408)-MIN(D408:F408))*100</f>
        <v>0.584795321637427</v>
      </c>
      <c r="H408" s="38" t="n">
        <f aca="false">'2026 Forecast A'!J358</f>
        <v>3.02363014511423</v>
      </c>
      <c r="I408" s="38" t="n">
        <f aca="false">'2026 Forecast B'!J358</f>
        <v>2.87918965002339</v>
      </c>
      <c r="J408" s="38" t="n">
        <f aca="false">'2026 Forecast C'!J358</f>
        <v>3.15466234357281</v>
      </c>
      <c r="K408" s="18" t="n">
        <f aca="false">'2026 Forecast A'!F358</f>
        <v>684</v>
      </c>
      <c r="L408" s="39" t="str">
        <f aca="false">IF(OR(AND(D408&gt;0.5,E408&gt;0.5,F408&gt;0.5),AND(D408&lt;0.5,E408&lt;0.5,F408&lt;0.5)),"Yes","No — toss-up")</f>
        <v>Yes</v>
      </c>
    </row>
    <row r="409" customFormat="false" ht="15" hidden="false" customHeight="false" outlineLevel="0" collapsed="false">
      <c r="A409" s="9" t="str">
        <f aca="false">'2026 Forecast A'!A359</f>
        <v>Northampton</v>
      </c>
      <c r="B409" s="9" t="str">
        <f aca="false">'2026 Forecast A'!B359</f>
        <v>STOCKERTOWN</v>
      </c>
      <c r="C409" s="9" t="str">
        <f aca="false">'2026 Forecast A'!C359</f>
        <v>STOCKERTOWN BORO</v>
      </c>
      <c r="D409" s="10" t="n">
        <f aca="false">'2026 Forecast A'!G359</f>
        <v>0.406169665809769</v>
      </c>
      <c r="E409" s="10" t="n">
        <f aca="false">'2026 Forecast B'!G359</f>
        <v>0.413881748071979</v>
      </c>
      <c r="F409" s="10" t="n">
        <f aca="false">'2026 Forecast C'!G359</f>
        <v>0.406169665809769</v>
      </c>
      <c r="G409" s="38" t="n">
        <f aca="false">(MAX(D409:F409)-MIN(D409:F409))*100</f>
        <v>0.771208226221076</v>
      </c>
      <c r="H409" s="38" t="n">
        <f aca="false">'2026 Forecast A'!J359</f>
        <v>3.02363014511423</v>
      </c>
      <c r="I409" s="38" t="n">
        <f aca="false">'2026 Forecast B'!J359</f>
        <v>2.87918965002339</v>
      </c>
      <c r="J409" s="38" t="n">
        <f aca="false">'2026 Forecast C'!J359</f>
        <v>3.15466234357281</v>
      </c>
      <c r="K409" s="18" t="n">
        <f aca="false">'2026 Forecast A'!F359</f>
        <v>389</v>
      </c>
      <c r="L409" s="39" t="str">
        <f aca="false">IF(OR(AND(D409&gt;0.5,E409&gt;0.5,F409&gt;0.5),AND(D409&lt;0.5,E409&lt;0.5,F409&lt;0.5)),"Yes","No — toss-up")</f>
        <v>Yes</v>
      </c>
    </row>
    <row r="410" customFormat="false" ht="15" hidden="false" customHeight="false" outlineLevel="0" collapsed="false">
      <c r="A410" s="9" t="str">
        <f aca="false">'2026 Forecast A'!A360</f>
        <v>Northampton</v>
      </c>
      <c r="B410" s="9" t="str">
        <f aca="false">'2026 Forecast A'!B360</f>
        <v>TATAMY</v>
      </c>
      <c r="C410" s="9" t="str">
        <f aca="false">'2026 Forecast A'!C360</f>
        <v>TATAMY BORO</v>
      </c>
      <c r="D410" s="10" t="n">
        <f aca="false">'2026 Forecast A'!G360</f>
        <v>0.440199335548173</v>
      </c>
      <c r="E410" s="10" t="n">
        <f aca="false">'2026 Forecast B'!G360</f>
        <v>0.43687707641196</v>
      </c>
      <c r="F410" s="10" t="n">
        <f aca="false">'2026 Forecast C'!G360</f>
        <v>0.438538205980066</v>
      </c>
      <c r="G410" s="38" t="n">
        <f aca="false">(MAX(D410:F410)-MIN(D410:F410))*100</f>
        <v>0.332225913621265</v>
      </c>
      <c r="H410" s="38" t="n">
        <f aca="false">'2026 Forecast A'!J360</f>
        <v>3.02363014511423</v>
      </c>
      <c r="I410" s="38" t="n">
        <f aca="false">'2026 Forecast B'!J360</f>
        <v>2.87918965002339</v>
      </c>
      <c r="J410" s="38" t="n">
        <f aca="false">'2026 Forecast C'!J360</f>
        <v>3.15466234357281</v>
      </c>
      <c r="K410" s="18" t="n">
        <f aca="false">'2026 Forecast A'!F360</f>
        <v>602</v>
      </c>
      <c r="L410" s="39" t="str">
        <f aca="false">IF(OR(AND(D410&gt;0.5,E410&gt;0.5,F410&gt;0.5),AND(D410&lt;0.5,E410&lt;0.5,F410&lt;0.5)),"Yes","No — toss-up")</f>
        <v>Yes</v>
      </c>
    </row>
    <row r="411" customFormat="false" ht="15" hidden="false" customHeight="false" outlineLevel="0" collapsed="false">
      <c r="A411" s="9" t="str">
        <f aca="false">'2026 Forecast A'!A361</f>
        <v>Northampton</v>
      </c>
      <c r="B411" s="9" t="str">
        <f aca="false">'2026 Forecast A'!B361</f>
        <v>UPPER MOUNT BETHEL</v>
      </c>
      <c r="C411" s="9" t="str">
        <f aca="false">'2026 Forecast A'!C361</f>
        <v>UPPER MT BETHEL TWSP - CENTERVILLE</v>
      </c>
      <c r="D411" s="10" t="n">
        <f aca="false">'2026 Forecast A'!G361</f>
        <v>0.300982800982801</v>
      </c>
      <c r="E411" s="10" t="n">
        <f aca="false">'2026 Forecast B'!G361</f>
        <v>0.293611793611794</v>
      </c>
      <c r="F411" s="10" t="n">
        <f aca="false">'2026 Forecast C'!G361</f>
        <v>0.293611793611794</v>
      </c>
      <c r="G411" s="38" t="n">
        <f aca="false">(MAX(D411:F411)-MIN(D411:F411))*100</f>
        <v>0.737100737100738</v>
      </c>
      <c r="H411" s="38" t="n">
        <f aca="false">'2026 Forecast A'!J361</f>
        <v>1.80877416096373</v>
      </c>
      <c r="I411" s="38" t="n">
        <f aca="false">'2026 Forecast B'!J361</f>
        <v>1.9254971424187</v>
      </c>
      <c r="J411" s="38" t="n">
        <f aca="false">'2026 Forecast C'!J361</f>
        <v>1.88510957763259</v>
      </c>
      <c r="K411" s="18" t="n">
        <f aca="false">'2026 Forecast A'!F361</f>
        <v>814</v>
      </c>
      <c r="L411" s="39" t="str">
        <f aca="false">IF(OR(AND(D411&gt;0.5,E411&gt;0.5,F411&gt;0.5),AND(D411&lt;0.5,E411&lt;0.5,F411&lt;0.5)),"Yes","No — toss-up")</f>
        <v>Yes</v>
      </c>
    </row>
    <row r="412" customFormat="false" ht="15" hidden="false" customHeight="false" outlineLevel="0" collapsed="false">
      <c r="A412" s="9" t="str">
        <f aca="false">'2026 Forecast A'!A362</f>
        <v>Northampton</v>
      </c>
      <c r="B412" s="9" t="str">
        <f aca="false">'2026 Forecast A'!B362</f>
        <v>UPPER MOUNT BETHEL</v>
      </c>
      <c r="C412" s="9" t="str">
        <f aca="false">'2026 Forecast A'!C362</f>
        <v>UPPER MT BETHEL TWSP - JOHNSONVILLE</v>
      </c>
      <c r="D412" s="10" t="n">
        <f aca="false">'2026 Forecast A'!G362</f>
        <v>0.33387358184765</v>
      </c>
      <c r="E412" s="10" t="n">
        <f aca="false">'2026 Forecast B'!G362</f>
        <v>0.337115072933549</v>
      </c>
      <c r="F412" s="10" t="n">
        <f aca="false">'2026 Forecast C'!G362</f>
        <v>0.327390599675851</v>
      </c>
      <c r="G412" s="38" t="n">
        <f aca="false">(MAX(D412:F412)-MIN(D412:F412))*100</f>
        <v>0.972447325769854</v>
      </c>
      <c r="H412" s="38" t="n">
        <f aca="false">'2026 Forecast A'!J362</f>
        <v>3.02363014511423</v>
      </c>
      <c r="I412" s="38" t="n">
        <f aca="false">'2026 Forecast B'!J362</f>
        <v>2.87918965002339</v>
      </c>
      <c r="J412" s="38" t="n">
        <f aca="false">'2026 Forecast C'!J362</f>
        <v>3.15466234357281</v>
      </c>
      <c r="K412" s="18" t="n">
        <f aca="false">'2026 Forecast A'!F362</f>
        <v>617</v>
      </c>
      <c r="L412" s="39" t="str">
        <f aca="false">IF(OR(AND(D412&gt;0.5,E412&gt;0.5,F412&gt;0.5),AND(D412&lt;0.5,E412&lt;0.5,F412&lt;0.5)),"Yes","No — toss-up")</f>
        <v>Yes</v>
      </c>
    </row>
    <row r="413" customFormat="false" ht="15" hidden="false" customHeight="false" outlineLevel="0" collapsed="false">
      <c r="A413" s="9" t="str">
        <f aca="false">'2026 Forecast A'!A363</f>
        <v>Northampton</v>
      </c>
      <c r="B413" s="9" t="str">
        <f aca="false">'2026 Forecast A'!B363</f>
        <v>UPPER MOUNT BETHEL</v>
      </c>
      <c r="C413" s="9" t="str">
        <f aca="false">'2026 Forecast A'!C363</f>
        <v>UPPER MT BETHEL TWSP - NORTH BANGOR</v>
      </c>
      <c r="D413" s="10" t="n">
        <f aca="false">'2026 Forecast A'!G363</f>
        <v>0.293560606060606</v>
      </c>
      <c r="E413" s="10" t="n">
        <f aca="false">'2026 Forecast B'!G363</f>
        <v>0.301136363636364</v>
      </c>
      <c r="F413" s="10" t="n">
        <f aca="false">'2026 Forecast C'!G363</f>
        <v>0.284090909090909</v>
      </c>
      <c r="G413" s="38" t="n">
        <f aca="false">(MAX(D413:F413)-MIN(D413:F413))*100</f>
        <v>1.70454545454545</v>
      </c>
      <c r="H413" s="38" t="n">
        <f aca="false">'2026 Forecast A'!J363</f>
        <v>3.02363014511423</v>
      </c>
      <c r="I413" s="38" t="n">
        <f aca="false">'2026 Forecast B'!J363</f>
        <v>2.87918965002339</v>
      </c>
      <c r="J413" s="38" t="n">
        <f aca="false">'2026 Forecast C'!J363</f>
        <v>3.15466234357281</v>
      </c>
      <c r="K413" s="18" t="n">
        <f aca="false">'2026 Forecast A'!F363</f>
        <v>528</v>
      </c>
      <c r="L413" s="39" t="str">
        <f aca="false">IF(OR(AND(D413&gt;0.5,E413&gt;0.5,F413&gt;0.5),AND(D413&lt;0.5,E413&lt;0.5,F413&lt;0.5)),"Yes","No — toss-up")</f>
        <v>Yes</v>
      </c>
    </row>
    <row r="414" customFormat="false" ht="15" hidden="false" customHeight="false" outlineLevel="0" collapsed="false">
      <c r="A414" s="9" t="str">
        <f aca="false">'2026 Forecast A'!A364</f>
        <v>Northampton</v>
      </c>
      <c r="B414" s="9" t="str">
        <f aca="false">'2026 Forecast A'!B364</f>
        <v>UPPER MOUNT BETHEL</v>
      </c>
      <c r="C414" s="9" t="str">
        <f aca="false">'2026 Forecast A'!C364</f>
        <v>UPPER MT BETHEL TWSP - SLATEFORD</v>
      </c>
      <c r="D414" s="10" t="n">
        <f aca="false">'2026 Forecast A'!G364</f>
        <v>0.304535637149028</v>
      </c>
      <c r="E414" s="10" t="n">
        <f aca="false">'2026 Forecast B'!G364</f>
        <v>0.300215982721382</v>
      </c>
      <c r="F414" s="10" t="n">
        <f aca="false">'2026 Forecast C'!G364</f>
        <v>0.295896328293737</v>
      </c>
      <c r="G414" s="38" t="n">
        <f aca="false">(MAX(D414:F414)-MIN(D414:F414))*100</f>
        <v>0.863930885529157</v>
      </c>
      <c r="H414" s="38" t="n">
        <f aca="false">'2026 Forecast A'!J364</f>
        <v>3.02363014511423</v>
      </c>
      <c r="I414" s="38" t="n">
        <f aca="false">'2026 Forecast B'!J364</f>
        <v>2.87918965002339</v>
      </c>
      <c r="J414" s="38" t="n">
        <f aca="false">'2026 Forecast C'!J364</f>
        <v>3.15466234357281</v>
      </c>
      <c r="K414" s="18" t="n">
        <f aca="false">'2026 Forecast A'!F364</f>
        <v>463</v>
      </c>
      <c r="L414" s="39" t="str">
        <f aca="false">IF(OR(AND(D414&gt;0.5,E414&gt;0.5,F414&gt;0.5),AND(D414&lt;0.5,E414&lt;0.5,F414&lt;0.5)),"Yes","No — toss-up")</f>
        <v>Yes</v>
      </c>
    </row>
    <row r="415" customFormat="false" ht="15" hidden="false" customHeight="false" outlineLevel="0" collapsed="false">
      <c r="A415" s="9" t="str">
        <f aca="false">'2026 Forecast A'!A365</f>
        <v>Northampton</v>
      </c>
      <c r="B415" s="9" t="str">
        <f aca="false">'2026 Forecast A'!B365</f>
        <v>UPPER MOUNT BETHEL</v>
      </c>
      <c r="C415" s="9" t="str">
        <f aca="false">'2026 Forecast A'!C365</f>
        <v>UPPER MT BETHEL TWSP - WILLIAMSBURG</v>
      </c>
      <c r="D415" s="10" t="n">
        <f aca="false">'2026 Forecast A'!G365</f>
        <v>0.367768595041322</v>
      </c>
      <c r="E415" s="10" t="n">
        <f aca="false">'2026 Forecast B'!G365</f>
        <v>0.365013774104683</v>
      </c>
      <c r="F415" s="10" t="n">
        <f aca="false">'2026 Forecast C'!G365</f>
        <v>0.363636363636364</v>
      </c>
      <c r="G415" s="38" t="n">
        <f aca="false">(MAX(D415:F415)-MIN(D415:F415))*100</f>
        <v>0.413223140495866</v>
      </c>
      <c r="H415" s="38" t="n">
        <f aca="false">'2026 Forecast A'!J365</f>
        <v>3.02363014511423</v>
      </c>
      <c r="I415" s="38" t="n">
        <f aca="false">'2026 Forecast B'!J365</f>
        <v>2.87918965002339</v>
      </c>
      <c r="J415" s="38" t="n">
        <f aca="false">'2026 Forecast C'!J365</f>
        <v>3.15466234357281</v>
      </c>
      <c r="K415" s="18" t="n">
        <f aca="false">'2026 Forecast A'!F365</f>
        <v>726</v>
      </c>
      <c r="L415" s="39" t="str">
        <f aca="false">IF(OR(AND(D415&gt;0.5,E415&gt;0.5,F415&gt;0.5),AND(D415&lt;0.5,E415&lt;0.5,F415&lt;0.5)),"Yes","No — toss-up")</f>
        <v>Yes</v>
      </c>
    </row>
    <row r="416" customFormat="false" ht="15" hidden="false" customHeight="false" outlineLevel="0" collapsed="false">
      <c r="A416" s="9" t="str">
        <f aca="false">'2026 Forecast A'!A366</f>
        <v>Northampton</v>
      </c>
      <c r="B416" s="9" t="str">
        <f aca="false">'2026 Forecast A'!B366</f>
        <v>UPPER NAZARETH</v>
      </c>
      <c r="C416" s="9" t="str">
        <f aca="false">'2026 Forecast A'!C366</f>
        <v>UPPER NAZARETH - EAST 1</v>
      </c>
      <c r="D416" s="10" t="n">
        <f aca="false">'2026 Forecast A'!G366</f>
        <v>0.4968</v>
      </c>
      <c r="E416" s="10" t="n">
        <f aca="false">'2026 Forecast B'!G366</f>
        <v>0.4936</v>
      </c>
      <c r="F416" s="10" t="n">
        <f aca="false">'2026 Forecast C'!G366</f>
        <v>0.4992</v>
      </c>
      <c r="G416" s="38" t="n">
        <f aca="false">(MAX(D416:F416)-MIN(D416:F416))*100</f>
        <v>0.559999999999999</v>
      </c>
      <c r="H416" s="38" t="n">
        <f aca="false">'2026 Forecast A'!J366</f>
        <v>1.24981746705324</v>
      </c>
      <c r="I416" s="38" t="n">
        <f aca="false">'2026 Forecast B'!J366</f>
        <v>1.86991787188303</v>
      </c>
      <c r="J416" s="38" t="n">
        <f aca="false">'2026 Forecast C'!J366</f>
        <v>1.24424911322721</v>
      </c>
      <c r="K416" s="18" t="n">
        <f aca="false">'2026 Forecast A'!F366</f>
        <v>1250</v>
      </c>
      <c r="L416" s="39" t="str">
        <f aca="false">IF(OR(AND(D416&gt;0.5,E416&gt;0.5,F416&gt;0.5),AND(D416&lt;0.5,E416&lt;0.5,F416&lt;0.5)),"Yes","No — toss-up")</f>
        <v>Yes</v>
      </c>
    </row>
    <row r="417" customFormat="false" ht="15" hidden="false" customHeight="false" outlineLevel="0" collapsed="false">
      <c r="A417" s="9" t="str">
        <f aca="false">'2026 Forecast A'!A367</f>
        <v>Northampton</v>
      </c>
      <c r="B417" s="9" t="str">
        <f aca="false">'2026 Forecast A'!B367</f>
        <v>UPPER NAZARETH</v>
      </c>
      <c r="C417" s="9" t="str">
        <f aca="false">'2026 Forecast A'!C367</f>
        <v>UPPER NAZARETH - EAST 2</v>
      </c>
      <c r="D417" s="10" t="n">
        <f aca="false">'2026 Forecast A'!G367</f>
        <v>0.481865284974093</v>
      </c>
      <c r="E417" s="10" t="n">
        <f aca="false">'2026 Forecast B'!G367</f>
        <v>0.490500863557858</v>
      </c>
      <c r="F417" s="10" t="n">
        <f aca="false">'2026 Forecast C'!G367</f>
        <v>0.476683937823834</v>
      </c>
      <c r="G417" s="38" t="n">
        <f aca="false">(MAX(D417:F417)-MIN(D417:F417))*100</f>
        <v>1.38169257340242</v>
      </c>
      <c r="H417" s="38" t="n">
        <f aca="false">'2026 Forecast A'!J367</f>
        <v>3.02363014511423</v>
      </c>
      <c r="I417" s="38" t="n">
        <f aca="false">'2026 Forecast B'!J367</f>
        <v>2.87918965002339</v>
      </c>
      <c r="J417" s="38" t="n">
        <f aca="false">'2026 Forecast C'!J367</f>
        <v>3.15466234357281</v>
      </c>
      <c r="K417" s="18" t="n">
        <f aca="false">'2026 Forecast A'!F367</f>
        <v>579</v>
      </c>
      <c r="L417" s="39" t="str">
        <f aca="false">IF(OR(AND(D417&gt;0.5,E417&gt;0.5,F417&gt;0.5),AND(D417&lt;0.5,E417&lt;0.5,F417&lt;0.5)),"Yes","No — toss-up")</f>
        <v>Yes</v>
      </c>
    </row>
    <row r="418" customFormat="false" ht="15" hidden="false" customHeight="false" outlineLevel="0" collapsed="false">
      <c r="A418" s="9" t="str">
        <f aca="false">'2026 Forecast A'!A368</f>
        <v>Northampton</v>
      </c>
      <c r="B418" s="9" t="str">
        <f aca="false">'2026 Forecast A'!B368</f>
        <v>UPPER NAZARETH</v>
      </c>
      <c r="C418" s="9" t="str">
        <f aca="false">'2026 Forecast A'!C368</f>
        <v>UPPER NAZARETH - WEST 1</v>
      </c>
      <c r="D418" s="10" t="n">
        <f aca="false">'2026 Forecast A'!G368</f>
        <v>0.500499500499501</v>
      </c>
      <c r="E418" s="10" t="n">
        <f aca="false">'2026 Forecast B'!G368</f>
        <v>0.494505494505495</v>
      </c>
      <c r="F418" s="10" t="n">
        <f aca="false">'2026 Forecast C'!G368</f>
        <v>0.501498501498502</v>
      </c>
      <c r="G418" s="38" t="n">
        <f aca="false">(MAX(D418:F418)-MIN(D418:F418))*100</f>
        <v>0.699300699300698</v>
      </c>
      <c r="H418" s="38" t="n">
        <f aca="false">'2026 Forecast A'!J368</f>
        <v>1.80877416096373</v>
      </c>
      <c r="I418" s="38" t="n">
        <f aca="false">'2026 Forecast B'!J368</f>
        <v>1.9254971424187</v>
      </c>
      <c r="J418" s="38" t="n">
        <f aca="false">'2026 Forecast C'!J368</f>
        <v>1.88510957763259</v>
      </c>
      <c r="K418" s="18" t="n">
        <f aca="false">'2026 Forecast A'!F368</f>
        <v>1001</v>
      </c>
      <c r="L418" s="39" t="str">
        <f aca="false">IF(OR(AND(D418&gt;0.5,E418&gt;0.5,F418&gt;0.5),AND(D418&lt;0.5,E418&lt;0.5,F418&lt;0.5)),"Yes","No — toss-up")</f>
        <v>No — toss-up</v>
      </c>
    </row>
    <row r="419" customFormat="false" ht="15" hidden="false" customHeight="false" outlineLevel="0" collapsed="false">
      <c r="A419" s="9" t="str">
        <f aca="false">'2026 Forecast A'!A369</f>
        <v>Northampton</v>
      </c>
      <c r="B419" s="9" t="str">
        <f aca="false">'2026 Forecast A'!B369</f>
        <v>UPPER NAZARETH</v>
      </c>
      <c r="C419" s="9" t="str">
        <f aca="false">'2026 Forecast A'!C369</f>
        <v>UPPER NAZARETH - WEST 2</v>
      </c>
      <c r="D419" s="10" t="n">
        <f aca="false">'2026 Forecast A'!G369</f>
        <v>0.484018264840183</v>
      </c>
      <c r="E419" s="10" t="n">
        <f aca="false">'2026 Forecast B'!G369</f>
        <v>0.488584474885845</v>
      </c>
      <c r="F419" s="10" t="n">
        <f aca="false">'2026 Forecast C'!G369</f>
        <v>0.479452054794521</v>
      </c>
      <c r="G419" s="38" t="n">
        <f aca="false">(MAX(D419:F419)-MIN(D419:F419))*100</f>
        <v>0.91324200913242</v>
      </c>
      <c r="H419" s="38" t="n">
        <f aca="false">'2026 Forecast A'!J369</f>
        <v>3.02363014511423</v>
      </c>
      <c r="I419" s="38" t="n">
        <f aca="false">'2026 Forecast B'!J369</f>
        <v>2.87918965002339</v>
      </c>
      <c r="J419" s="38" t="n">
        <f aca="false">'2026 Forecast C'!J369</f>
        <v>3.15466234357281</v>
      </c>
      <c r="K419" s="18" t="n">
        <f aca="false">'2026 Forecast A'!F369</f>
        <v>438</v>
      </c>
      <c r="L419" s="39" t="str">
        <f aca="false">IF(OR(AND(D419&gt;0.5,E419&gt;0.5,F419&gt;0.5),AND(D419&lt;0.5,E419&lt;0.5,F419&lt;0.5)),"Yes","No — toss-up")</f>
        <v>Yes</v>
      </c>
    </row>
    <row r="420" customFormat="false" ht="15" hidden="false" customHeight="false" outlineLevel="0" collapsed="false">
      <c r="A420" s="9" t="str">
        <f aca="false">'2026 Forecast A'!A370</f>
        <v>Northampton</v>
      </c>
      <c r="B420" s="9" t="str">
        <f aca="false">'2026 Forecast A'!B370</f>
        <v>WALNUTPORT</v>
      </c>
      <c r="C420" s="9" t="str">
        <f aca="false">'2026 Forecast A'!C370</f>
        <v>WALNUTPORT BORO</v>
      </c>
      <c r="D420" s="10" t="n">
        <f aca="false">'2026 Forecast A'!G370</f>
        <v>0.400788436268068</v>
      </c>
      <c r="E420" s="10" t="n">
        <f aca="false">'2026 Forecast B'!G370</f>
        <v>0.403416557161629</v>
      </c>
      <c r="F420" s="10" t="n">
        <f aca="false">'2026 Forecast C'!G370</f>
        <v>0.396846254927727</v>
      </c>
      <c r="G420" s="38" t="n">
        <f aca="false">(MAX(D420:F420)-MIN(D420:F420))*100</f>
        <v>0.657030223390276</v>
      </c>
      <c r="H420" s="38" t="n">
        <f aca="false">'2026 Forecast A'!J370</f>
        <v>3.02363014511423</v>
      </c>
      <c r="I420" s="38" t="n">
        <f aca="false">'2026 Forecast B'!J370</f>
        <v>2.87918965002339</v>
      </c>
      <c r="J420" s="38" t="n">
        <f aca="false">'2026 Forecast C'!J370</f>
        <v>3.15466234357281</v>
      </c>
      <c r="K420" s="18" t="n">
        <f aca="false">'2026 Forecast A'!F370</f>
        <v>761</v>
      </c>
      <c r="L420" s="39" t="str">
        <f aca="false">IF(OR(AND(D420&gt;0.5,E420&gt;0.5,F420&gt;0.5),AND(D420&lt;0.5,E420&lt;0.5,F420&lt;0.5)),"Yes","No — toss-up")</f>
        <v>Yes</v>
      </c>
    </row>
    <row r="421" customFormat="false" ht="15" hidden="false" customHeight="false" outlineLevel="0" collapsed="false">
      <c r="A421" s="9" t="str">
        <f aca="false">'2026 Forecast A'!A371</f>
        <v>Northampton</v>
      </c>
      <c r="B421" s="9" t="str">
        <f aca="false">'2026 Forecast A'!B371</f>
        <v>WASHINGTON</v>
      </c>
      <c r="C421" s="9" t="str">
        <f aca="false">'2026 Forecast A'!C371</f>
        <v>WASHINGTON TWSP - LOWER</v>
      </c>
      <c r="D421" s="10" t="n">
        <f aca="false">'2026 Forecast A'!G371</f>
        <v>0.3432</v>
      </c>
      <c r="E421" s="10" t="n">
        <f aca="false">'2026 Forecast B'!G371</f>
        <v>0.3472</v>
      </c>
      <c r="F421" s="10" t="n">
        <f aca="false">'2026 Forecast C'!G371</f>
        <v>0.3368</v>
      </c>
      <c r="G421" s="38" t="n">
        <f aca="false">(MAX(D421:F421)-MIN(D421:F421))*100</f>
        <v>1.04</v>
      </c>
      <c r="H421" s="38" t="n">
        <f aca="false">'2026 Forecast A'!J371</f>
        <v>1.24981746705324</v>
      </c>
      <c r="I421" s="38" t="n">
        <f aca="false">'2026 Forecast B'!J371</f>
        <v>1.86991787188303</v>
      </c>
      <c r="J421" s="38" t="n">
        <f aca="false">'2026 Forecast C'!J371</f>
        <v>1.24424911322721</v>
      </c>
      <c r="K421" s="18" t="n">
        <f aca="false">'2026 Forecast A'!F371</f>
        <v>1250</v>
      </c>
      <c r="L421" s="39" t="str">
        <f aca="false">IF(OR(AND(D421&gt;0.5,E421&gt;0.5,F421&gt;0.5),AND(D421&lt;0.5,E421&lt;0.5,F421&lt;0.5)),"Yes","No — toss-up")</f>
        <v>Yes</v>
      </c>
    </row>
    <row r="422" customFormat="false" ht="15" hidden="false" customHeight="false" outlineLevel="0" collapsed="false">
      <c r="A422" s="9" t="str">
        <f aca="false">'2026 Forecast A'!A372</f>
        <v>Northampton</v>
      </c>
      <c r="B422" s="9" t="str">
        <f aca="false">'2026 Forecast A'!B372</f>
        <v>WASHINGTON</v>
      </c>
      <c r="C422" s="9" t="str">
        <f aca="false">'2026 Forecast A'!C372</f>
        <v>WASHINGTON TWSP - UPPER</v>
      </c>
      <c r="D422" s="10" t="n">
        <f aca="false">'2026 Forecast A'!G372</f>
        <v>0.338372610048911</v>
      </c>
      <c r="E422" s="10" t="n">
        <f aca="false">'2026 Forecast B'!G372</f>
        <v>0.338372610048911</v>
      </c>
      <c r="F422" s="10" t="n">
        <f aca="false">'2026 Forecast C'!G372</f>
        <v>0.331702979101823</v>
      </c>
      <c r="G422" s="38" t="n">
        <f aca="false">(MAX(D422:F422)-MIN(D422:F422))*100</f>
        <v>0.666963094708756</v>
      </c>
      <c r="H422" s="38" t="n">
        <f aca="false">'2026 Forecast A'!J372</f>
        <v>1.24981746705324</v>
      </c>
      <c r="I422" s="38" t="n">
        <f aca="false">'2026 Forecast B'!J372</f>
        <v>1.86991787188303</v>
      </c>
      <c r="J422" s="38" t="n">
        <f aca="false">'2026 Forecast C'!J372</f>
        <v>1.24424911322721</v>
      </c>
      <c r="K422" s="18" t="n">
        <f aca="false">'2026 Forecast A'!F372</f>
        <v>2249</v>
      </c>
      <c r="L422" s="39" t="str">
        <f aca="false">IF(OR(AND(D422&gt;0.5,E422&gt;0.5,F422&gt;0.5),AND(D422&lt;0.5,E422&lt;0.5,F422&lt;0.5)),"Yes","No — toss-up")</f>
        <v>Yes</v>
      </c>
    </row>
    <row r="423" customFormat="false" ht="15" hidden="false" customHeight="false" outlineLevel="0" collapsed="false">
      <c r="A423" s="9" t="str">
        <f aca="false">'2026 Forecast A'!A373</f>
        <v>Northampton</v>
      </c>
      <c r="B423" s="9" t="str">
        <f aca="false">'2026 Forecast A'!B373</f>
        <v>WEST EASTON</v>
      </c>
      <c r="C423" s="9" t="str">
        <f aca="false">'2026 Forecast A'!C373</f>
        <v>WEST EASTON</v>
      </c>
      <c r="D423" s="10" t="n">
        <f aca="false">'2026 Forecast A'!G373</f>
        <v>0.495433789954338</v>
      </c>
      <c r="E423" s="10" t="n">
        <f aca="false">'2026 Forecast B'!G373</f>
        <v>0.497716894977169</v>
      </c>
      <c r="F423" s="10" t="n">
        <f aca="false">'2026 Forecast C'!G373</f>
        <v>0.495433789954338</v>
      </c>
      <c r="G423" s="38" t="n">
        <f aca="false">(MAX(D423:F423)-MIN(D423:F423))*100</f>
        <v>0.228310502283102</v>
      </c>
      <c r="H423" s="38" t="n">
        <f aca="false">'2026 Forecast A'!J373</f>
        <v>3.02363014511423</v>
      </c>
      <c r="I423" s="38" t="n">
        <f aca="false">'2026 Forecast B'!J373</f>
        <v>2.87918965002339</v>
      </c>
      <c r="J423" s="38" t="n">
        <f aca="false">'2026 Forecast C'!J373</f>
        <v>3.15466234357281</v>
      </c>
      <c r="K423" s="18" t="n">
        <f aca="false">'2026 Forecast A'!F373</f>
        <v>438</v>
      </c>
      <c r="L423" s="39" t="str">
        <f aca="false">IF(OR(AND(D423&gt;0.5,E423&gt;0.5,F423&gt;0.5),AND(D423&lt;0.5,E423&lt;0.5,F423&lt;0.5)),"Yes","No — toss-up")</f>
        <v>Yes</v>
      </c>
    </row>
    <row r="424" customFormat="false" ht="15" hidden="false" customHeight="false" outlineLevel="0" collapsed="false">
      <c r="A424" s="9" t="str">
        <f aca="false">'2026 Forecast A'!A374</f>
        <v>Northampton</v>
      </c>
      <c r="B424" s="9" t="str">
        <f aca="false">'2026 Forecast A'!B374</f>
        <v>WILLIAMS TOWNSHIP</v>
      </c>
      <c r="C424" s="9" t="str">
        <f aca="false">'2026 Forecast A'!C374</f>
        <v>WILLAMS TWSP - EASTERN</v>
      </c>
      <c r="D424" s="10" t="n">
        <f aca="false">'2026 Forecast A'!G374</f>
        <v>0.441266598569969</v>
      </c>
      <c r="E424" s="10" t="n">
        <f aca="false">'2026 Forecast B'!G374</f>
        <v>0.437180796731359</v>
      </c>
      <c r="F424" s="10" t="n">
        <f aca="false">'2026 Forecast C'!G374</f>
        <v>0.440245148110317</v>
      </c>
      <c r="G424" s="38" t="n">
        <f aca="false">(MAX(D424:F424)-MIN(D424:F424))*100</f>
        <v>0.408580183861085</v>
      </c>
      <c r="H424" s="38" t="n">
        <f aca="false">'2026 Forecast A'!J374</f>
        <v>1.80877416096373</v>
      </c>
      <c r="I424" s="38" t="n">
        <f aca="false">'2026 Forecast B'!J374</f>
        <v>1.9254971424187</v>
      </c>
      <c r="J424" s="38" t="n">
        <f aca="false">'2026 Forecast C'!J374</f>
        <v>1.88510957763259</v>
      </c>
      <c r="K424" s="18" t="n">
        <f aca="false">'2026 Forecast A'!F374</f>
        <v>979</v>
      </c>
      <c r="L424" s="39" t="str">
        <f aca="false">IF(OR(AND(D424&gt;0.5,E424&gt;0.5,F424&gt;0.5),AND(D424&lt;0.5,E424&lt;0.5,F424&lt;0.5)),"Yes","No — toss-up")</f>
        <v>Yes</v>
      </c>
    </row>
    <row r="425" customFormat="false" ht="15" hidden="false" customHeight="false" outlineLevel="0" collapsed="false">
      <c r="A425" s="9" t="str">
        <f aca="false">'2026 Forecast A'!A375</f>
        <v>Northampton</v>
      </c>
      <c r="B425" s="9" t="str">
        <f aca="false">'2026 Forecast A'!B375</f>
        <v>WILLIAMS TOWNSHIP</v>
      </c>
      <c r="C425" s="9" t="str">
        <f aca="false">'2026 Forecast A'!C375</f>
        <v>WILLIAMS TWSP - MIDDLE</v>
      </c>
      <c r="D425" s="10" t="n">
        <f aca="false">'2026 Forecast A'!G375</f>
        <v>0.40301724137931</v>
      </c>
      <c r="E425" s="10" t="n">
        <f aca="false">'2026 Forecast B'!G375</f>
        <v>0.395474137931035</v>
      </c>
      <c r="F425" s="10" t="n">
        <f aca="false">'2026 Forecast C'!G375</f>
        <v>0.400862068965517</v>
      </c>
      <c r="G425" s="38" t="n">
        <f aca="false">(MAX(D425:F425)-MIN(D425:F425))*100</f>
        <v>0.754310344827586</v>
      </c>
      <c r="H425" s="38" t="n">
        <f aca="false">'2026 Forecast A'!J375</f>
        <v>1.80877416096373</v>
      </c>
      <c r="I425" s="38" t="n">
        <f aca="false">'2026 Forecast B'!J375</f>
        <v>1.9254971424187</v>
      </c>
      <c r="J425" s="38" t="n">
        <f aca="false">'2026 Forecast C'!J375</f>
        <v>1.88510957763259</v>
      </c>
      <c r="K425" s="18" t="n">
        <f aca="false">'2026 Forecast A'!F375</f>
        <v>928</v>
      </c>
      <c r="L425" s="39" t="str">
        <f aca="false">IF(OR(AND(D425&gt;0.5,E425&gt;0.5,F425&gt;0.5),AND(D425&lt;0.5,E425&lt;0.5,F425&lt;0.5)),"Yes","No — toss-up")</f>
        <v>Yes</v>
      </c>
    </row>
    <row r="426" customFormat="false" ht="15" hidden="false" customHeight="false" outlineLevel="0" collapsed="false">
      <c r="A426" s="9" t="str">
        <f aca="false">'2026 Forecast A'!A376</f>
        <v>Northampton</v>
      </c>
      <c r="B426" s="9" t="str">
        <f aca="false">'2026 Forecast A'!B376</f>
        <v>WILLIAMS TOWNSHIP</v>
      </c>
      <c r="C426" s="9" t="str">
        <f aca="false">'2026 Forecast A'!C376</f>
        <v>WILLIAMS TWSP - UPPER</v>
      </c>
      <c r="D426" s="10" t="n">
        <f aca="false">'2026 Forecast A'!G376</f>
        <v>0.499437570303712</v>
      </c>
      <c r="E426" s="10" t="n">
        <f aca="false">'2026 Forecast B'!G376</f>
        <v>0.490438695163105</v>
      </c>
      <c r="F426" s="10" t="n">
        <f aca="false">'2026 Forecast C'!G376</f>
        <v>0.500562429696288</v>
      </c>
      <c r="G426" s="38" t="n">
        <f aca="false">(MAX(D426:F426)-MIN(D426:F426))*100</f>
        <v>1.01237345331833</v>
      </c>
      <c r="H426" s="38" t="n">
        <f aca="false">'2026 Forecast A'!J376</f>
        <v>1.80877416096373</v>
      </c>
      <c r="I426" s="38" t="n">
        <f aca="false">'2026 Forecast B'!J376</f>
        <v>1.9254971424187</v>
      </c>
      <c r="J426" s="38" t="n">
        <f aca="false">'2026 Forecast C'!J376</f>
        <v>1.88510957763259</v>
      </c>
      <c r="K426" s="18" t="n">
        <f aca="false">'2026 Forecast A'!F376</f>
        <v>889</v>
      </c>
      <c r="L426" s="39" t="str">
        <f aca="false">IF(OR(AND(D426&gt;0.5,E426&gt;0.5,F426&gt;0.5),AND(D426&lt;0.5,E426&lt;0.5,F426&lt;0.5)),"Yes","No — toss-up")</f>
        <v>No — toss-up</v>
      </c>
    </row>
    <row r="427" customFormat="false" ht="15" hidden="false" customHeight="false" outlineLevel="0" collapsed="false">
      <c r="A427" s="9" t="str">
        <f aca="false">'2026 Forecast A'!A377</f>
        <v>Northampton</v>
      </c>
      <c r="B427" s="9" t="str">
        <f aca="false">'2026 Forecast A'!B377</f>
        <v>WILLIAMS TOWNSHIP</v>
      </c>
      <c r="C427" s="9" t="str">
        <f aca="false">'2026 Forecast A'!C377</f>
        <v>WILLIAMS TWSP - WESTERN</v>
      </c>
      <c r="D427" s="10" t="n">
        <f aca="false">'2026 Forecast A'!G377</f>
        <v>0.428571428571429</v>
      </c>
      <c r="E427" s="10" t="n">
        <f aca="false">'2026 Forecast B'!G377</f>
        <v>0.430292598967298</v>
      </c>
      <c r="F427" s="10" t="n">
        <f aca="false">'2026 Forecast C'!G377</f>
        <v>0.426850258175559</v>
      </c>
      <c r="G427" s="38" t="n">
        <f aca="false">(MAX(D427:F427)-MIN(D427:F427))*100</f>
        <v>0.344234079173839</v>
      </c>
      <c r="H427" s="38" t="n">
        <f aca="false">'2026 Forecast A'!J377</f>
        <v>3.02363014511423</v>
      </c>
      <c r="I427" s="38" t="n">
        <f aca="false">'2026 Forecast B'!J377</f>
        <v>2.87918965002339</v>
      </c>
      <c r="J427" s="38" t="n">
        <f aca="false">'2026 Forecast C'!J377</f>
        <v>3.15466234357281</v>
      </c>
      <c r="K427" s="18" t="n">
        <f aca="false">'2026 Forecast A'!F377</f>
        <v>581</v>
      </c>
      <c r="L427" s="39" t="str">
        <f aca="false">IF(OR(AND(D427&gt;0.5,E427&gt;0.5,F427&gt;0.5),AND(D427&lt;0.5,E427&lt;0.5,F427&lt;0.5)),"Yes","No — toss-up")</f>
        <v>Yes</v>
      </c>
    </row>
    <row r="428" customFormat="false" ht="15" hidden="false" customHeight="false" outlineLevel="0" collapsed="false">
      <c r="A428" s="9" t="str">
        <f aca="false">'2026 Forecast A'!A378</f>
        <v>Northampton</v>
      </c>
      <c r="B428" s="9" t="str">
        <f aca="false">'2026 Forecast A'!B378</f>
        <v>WILSON</v>
      </c>
      <c r="C428" s="9" t="str">
        <f aca="false">'2026 Forecast A'!C378</f>
        <v>WILSON BORO 1ST WARD</v>
      </c>
      <c r="D428" s="10" t="n">
        <f aca="false">'2026 Forecast A'!G378</f>
        <v>0.586928104575163</v>
      </c>
      <c r="E428" s="10" t="n">
        <f aca="false">'2026 Forecast B'!G378</f>
        <v>0.589542483660131</v>
      </c>
      <c r="F428" s="10" t="n">
        <f aca="false">'2026 Forecast C'!G378</f>
        <v>0.589542483660131</v>
      </c>
      <c r="G428" s="38" t="n">
        <f aca="false">(MAX(D428:F428)-MIN(D428:F428))*100</f>
        <v>0.261437908496731</v>
      </c>
      <c r="H428" s="38" t="n">
        <f aca="false">'2026 Forecast A'!J378</f>
        <v>3.02363014511423</v>
      </c>
      <c r="I428" s="38" t="n">
        <f aca="false">'2026 Forecast B'!J378</f>
        <v>2.87918965002339</v>
      </c>
      <c r="J428" s="38" t="n">
        <f aca="false">'2026 Forecast C'!J378</f>
        <v>3.15466234357281</v>
      </c>
      <c r="K428" s="18" t="n">
        <f aca="false">'2026 Forecast A'!F378</f>
        <v>765</v>
      </c>
      <c r="L428" s="39" t="str">
        <f aca="false">IF(OR(AND(D428&gt;0.5,E428&gt;0.5,F428&gt;0.5),AND(D428&lt;0.5,E428&lt;0.5,F428&lt;0.5)),"Yes","No — toss-up")</f>
        <v>Yes</v>
      </c>
    </row>
    <row r="429" customFormat="false" ht="15" hidden="false" customHeight="false" outlineLevel="0" collapsed="false">
      <c r="A429" s="9" t="str">
        <f aca="false">'2026 Forecast A'!A379</f>
        <v>Northampton</v>
      </c>
      <c r="B429" s="9" t="str">
        <f aca="false">'2026 Forecast A'!B379</f>
        <v>WILSON</v>
      </c>
      <c r="C429" s="9" t="str">
        <f aca="false">'2026 Forecast A'!C379</f>
        <v>WILSON BORO 2ND WARD</v>
      </c>
      <c r="D429" s="10" t="n">
        <f aca="false">'2026 Forecast A'!G379</f>
        <v>0.568659127625202</v>
      </c>
      <c r="E429" s="10" t="n">
        <f aca="false">'2026 Forecast B'!G379</f>
        <v>0.568659127625202</v>
      </c>
      <c r="F429" s="10" t="n">
        <f aca="false">'2026 Forecast C'!G379</f>
        <v>0.570274636510501</v>
      </c>
      <c r="G429" s="38" t="n">
        <f aca="false">(MAX(D429:F429)-MIN(D429:F429))*100</f>
        <v>0.161550888529882</v>
      </c>
      <c r="H429" s="38" t="n">
        <f aca="false">'2026 Forecast A'!J379</f>
        <v>3.02363014511423</v>
      </c>
      <c r="I429" s="38" t="n">
        <f aca="false">'2026 Forecast B'!J379</f>
        <v>2.87918965002339</v>
      </c>
      <c r="J429" s="38" t="n">
        <f aca="false">'2026 Forecast C'!J379</f>
        <v>3.15466234357281</v>
      </c>
      <c r="K429" s="18" t="n">
        <f aca="false">'2026 Forecast A'!F379</f>
        <v>619</v>
      </c>
      <c r="L429" s="39" t="str">
        <f aca="false">IF(OR(AND(D429&gt;0.5,E429&gt;0.5,F429&gt;0.5),AND(D429&lt;0.5,E429&lt;0.5,F429&lt;0.5)),"Yes","No — toss-up")</f>
        <v>Yes</v>
      </c>
    </row>
    <row r="430" customFormat="false" ht="15" hidden="false" customHeight="false" outlineLevel="0" collapsed="false">
      <c r="A430" s="9" t="str">
        <f aca="false">'2026 Forecast A'!A380</f>
        <v>Northampton</v>
      </c>
      <c r="B430" s="9" t="str">
        <f aca="false">'2026 Forecast A'!B380</f>
        <v>WILSON</v>
      </c>
      <c r="C430" s="9" t="str">
        <f aca="false">'2026 Forecast A'!C380</f>
        <v>WILSON BORO 3RD WARD</v>
      </c>
      <c r="D430" s="10" t="n">
        <f aca="false">'2026 Forecast A'!G380</f>
        <v>0.546583850931677</v>
      </c>
      <c r="E430" s="10" t="n">
        <f aca="false">'2026 Forecast B'!G380</f>
        <v>0.553830227743271</v>
      </c>
      <c r="F430" s="10" t="n">
        <f aca="false">'2026 Forecast C'!G380</f>
        <v>0.548654244306418</v>
      </c>
      <c r="G430" s="38" t="n">
        <f aca="false">(MAX(D430:F430)-MIN(D430:F430))*100</f>
        <v>0.724637681159412</v>
      </c>
      <c r="H430" s="38" t="n">
        <f aca="false">'2026 Forecast A'!J380</f>
        <v>1.80877416096373</v>
      </c>
      <c r="I430" s="38" t="n">
        <f aca="false">'2026 Forecast B'!J380</f>
        <v>1.9254971424187</v>
      </c>
      <c r="J430" s="38" t="n">
        <f aca="false">'2026 Forecast C'!J380</f>
        <v>1.88510957763259</v>
      </c>
      <c r="K430" s="18" t="n">
        <f aca="false">'2026 Forecast A'!F380</f>
        <v>966</v>
      </c>
      <c r="L430" s="39" t="str">
        <f aca="false">IF(OR(AND(D430&gt;0.5,E430&gt;0.5,F430&gt;0.5),AND(D430&lt;0.5,E430&lt;0.5,F430&lt;0.5)),"Yes","No — toss-up")</f>
        <v>Yes</v>
      </c>
    </row>
    <row r="431" customFormat="false" ht="15" hidden="false" customHeight="false" outlineLevel="0" collapsed="false">
      <c r="A431" s="9" t="str">
        <f aca="false">'2026 Forecast A'!A381</f>
        <v>Northampton</v>
      </c>
      <c r="B431" s="9" t="str">
        <f aca="false">'2026 Forecast A'!B381</f>
        <v>WIND GAP</v>
      </c>
      <c r="C431" s="9" t="str">
        <f aca="false">'2026 Forecast A'!C381</f>
        <v>WIND GAP</v>
      </c>
      <c r="D431" s="10" t="n">
        <f aca="false">'2026 Forecast A'!G381</f>
        <v>0.443668122270742</v>
      </c>
      <c r="E431" s="10" t="n">
        <f aca="false">'2026 Forecast B'!G381</f>
        <v>0.441921397379913</v>
      </c>
      <c r="F431" s="10" t="n">
        <f aca="false">'2026 Forecast C'!G381</f>
        <v>0.442794759825328</v>
      </c>
      <c r="G431" s="38" t="n">
        <f aca="false">(MAX(D431:F431)-MIN(D431:F431))*100</f>
        <v>0.174672489082972</v>
      </c>
      <c r="H431" s="38" t="n">
        <f aca="false">'2026 Forecast A'!J381</f>
        <v>1.80877416096373</v>
      </c>
      <c r="I431" s="38" t="n">
        <f aca="false">'2026 Forecast B'!J381</f>
        <v>1.9254971424187</v>
      </c>
      <c r="J431" s="38" t="n">
        <f aca="false">'2026 Forecast C'!J381</f>
        <v>1.88510957763259</v>
      </c>
      <c r="K431" s="18" t="n">
        <f aca="false">'2026 Forecast A'!F381</f>
        <v>1145</v>
      </c>
      <c r="L431" s="39" t="str">
        <f aca="false">IF(OR(AND(D431&gt;0.5,E431&gt;0.5,F431&gt;0.5),AND(D431&lt;0.5,E431&lt;0.5,F431&lt;0.5)),"Yes","No — toss-up")</f>
        <v>Yes</v>
      </c>
    </row>
  </sheetData>
  <mergeCells count="12">
    <mergeCell ref="A5:I5"/>
    <mergeCell ref="A9:I9"/>
    <mergeCell ref="A16:I16"/>
    <mergeCell ref="A28:I28"/>
    <mergeCell ref="A30:I30"/>
    <mergeCell ref="A32:I32"/>
    <mergeCell ref="A34:I34"/>
    <mergeCell ref="A36:I36"/>
    <mergeCell ref="A38:I38"/>
    <mergeCell ref="A48:I48"/>
    <mergeCell ref="A54:I54"/>
    <mergeCell ref="A60:L60"/>
  </mergeCells>
  <conditionalFormatting sqref="F56:F58">
    <cfRule type="colorScale" priority="2">
      <colorScale>
        <cfvo type="min" val="0"/>
        <cfvo type="max" val="0"/>
        <color rgb="FF63BE7B"/>
        <color rgb="FFF8696B"/>
      </colorScale>
    </cfRule>
  </conditionalFormatting>
  <conditionalFormatting sqref="D62:F431">
    <cfRule type="colorScale" priority="3">
      <colorScale>
        <cfvo type="num" val="0.25"/>
        <cfvo type="num" val="0.5"/>
        <cfvo type="num" val="0.75"/>
        <color rgb="FFF4B6B6"/>
        <color rgb="FFFFFFFF"/>
        <color rgb="FFB4C7E7"/>
      </colorScale>
    </cfRule>
  </conditionalFormatting>
  <conditionalFormatting sqref="L62:L431">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84</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88</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B5-SUMPRODUCT(P12:P381,Q12:Q381)/SUM(Q12:Q381)/100</f>
        <v>0.493503234888888</v>
      </c>
      <c r="E5" s="41" t="s">
        <v>96</v>
      </c>
      <c r="F5" s="44" t="n">
        <v>-0.12202764793696</v>
      </c>
      <c r="G5" s="41" t="s">
        <v>97</v>
      </c>
      <c r="H5" s="45" t="n">
        <f aca="false">'Scenario &amp; Comparison'!$C$7/SUM(T12:T381)</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SUM(D12:D381)</f>
        <v>154595</v>
      </c>
      <c r="E8" s="46" t="n">
        <f aca="false">SUM(E12:E381)</f>
        <v>157594</v>
      </c>
      <c r="F8" s="46" t="n">
        <f aca="false">D8+E8</f>
        <v>312189</v>
      </c>
      <c r="G8" s="47" t="n">
        <f aca="false">IF(F8=0,"",D8/F8)</f>
        <v>0.49519681987514</v>
      </c>
      <c r="H8" s="47" t="n">
        <f aca="false">IF(F8=0,"",E8/F8)</f>
        <v>0.50480318012486</v>
      </c>
      <c r="I8" s="28" t="s">
        <v>110</v>
      </c>
      <c r="J8" s="48" t="n">
        <v>0.12202764793696</v>
      </c>
      <c r="K8" s="47" t="n">
        <f aca="false">G8-J8/100</f>
        <v>0.49397654339577</v>
      </c>
      <c r="L8" s="47" t="n">
        <f aca="false">G8+J8/100</f>
        <v>0.496417096354509</v>
      </c>
      <c r="M8" s="46" t="n">
        <f aca="false">ROUND(F8*J8/100,0)</f>
        <v>381</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121</v>
      </c>
      <c r="D12" s="37" t="n">
        <f aca="false">ROUND(Q12*R12,0)</f>
        <v>150</v>
      </c>
      <c r="E12" s="37" t="n">
        <f aca="false">ROUND(Q12,0)-D12</f>
        <v>214</v>
      </c>
      <c r="F12" s="37" t="n">
        <f aca="false">IF(COUNTA(D12:E12)=0,"",SUM(D12:E12))</f>
        <v>364</v>
      </c>
      <c r="G12" s="52" t="n">
        <f aca="false">IF(OR(F12="",F12=0),"",D12/F12)</f>
        <v>0.412087912087912</v>
      </c>
      <c r="H12" s="52" t="n">
        <f aca="false">IF(OR(F12="",F12=0),"",E12/F12)</f>
        <v>0.587912087912088</v>
      </c>
      <c r="I12" s="21" t="s">
        <v>122</v>
      </c>
      <c r="J12" s="53" t="n">
        <v>3.02363014511423</v>
      </c>
      <c r="K12" s="52" t="n">
        <f aca="false">IF(G12="","",MAX(0,G12-J12/100))</f>
        <v>0.38185161063677</v>
      </c>
      <c r="L12" s="52" t="n">
        <f aca="false">IF(G12="","",MIN(1,G12+J12/100))</f>
        <v>0.442324213539054</v>
      </c>
      <c r="M12" s="37" t="n">
        <f aca="false">IF(F12="","",ROUND(F12*J12/100,0))</f>
        <v>11</v>
      </c>
      <c r="P12" s="54" t="n">
        <v>-8.31206679094644</v>
      </c>
      <c r="Q12" s="55" t="n">
        <f aca="false">T12*$H$5</f>
        <v>364.490963855422</v>
      </c>
      <c r="R12" s="56" t="n">
        <f aca="false">MAX(0,MIN(1,P12/100+$D$5))</f>
        <v>0.410382566979424</v>
      </c>
      <c r="S12" s="57" t="s">
        <v>123</v>
      </c>
      <c r="T12" s="55" t="n">
        <v>364.490963855422</v>
      </c>
    </row>
    <row r="13" customFormat="false" ht="15" hidden="false" customHeight="false" outlineLevel="0" collapsed="false">
      <c r="A13" s="21" t="s">
        <v>120</v>
      </c>
      <c r="B13" s="21" t="s">
        <v>124</v>
      </c>
      <c r="C13" s="21" t="s">
        <v>124</v>
      </c>
      <c r="D13" s="37" t="n">
        <f aca="false">ROUND(Q13*R13,0)</f>
        <v>96</v>
      </c>
      <c r="E13" s="37" t="n">
        <f aca="false">ROUND(Q13,0)-D13</f>
        <v>234</v>
      </c>
      <c r="F13" s="37" t="n">
        <f aca="false">IF(COUNTA(D13:E13)=0,"",SUM(D13:E13))</f>
        <v>330</v>
      </c>
      <c r="G13" s="52" t="n">
        <f aca="false">IF(OR(F13="",F13=0),"",D13/F13)</f>
        <v>0.290909090909091</v>
      </c>
      <c r="H13" s="52" t="n">
        <f aca="false">IF(OR(F13="",F13=0),"",E13/F13)</f>
        <v>0.709090909090909</v>
      </c>
      <c r="I13" s="21" t="s">
        <v>122</v>
      </c>
      <c r="J13" s="53" t="n">
        <v>3.02363014511423</v>
      </c>
      <c r="K13" s="52" t="n">
        <f aca="false">IF(G13="","",MAX(0,G13-J13/100))</f>
        <v>0.260672789457949</v>
      </c>
      <c r="L13" s="52" t="n">
        <f aca="false">IF(G13="","",MIN(1,G13+J13/100))</f>
        <v>0.321145392360233</v>
      </c>
      <c r="M13" s="37" t="n">
        <f aca="false">IF(F13="","",ROUND(F13*J13/100,0))</f>
        <v>10</v>
      </c>
      <c r="P13" s="54" t="n">
        <v>-20.2253657341129</v>
      </c>
      <c r="Q13" s="55" t="n">
        <f aca="false">T13*$H$5</f>
        <v>330.130136986301</v>
      </c>
      <c r="R13" s="56" t="n">
        <f aca="false">MAX(0,MIN(1,P13/100+$D$5))</f>
        <v>0.291249577547759</v>
      </c>
      <c r="S13" s="57" t="s">
        <v>123</v>
      </c>
      <c r="T13" s="55" t="n">
        <v>330.130136986301</v>
      </c>
    </row>
    <row r="14" customFormat="false" ht="15" hidden="false" customHeight="false" outlineLevel="0" collapsed="false">
      <c r="A14" s="21" t="s">
        <v>120</v>
      </c>
      <c r="B14" s="21" t="s">
        <v>125</v>
      </c>
      <c r="C14" s="21" t="s">
        <v>125</v>
      </c>
      <c r="D14" s="37" t="n">
        <f aca="false">ROUND(Q14*R14,0)</f>
        <v>116</v>
      </c>
      <c r="E14" s="37" t="n">
        <f aca="false">ROUND(Q14,0)-D14</f>
        <v>240</v>
      </c>
      <c r="F14" s="37" t="n">
        <f aca="false">IF(COUNTA(D14:E14)=0,"",SUM(D14:E14))</f>
        <v>356</v>
      </c>
      <c r="G14" s="52" t="n">
        <f aca="false">IF(OR(F14="",F14=0),"",D14/F14)</f>
        <v>0.325842696629214</v>
      </c>
      <c r="H14" s="52" t="n">
        <f aca="false">IF(OR(F14="",F14=0),"",E14/F14)</f>
        <v>0.674157303370787</v>
      </c>
      <c r="I14" s="21" t="s">
        <v>122</v>
      </c>
      <c r="J14" s="53" t="n">
        <v>3.02363014511423</v>
      </c>
      <c r="K14" s="52" t="n">
        <f aca="false">IF(G14="","",MAX(0,G14-J14/100))</f>
        <v>0.295606395178071</v>
      </c>
      <c r="L14" s="52" t="n">
        <f aca="false">IF(G14="","",MIN(1,G14+J14/100))</f>
        <v>0.356078998080356</v>
      </c>
      <c r="M14" s="37" t="n">
        <f aca="false">IF(F14="","",ROUND(F14*J14/100,0))</f>
        <v>11</v>
      </c>
      <c r="P14" s="54" t="n">
        <v>-16.7275130667242</v>
      </c>
      <c r="Q14" s="55" t="n">
        <f aca="false">T14*$H$5</f>
        <v>355.63436928702</v>
      </c>
      <c r="R14" s="56" t="n">
        <f aca="false">MAX(0,MIN(1,P14/100+$D$5))</f>
        <v>0.326228104221646</v>
      </c>
      <c r="S14" s="57" t="s">
        <v>123</v>
      </c>
      <c r="T14" s="55" t="n">
        <v>355.63436928702</v>
      </c>
    </row>
    <row r="15" customFormat="false" ht="15" hidden="false" customHeight="false" outlineLevel="0" collapsed="false">
      <c r="A15" s="21" t="s">
        <v>120</v>
      </c>
      <c r="B15" s="21" t="s">
        <v>126</v>
      </c>
      <c r="C15" s="21" t="s">
        <v>127</v>
      </c>
      <c r="D15" s="37" t="n">
        <f aca="false">ROUND(Q15*R15,0)</f>
        <v>187</v>
      </c>
      <c r="E15" s="37" t="n">
        <f aca="false">ROUND(Q15,0)-D15</f>
        <v>537</v>
      </c>
      <c r="F15" s="37" t="n">
        <f aca="false">IF(COUNTA(D15:E15)=0,"",SUM(D15:E15))</f>
        <v>724</v>
      </c>
      <c r="G15" s="52" t="n">
        <f aca="false">IF(OR(F15="",F15=0),"",D15/F15)</f>
        <v>0.25828729281768</v>
      </c>
      <c r="H15" s="52" t="n">
        <f aca="false">IF(OR(F15="",F15=0),"",E15/F15)</f>
        <v>0.74171270718232</v>
      </c>
      <c r="I15" s="21" t="s">
        <v>122</v>
      </c>
      <c r="J15" s="53" t="n">
        <v>3.02363014511423</v>
      </c>
      <c r="K15" s="52" t="n">
        <f aca="false">IF(G15="","",MAX(0,G15-J15/100))</f>
        <v>0.228050991366537</v>
      </c>
      <c r="L15" s="52" t="n">
        <f aca="false">IF(G15="","",MIN(1,G15+J15/100))</f>
        <v>0.288523594268822</v>
      </c>
      <c r="M15" s="37" t="n">
        <f aca="false">IF(F15="","",ROUND(F15*J15/100,0))</f>
        <v>22</v>
      </c>
      <c r="P15" s="54" t="n">
        <v>-23.5065137339274</v>
      </c>
      <c r="Q15" s="55" t="n">
        <f aca="false">T15*$H$5</f>
        <v>724.377906976744</v>
      </c>
      <c r="R15" s="56" t="n">
        <f aca="false">MAX(0,MIN(1,P15/100+$D$5))</f>
        <v>0.258438097549615</v>
      </c>
      <c r="S15" s="57" t="s">
        <v>123</v>
      </c>
      <c r="T15" s="55" t="n">
        <v>724.377906976744</v>
      </c>
    </row>
    <row r="16" customFormat="false" ht="15" hidden="false" customHeight="false" outlineLevel="0" collapsed="false">
      <c r="A16" s="21" t="s">
        <v>120</v>
      </c>
      <c r="B16" s="21" t="s">
        <v>126</v>
      </c>
      <c r="C16" s="21" t="s">
        <v>128</v>
      </c>
      <c r="D16" s="37" t="n">
        <f aca="false">ROUND(Q16*R16,0)</f>
        <v>176</v>
      </c>
      <c r="E16" s="37" t="n">
        <f aca="false">ROUND(Q16,0)-D16</f>
        <v>435</v>
      </c>
      <c r="F16" s="37" t="n">
        <f aca="false">IF(COUNTA(D16:E16)=0,"",SUM(D16:E16))</f>
        <v>611</v>
      </c>
      <c r="G16" s="52" t="n">
        <f aca="false">IF(OR(F16="",F16=0),"",D16/F16)</f>
        <v>0.288052373158756</v>
      </c>
      <c r="H16" s="52" t="n">
        <f aca="false">IF(OR(F16="",F16=0),"",E16/F16)</f>
        <v>0.711947626841244</v>
      </c>
      <c r="I16" s="21" t="s">
        <v>122</v>
      </c>
      <c r="J16" s="53" t="n">
        <v>3.02363014511423</v>
      </c>
      <c r="K16" s="52" t="n">
        <f aca="false">IF(G16="","",MAX(0,G16-J16/100))</f>
        <v>0.257816071707614</v>
      </c>
      <c r="L16" s="52" t="n">
        <f aca="false">IF(G16="","",MIN(1,G16+J16/100))</f>
        <v>0.318288674609898</v>
      </c>
      <c r="M16" s="37" t="n">
        <f aca="false">IF(F16="","",ROUND(F16*J16/100,0))</f>
        <v>18</v>
      </c>
      <c r="P16" s="54" t="n">
        <v>-20.5282552259351</v>
      </c>
      <c r="Q16" s="55" t="n">
        <f aca="false">T16*$H$5</f>
        <v>610.89237199582</v>
      </c>
      <c r="R16" s="56" t="n">
        <f aca="false">MAX(0,MIN(1,P16/100+$D$5))</f>
        <v>0.288220682629537</v>
      </c>
      <c r="S16" s="57" t="s">
        <v>123</v>
      </c>
      <c r="T16" s="55" t="n">
        <v>610.89237199582</v>
      </c>
    </row>
    <row r="17" customFormat="false" ht="15" hidden="false" customHeight="false" outlineLevel="0" collapsed="false">
      <c r="A17" s="21" t="s">
        <v>120</v>
      </c>
      <c r="B17" s="21" t="s">
        <v>129</v>
      </c>
      <c r="C17" s="21" t="s">
        <v>129</v>
      </c>
      <c r="D17" s="37" t="n">
        <f aca="false">ROUND(Q17*R17,0)</f>
        <v>32</v>
      </c>
      <c r="E17" s="37" t="n">
        <f aca="false">ROUND(Q17,0)-D17</f>
        <v>61</v>
      </c>
      <c r="F17" s="37" t="n">
        <f aca="false">IF(COUNTA(D17:E17)=0,"",SUM(D17:E17))</f>
        <v>93</v>
      </c>
      <c r="G17" s="52" t="n">
        <f aca="false">IF(OR(F17="",F17=0),"",D17/F17)</f>
        <v>0.344086021505376</v>
      </c>
      <c r="H17" s="52" t="n">
        <f aca="false">IF(OR(F17="",F17=0),"",E17/F17)</f>
        <v>0.655913978494624</v>
      </c>
      <c r="I17" s="21" t="s">
        <v>122</v>
      </c>
      <c r="J17" s="53" t="n">
        <v>3.02363014511423</v>
      </c>
      <c r="K17" s="52" t="n">
        <f aca="false">IF(G17="","",MAX(0,G17-J17/100))</f>
        <v>0.313849720054234</v>
      </c>
      <c r="L17" s="52" t="n">
        <f aca="false">IF(G17="","",MIN(1,G17+J17/100))</f>
        <v>0.374322322956519</v>
      </c>
      <c r="M17" s="37" t="n">
        <f aca="false">IF(F17="","",ROUND(F17*J17/100,0))</f>
        <v>3</v>
      </c>
      <c r="P17" s="54" t="n">
        <v>-14.6679409560011</v>
      </c>
      <c r="Q17" s="55" t="n">
        <f aca="false">T17*$H$5</f>
        <v>93.4268292682927</v>
      </c>
      <c r="R17" s="56" t="n">
        <f aca="false">MAX(0,MIN(1,P17/100+$D$5))</f>
        <v>0.346823825328878</v>
      </c>
      <c r="S17" s="57" t="s">
        <v>123</v>
      </c>
      <c r="T17" s="55" t="n">
        <v>93.4268292682927</v>
      </c>
    </row>
    <row r="18" customFormat="false" ht="15" hidden="false" customHeight="false" outlineLevel="0" collapsed="false">
      <c r="A18" s="21" t="s">
        <v>120</v>
      </c>
      <c r="B18" s="21" t="s">
        <v>130</v>
      </c>
      <c r="C18" s="21" t="s">
        <v>131</v>
      </c>
      <c r="D18" s="37" t="n">
        <f aca="false">ROUND(Q18*R18,0)</f>
        <v>247</v>
      </c>
      <c r="E18" s="37" t="n">
        <f aca="false">ROUND(Q18,0)-D18</f>
        <v>606</v>
      </c>
      <c r="F18" s="37" t="n">
        <f aca="false">IF(COUNTA(D18:E18)=0,"",SUM(D18:E18))</f>
        <v>853</v>
      </c>
      <c r="G18" s="52" t="n">
        <f aca="false">IF(OR(F18="",F18=0),"",D18/F18)</f>
        <v>0.289566236811254</v>
      </c>
      <c r="H18" s="52" t="n">
        <f aca="false">IF(OR(F18="",F18=0),"",E18/F18)</f>
        <v>0.710433763188746</v>
      </c>
      <c r="I18" s="21" t="s">
        <v>122</v>
      </c>
      <c r="J18" s="53" t="n">
        <v>1.80877416096373</v>
      </c>
      <c r="K18" s="52" t="n">
        <f aca="false">IF(G18="","",MAX(0,G18-J18/100))</f>
        <v>0.271478495201617</v>
      </c>
      <c r="L18" s="52" t="n">
        <f aca="false">IF(G18="","",MIN(1,G18+J18/100))</f>
        <v>0.307653978420892</v>
      </c>
      <c r="M18" s="37" t="n">
        <f aca="false">IF(F18="","",ROUND(F18*J18/100,0))</f>
        <v>15</v>
      </c>
      <c r="P18" s="54" t="n">
        <v>-20.3776081058578</v>
      </c>
      <c r="Q18" s="55" t="n">
        <f aca="false">T18*$H$5</f>
        <v>852.994440031771</v>
      </c>
      <c r="R18" s="56" t="n">
        <f aca="false">MAX(0,MIN(1,P18/100+$D$5))</f>
        <v>0.289727153830311</v>
      </c>
      <c r="S18" s="57" t="s">
        <v>132</v>
      </c>
      <c r="T18" s="55" t="n">
        <v>852.994440031771</v>
      </c>
    </row>
    <row r="19" customFormat="false" ht="15" hidden="false" customHeight="false" outlineLevel="0" collapsed="false">
      <c r="A19" s="21" t="s">
        <v>120</v>
      </c>
      <c r="B19" s="21" t="s">
        <v>130</v>
      </c>
      <c r="C19" s="21" t="s">
        <v>133</v>
      </c>
      <c r="D19" s="37" t="n">
        <f aca="false">ROUND(Q19*R19,0)</f>
        <v>126</v>
      </c>
      <c r="E19" s="37" t="n">
        <f aca="false">ROUND(Q19,0)-D19</f>
        <v>322</v>
      </c>
      <c r="F19" s="37" t="n">
        <f aca="false">IF(COUNTA(D19:E19)=0,"",SUM(D19:E19))</f>
        <v>448</v>
      </c>
      <c r="G19" s="52" t="n">
        <f aca="false">IF(OR(F19="",F19=0),"",D19/F19)</f>
        <v>0.28125</v>
      </c>
      <c r="H19" s="52" t="n">
        <f aca="false">IF(OR(F19="",F19=0),"",E19/F19)</f>
        <v>0.71875</v>
      </c>
      <c r="I19" s="21" t="s">
        <v>122</v>
      </c>
      <c r="J19" s="53" t="n">
        <v>3.02363014511423</v>
      </c>
      <c r="K19" s="52" t="n">
        <f aca="false">IF(G19="","",MAX(0,G19-J19/100))</f>
        <v>0.251013698548858</v>
      </c>
      <c r="L19" s="52" t="n">
        <f aca="false">IF(G19="","",MIN(1,G19+J19/100))</f>
        <v>0.311486301451142</v>
      </c>
      <c r="M19" s="37" t="n">
        <f aca="false">IF(F19="","",ROUND(F19*J19/100,0))</f>
        <v>14</v>
      </c>
      <c r="P19" s="54" t="n">
        <v>-21.3209919108534</v>
      </c>
      <c r="Q19" s="55" t="n">
        <f aca="false">T19*$H$5</f>
        <v>447.939320388349</v>
      </c>
      <c r="R19" s="56" t="n">
        <f aca="false">MAX(0,MIN(1,P19/100+$D$5))</f>
        <v>0.280293315780354</v>
      </c>
      <c r="S19" s="57" t="s">
        <v>123</v>
      </c>
      <c r="T19" s="55" t="n">
        <v>447.939320388349</v>
      </c>
    </row>
    <row r="20" customFormat="false" ht="15" hidden="false" customHeight="false" outlineLevel="0" collapsed="false">
      <c r="A20" s="21" t="s">
        <v>120</v>
      </c>
      <c r="B20" s="21" t="s">
        <v>130</v>
      </c>
      <c r="C20" s="21" t="s">
        <v>134</v>
      </c>
      <c r="D20" s="37" t="n">
        <f aca="false">ROUND(Q20*R20,0)</f>
        <v>190</v>
      </c>
      <c r="E20" s="37" t="n">
        <f aca="false">ROUND(Q20,0)-D20</f>
        <v>493</v>
      </c>
      <c r="F20" s="37" t="n">
        <f aca="false">IF(COUNTA(D20:E20)=0,"",SUM(D20:E20))</f>
        <v>683</v>
      </c>
      <c r="G20" s="52" t="n">
        <f aca="false">IF(OR(F20="",F20=0),"",D20/F20)</f>
        <v>0.278184480234261</v>
      </c>
      <c r="H20" s="52" t="n">
        <f aca="false">IF(OR(F20="",F20=0),"",E20/F20)</f>
        <v>0.721815519765739</v>
      </c>
      <c r="I20" s="21" t="s">
        <v>122</v>
      </c>
      <c r="J20" s="53" t="n">
        <v>3.02363014511423</v>
      </c>
      <c r="K20" s="52" t="n">
        <f aca="false">IF(G20="","",MAX(0,G20-J20/100))</f>
        <v>0.247948178783118</v>
      </c>
      <c r="L20" s="52" t="n">
        <f aca="false">IF(G20="","",MIN(1,G20+J20/100))</f>
        <v>0.308420781685403</v>
      </c>
      <c r="M20" s="37" t="n">
        <f aca="false">IF(F20="","",ROUND(F20*J20/100,0))</f>
        <v>21</v>
      </c>
      <c r="P20" s="54" t="n">
        <v>-21.5298779635524</v>
      </c>
      <c r="Q20" s="55" t="n">
        <f aca="false">T20*$H$5</f>
        <v>683.326771653543</v>
      </c>
      <c r="R20" s="56" t="n">
        <f aca="false">MAX(0,MIN(1,P20/100+$D$5))</f>
        <v>0.278204455253365</v>
      </c>
      <c r="S20" s="57" t="s">
        <v>123</v>
      </c>
      <c r="T20" s="55" t="n">
        <v>683.326771653543</v>
      </c>
    </row>
    <row r="21" customFormat="false" ht="15" hidden="false" customHeight="false" outlineLevel="0" collapsed="false">
      <c r="A21" s="21" t="s">
        <v>120</v>
      </c>
      <c r="B21" s="21" t="s">
        <v>135</v>
      </c>
      <c r="C21" s="21" t="s">
        <v>136</v>
      </c>
      <c r="D21" s="37" t="n">
        <f aca="false">ROUND(Q21*R21,0)</f>
        <v>200</v>
      </c>
      <c r="E21" s="37" t="n">
        <f aca="false">ROUND(Q21,0)-D21</f>
        <v>236</v>
      </c>
      <c r="F21" s="37" t="n">
        <f aca="false">IF(COUNTA(D21:E21)=0,"",SUM(D21:E21))</f>
        <v>436</v>
      </c>
      <c r="G21" s="52" t="n">
        <f aca="false">IF(OR(F21="",F21=0),"",D21/F21)</f>
        <v>0.458715596330275</v>
      </c>
      <c r="H21" s="52" t="n">
        <f aca="false">IF(OR(F21="",F21=0),"",E21/F21)</f>
        <v>0.541284403669725</v>
      </c>
      <c r="I21" s="21" t="s">
        <v>122</v>
      </c>
      <c r="J21" s="53" t="n">
        <v>3.02363014511423</v>
      </c>
      <c r="K21" s="52" t="n">
        <f aca="false">IF(G21="","",MAX(0,G21-J21/100))</f>
        <v>0.428479294879133</v>
      </c>
      <c r="L21" s="52" t="n">
        <f aca="false">IF(G21="","",MIN(1,G21+J21/100))</f>
        <v>0.488951897781418</v>
      </c>
      <c r="M21" s="37" t="n">
        <f aca="false">IF(F21="","",ROUND(F21*J21/100,0))</f>
        <v>13</v>
      </c>
      <c r="P21" s="54" t="n">
        <v>-3.61446593826244</v>
      </c>
      <c r="Q21" s="55" t="n">
        <f aca="false">T21*$H$5</f>
        <v>436.24466571835</v>
      </c>
      <c r="R21" s="56" t="n">
        <f aca="false">MAX(0,MIN(1,P21/100+$D$5))</f>
        <v>0.457358575506264</v>
      </c>
      <c r="S21" s="57" t="s">
        <v>123</v>
      </c>
      <c r="T21" s="55" t="n">
        <v>436.24466571835</v>
      </c>
    </row>
    <row r="22" customFormat="false" ht="15" hidden="false" customHeight="false" outlineLevel="0" collapsed="false">
      <c r="A22" s="21" t="s">
        <v>120</v>
      </c>
      <c r="B22" s="21" t="s">
        <v>135</v>
      </c>
      <c r="C22" s="21" t="s">
        <v>137</v>
      </c>
      <c r="D22" s="37" t="n">
        <f aca="false">ROUND(Q22*R22,0)</f>
        <v>123</v>
      </c>
      <c r="E22" s="37" t="n">
        <f aca="false">ROUND(Q22,0)-D22</f>
        <v>157</v>
      </c>
      <c r="F22" s="37" t="n">
        <f aca="false">IF(COUNTA(D22:E22)=0,"",SUM(D22:E22))</f>
        <v>280</v>
      </c>
      <c r="G22" s="52" t="n">
        <f aca="false">IF(OR(F22="",F22=0),"",D22/F22)</f>
        <v>0.439285714285714</v>
      </c>
      <c r="H22" s="52" t="n">
        <f aca="false">IF(OR(F22="",F22=0),"",E22/F22)</f>
        <v>0.560714285714286</v>
      </c>
      <c r="I22" s="21" t="s">
        <v>122</v>
      </c>
      <c r="J22" s="53" t="n">
        <v>3.02363014511423</v>
      </c>
      <c r="K22" s="52" t="n">
        <f aca="false">IF(G22="","",MAX(0,G22-J22/100))</f>
        <v>0.409049412834572</v>
      </c>
      <c r="L22" s="52" t="n">
        <f aca="false">IF(G22="","",MIN(1,G22+J22/100))</f>
        <v>0.469522015736857</v>
      </c>
      <c r="M22" s="37" t="n">
        <f aca="false">IF(F22="","",ROUND(F22*J22/100,0))</f>
        <v>8</v>
      </c>
      <c r="P22" s="54" t="n">
        <v>-5.491425982044</v>
      </c>
      <c r="Q22" s="55" t="n">
        <f aca="false">T22*$H$5</f>
        <v>280.5</v>
      </c>
      <c r="R22" s="56" t="n">
        <f aca="false">MAX(0,MIN(1,P22/100+$D$5))</f>
        <v>0.438588975068448</v>
      </c>
      <c r="S22" s="57" t="s">
        <v>123</v>
      </c>
      <c r="T22" s="55" t="n">
        <v>280.5</v>
      </c>
    </row>
    <row r="23" customFormat="false" ht="15" hidden="false" customHeight="false" outlineLevel="0" collapsed="false">
      <c r="A23" s="21" t="s">
        <v>120</v>
      </c>
      <c r="B23" s="21" t="s">
        <v>135</v>
      </c>
      <c r="C23" s="21" t="s">
        <v>138</v>
      </c>
      <c r="D23" s="37" t="n">
        <f aca="false">ROUND(Q23*R23,0)</f>
        <v>254</v>
      </c>
      <c r="E23" s="37" t="n">
        <f aca="false">ROUND(Q23,0)-D23</f>
        <v>392</v>
      </c>
      <c r="F23" s="37" t="n">
        <f aca="false">IF(COUNTA(D23:E23)=0,"",SUM(D23:E23))</f>
        <v>646</v>
      </c>
      <c r="G23" s="52" t="n">
        <f aca="false">IF(OR(F23="",F23=0),"",D23/F23)</f>
        <v>0.393188854489164</v>
      </c>
      <c r="H23" s="52" t="n">
        <f aca="false">IF(OR(F23="",F23=0),"",E23/F23)</f>
        <v>0.606811145510836</v>
      </c>
      <c r="I23" s="21" t="s">
        <v>122</v>
      </c>
      <c r="J23" s="53" t="n">
        <v>3.02363014511423</v>
      </c>
      <c r="K23" s="52" t="n">
        <f aca="false">IF(G23="","",MAX(0,G23-J23/100))</f>
        <v>0.362952553038022</v>
      </c>
      <c r="L23" s="52" t="n">
        <f aca="false">IF(G23="","",MIN(1,G23+J23/100))</f>
        <v>0.423425155940306</v>
      </c>
      <c r="M23" s="37" t="n">
        <f aca="false">IF(F23="","",ROUND(F23*J23/100,0))</f>
        <v>20</v>
      </c>
      <c r="P23" s="54" t="n">
        <v>-9.9574663523095</v>
      </c>
      <c r="Q23" s="55" t="n">
        <f aca="false">T23*$H$5</f>
        <v>645.69536423841</v>
      </c>
      <c r="R23" s="56" t="n">
        <f aca="false">MAX(0,MIN(1,P23/100+$D$5))</f>
        <v>0.393928571365793</v>
      </c>
      <c r="S23" s="57" t="s">
        <v>123</v>
      </c>
      <c r="T23" s="55" t="n">
        <v>645.69536423841</v>
      </c>
    </row>
    <row r="24" customFormat="false" ht="15" hidden="false" customHeight="false" outlineLevel="0" collapsed="false">
      <c r="A24" s="21" t="s">
        <v>120</v>
      </c>
      <c r="B24" s="21" t="s">
        <v>135</v>
      </c>
      <c r="C24" s="21" t="s">
        <v>139</v>
      </c>
      <c r="D24" s="37" t="n">
        <f aca="false">ROUND(Q24*R24,0)</f>
        <v>119</v>
      </c>
      <c r="E24" s="37" t="n">
        <f aca="false">ROUND(Q24,0)-D24</f>
        <v>110</v>
      </c>
      <c r="F24" s="37" t="n">
        <f aca="false">IF(COUNTA(D24:E24)=0,"",SUM(D24:E24))</f>
        <v>229</v>
      </c>
      <c r="G24" s="52" t="n">
        <f aca="false">IF(OR(F24="",F24=0),"",D24/F24)</f>
        <v>0.519650655021834</v>
      </c>
      <c r="H24" s="52" t="n">
        <f aca="false">IF(OR(F24="",F24=0),"",E24/F24)</f>
        <v>0.480349344978166</v>
      </c>
      <c r="I24" s="21" t="s">
        <v>122</v>
      </c>
      <c r="J24" s="53" t="n">
        <v>3.02363014511423</v>
      </c>
      <c r="K24" s="52" t="n">
        <f aca="false">IF(G24="","",MAX(0,G24-J24/100))</f>
        <v>0.489414353570692</v>
      </c>
      <c r="L24" s="52" t="n">
        <f aca="false">IF(G24="","",MIN(1,G24+J24/100))</f>
        <v>0.549886956472976</v>
      </c>
      <c r="M24" s="37" t="n">
        <f aca="false">IF(F24="","",ROUND(F24*J24/100,0))</f>
        <v>7</v>
      </c>
      <c r="P24" s="54" t="n">
        <v>2.61270539267149</v>
      </c>
      <c r="Q24" s="55" t="n">
        <f aca="false">T24*$H$5</f>
        <v>229.496083550914</v>
      </c>
      <c r="R24" s="56" t="n">
        <f aca="false">MAX(0,MIN(1,P24/100+$D$5))</f>
        <v>0.519630288815603</v>
      </c>
      <c r="S24" s="57" t="s">
        <v>123</v>
      </c>
      <c r="T24" s="55" t="n">
        <v>229.496083550914</v>
      </c>
    </row>
    <row r="25" customFormat="false" ht="15" hidden="false" customHeight="false" outlineLevel="0" collapsed="false">
      <c r="A25" s="21" t="s">
        <v>120</v>
      </c>
      <c r="B25" s="21" t="s">
        <v>135</v>
      </c>
      <c r="C25" s="21" t="s">
        <v>140</v>
      </c>
      <c r="D25" s="37" t="n">
        <f aca="false">ROUND(Q25*R25,0)</f>
        <v>240</v>
      </c>
      <c r="E25" s="37" t="n">
        <f aca="false">ROUND(Q25,0)-D25</f>
        <v>279</v>
      </c>
      <c r="F25" s="37" t="n">
        <f aca="false">IF(COUNTA(D25:E25)=0,"",SUM(D25:E25))</f>
        <v>519</v>
      </c>
      <c r="G25" s="52" t="n">
        <f aca="false">IF(OR(F25="",F25=0),"",D25/F25)</f>
        <v>0.46242774566474</v>
      </c>
      <c r="H25" s="52" t="n">
        <f aca="false">IF(OR(F25="",F25=0),"",E25/F25)</f>
        <v>0.53757225433526</v>
      </c>
      <c r="I25" s="21" t="s">
        <v>122</v>
      </c>
      <c r="J25" s="53" t="n">
        <v>3.02363014511423</v>
      </c>
      <c r="K25" s="52" t="n">
        <f aca="false">IF(G25="","",MAX(0,G25-J25/100))</f>
        <v>0.432191444213598</v>
      </c>
      <c r="L25" s="52" t="n">
        <f aca="false">IF(G25="","",MIN(1,G25+J25/100))</f>
        <v>0.492664047115882</v>
      </c>
      <c r="M25" s="37" t="n">
        <f aca="false">IF(F25="","",ROUND(F25*J25/100,0))</f>
        <v>16</v>
      </c>
      <c r="P25" s="54" t="n">
        <v>-3.08889589374106</v>
      </c>
      <c r="Q25" s="55" t="n">
        <f aca="false">T25*$H$5</f>
        <v>519.166666666667</v>
      </c>
      <c r="R25" s="56" t="n">
        <f aca="false">MAX(0,MIN(1,P25/100+$D$5))</f>
        <v>0.462614275951478</v>
      </c>
      <c r="S25" s="57" t="s">
        <v>123</v>
      </c>
      <c r="T25" s="55" t="n">
        <v>519.166666666667</v>
      </c>
    </row>
    <row r="26" customFormat="false" ht="15" hidden="false" customHeight="false" outlineLevel="0" collapsed="false">
      <c r="A26" s="21" t="s">
        <v>120</v>
      </c>
      <c r="B26" s="21" t="s">
        <v>141</v>
      </c>
      <c r="C26" s="21" t="s">
        <v>142</v>
      </c>
      <c r="D26" s="37" t="n">
        <f aca="false">ROUND(Q26*R26,0)</f>
        <v>97</v>
      </c>
      <c r="E26" s="37" t="n">
        <f aca="false">ROUND(Q26,0)-D26</f>
        <v>170</v>
      </c>
      <c r="F26" s="37" t="n">
        <f aca="false">IF(COUNTA(D26:E26)=0,"",SUM(D26:E26))</f>
        <v>267</v>
      </c>
      <c r="G26" s="52" t="n">
        <f aca="false">IF(OR(F26="",F26=0),"",D26/F26)</f>
        <v>0.363295880149813</v>
      </c>
      <c r="H26" s="52" t="n">
        <f aca="false">IF(OR(F26="",F26=0),"",E26/F26)</f>
        <v>0.636704119850187</v>
      </c>
      <c r="I26" s="21" t="s">
        <v>122</v>
      </c>
      <c r="J26" s="53" t="n">
        <v>3.02363014511423</v>
      </c>
      <c r="K26" s="52" t="n">
        <f aca="false">IF(G26="","",MAX(0,G26-J26/100))</f>
        <v>0.33305957869867</v>
      </c>
      <c r="L26" s="52" t="n">
        <f aca="false">IF(G26="","",MIN(1,G26+J26/100))</f>
        <v>0.393532181600955</v>
      </c>
      <c r="M26" s="37" t="n">
        <f aca="false">IF(F26="","",ROUND(F26*J26/100,0))</f>
        <v>8</v>
      </c>
      <c r="P26" s="54" t="n">
        <v>-13.0802032645859</v>
      </c>
      <c r="Q26" s="55" t="n">
        <f aca="false">T26*$H$5</f>
        <v>267.002518891688</v>
      </c>
      <c r="R26" s="56" t="n">
        <f aca="false">MAX(0,MIN(1,P26/100+$D$5))</f>
        <v>0.362701202243029</v>
      </c>
      <c r="S26" s="57" t="s">
        <v>123</v>
      </c>
      <c r="T26" s="55" t="n">
        <v>267.002518891688</v>
      </c>
    </row>
    <row r="27" customFormat="false" ht="15" hidden="false" customHeight="false" outlineLevel="0" collapsed="false">
      <c r="A27" s="21" t="s">
        <v>120</v>
      </c>
      <c r="B27" s="21" t="s">
        <v>141</v>
      </c>
      <c r="C27" s="21" t="s">
        <v>143</v>
      </c>
      <c r="D27" s="37" t="n">
        <f aca="false">ROUND(Q27*R27,0)</f>
        <v>179</v>
      </c>
      <c r="E27" s="37" t="n">
        <f aca="false">ROUND(Q27,0)-D27</f>
        <v>363</v>
      </c>
      <c r="F27" s="37" t="n">
        <f aca="false">IF(COUNTA(D27:E27)=0,"",SUM(D27:E27))</f>
        <v>542</v>
      </c>
      <c r="G27" s="52" t="n">
        <f aca="false">IF(OR(F27="",F27=0),"",D27/F27)</f>
        <v>0.330258302583026</v>
      </c>
      <c r="H27" s="52" t="n">
        <f aca="false">IF(OR(F27="",F27=0),"",E27/F27)</f>
        <v>0.669741697416974</v>
      </c>
      <c r="I27" s="21" t="s">
        <v>122</v>
      </c>
      <c r="J27" s="53" t="n">
        <v>3.02363014511423</v>
      </c>
      <c r="K27" s="52" t="n">
        <f aca="false">IF(G27="","",MAX(0,G27-J27/100))</f>
        <v>0.300022001131884</v>
      </c>
      <c r="L27" s="52" t="n">
        <f aca="false">IF(G27="","",MIN(1,G27+J27/100))</f>
        <v>0.360494604034168</v>
      </c>
      <c r="M27" s="37" t="n">
        <f aca="false">IF(F27="","",ROUND(F27*J27/100,0))</f>
        <v>16</v>
      </c>
      <c r="P27" s="54" t="n">
        <v>-16.3681352924679</v>
      </c>
      <c r="Q27" s="55" t="n">
        <f aca="false">T27*$H$5</f>
        <v>542.170709793351</v>
      </c>
      <c r="R27" s="56" t="n">
        <f aca="false">MAX(0,MIN(1,P27/100+$D$5))</f>
        <v>0.32982188196421</v>
      </c>
      <c r="S27" s="57" t="s">
        <v>123</v>
      </c>
      <c r="T27" s="55" t="n">
        <v>542.170709793351</v>
      </c>
    </row>
    <row r="28" customFormat="false" ht="15" hidden="false" customHeight="false" outlineLevel="0" collapsed="false">
      <c r="A28" s="21" t="s">
        <v>120</v>
      </c>
      <c r="B28" s="21" t="s">
        <v>144</v>
      </c>
      <c r="C28" s="21" t="s">
        <v>145</v>
      </c>
      <c r="D28" s="37" t="n">
        <f aca="false">ROUND(Q28*R28,0)</f>
        <v>215</v>
      </c>
      <c r="E28" s="37" t="n">
        <f aca="false">ROUND(Q28,0)-D28</f>
        <v>309</v>
      </c>
      <c r="F28" s="37" t="n">
        <f aca="false">IF(COUNTA(D28:E28)=0,"",SUM(D28:E28))</f>
        <v>524</v>
      </c>
      <c r="G28" s="52" t="n">
        <f aca="false">IF(OR(F28="",F28=0),"",D28/F28)</f>
        <v>0.41030534351145</v>
      </c>
      <c r="H28" s="52" t="n">
        <f aca="false">IF(OR(F28="",F28=0),"",E28/F28)</f>
        <v>0.58969465648855</v>
      </c>
      <c r="I28" s="21" t="s">
        <v>122</v>
      </c>
      <c r="J28" s="53" t="n">
        <v>3.02363014511423</v>
      </c>
      <c r="K28" s="52" t="n">
        <f aca="false">IF(G28="","",MAX(0,G28-J28/100))</f>
        <v>0.380069042060308</v>
      </c>
      <c r="L28" s="52" t="n">
        <f aca="false">IF(G28="","",MIN(1,G28+J28/100))</f>
        <v>0.440541644962593</v>
      </c>
      <c r="M28" s="37" t="n">
        <f aca="false">IF(F28="","",ROUND(F28*J28/100,0))</f>
        <v>16</v>
      </c>
      <c r="P28" s="54" t="n">
        <v>-8.35102535817493</v>
      </c>
      <c r="Q28" s="55" t="n">
        <f aca="false">T28*$H$5</f>
        <v>523.643835616438</v>
      </c>
      <c r="R28" s="56" t="n">
        <f aca="false">MAX(0,MIN(1,P28/100+$D$5))</f>
        <v>0.409992981307139</v>
      </c>
      <c r="S28" s="57" t="s">
        <v>123</v>
      </c>
      <c r="T28" s="55" t="n">
        <v>523.643835616438</v>
      </c>
    </row>
    <row r="29" customFormat="false" ht="15" hidden="false" customHeight="false" outlineLevel="0" collapsed="false">
      <c r="A29" s="21" t="s">
        <v>120</v>
      </c>
      <c r="B29" s="21" t="s">
        <v>144</v>
      </c>
      <c r="C29" s="21" t="s">
        <v>146</v>
      </c>
      <c r="D29" s="37" t="n">
        <f aca="false">ROUND(Q29*R29,0)</f>
        <v>121</v>
      </c>
      <c r="E29" s="37" t="n">
        <f aca="false">ROUND(Q29,0)-D29</f>
        <v>177</v>
      </c>
      <c r="F29" s="37" t="n">
        <f aca="false">IF(COUNTA(D29:E29)=0,"",SUM(D29:E29))</f>
        <v>298</v>
      </c>
      <c r="G29" s="52" t="n">
        <f aca="false">IF(OR(F29="",F29=0),"",D29/F29)</f>
        <v>0.406040268456376</v>
      </c>
      <c r="H29" s="52" t="n">
        <f aca="false">IF(OR(F29="",F29=0),"",E29/F29)</f>
        <v>0.593959731543624</v>
      </c>
      <c r="I29" s="21" t="s">
        <v>122</v>
      </c>
      <c r="J29" s="53" t="n">
        <v>3.02363014511423</v>
      </c>
      <c r="K29" s="52" t="n">
        <f aca="false">IF(G29="","",MAX(0,G29-J29/100))</f>
        <v>0.375803967005234</v>
      </c>
      <c r="L29" s="52" t="n">
        <f aca="false">IF(G29="","",MIN(1,G29+J29/100))</f>
        <v>0.436276569907518</v>
      </c>
      <c r="M29" s="37" t="n">
        <f aca="false">IF(F29="","",ROUND(F29*J29/100,0))</f>
        <v>9</v>
      </c>
      <c r="P29" s="54" t="n">
        <v>-8.83217155013314</v>
      </c>
      <c r="Q29" s="55" t="n">
        <f aca="false">T29*$H$5</f>
        <v>297.7625</v>
      </c>
      <c r="R29" s="56" t="n">
        <f aca="false">MAX(0,MIN(1,P29/100+$D$5))</f>
        <v>0.405181519387557</v>
      </c>
      <c r="S29" s="57" t="s">
        <v>123</v>
      </c>
      <c r="T29" s="55" t="n">
        <v>297.7625</v>
      </c>
    </row>
    <row r="30" customFormat="false" ht="15" hidden="false" customHeight="false" outlineLevel="0" collapsed="false">
      <c r="A30" s="21" t="s">
        <v>120</v>
      </c>
      <c r="B30" s="21" t="s">
        <v>144</v>
      </c>
      <c r="C30" s="21" t="s">
        <v>147</v>
      </c>
      <c r="D30" s="37" t="n">
        <f aca="false">ROUND(Q30*R30,0)</f>
        <v>111</v>
      </c>
      <c r="E30" s="37" t="n">
        <f aca="false">ROUND(Q30,0)-D30</f>
        <v>150</v>
      </c>
      <c r="F30" s="37" t="n">
        <f aca="false">IF(COUNTA(D30:E30)=0,"",SUM(D30:E30))</f>
        <v>261</v>
      </c>
      <c r="G30" s="52" t="n">
        <f aca="false">IF(OR(F30="",F30=0),"",D30/F30)</f>
        <v>0.425287356321839</v>
      </c>
      <c r="H30" s="52" t="n">
        <f aca="false">IF(OR(F30="",F30=0),"",E30/F30)</f>
        <v>0.574712643678161</v>
      </c>
      <c r="I30" s="21" t="s">
        <v>122</v>
      </c>
      <c r="J30" s="53" t="n">
        <v>3.02363014511423</v>
      </c>
      <c r="K30" s="52" t="n">
        <f aca="false">IF(G30="","",MAX(0,G30-J30/100))</f>
        <v>0.395051054870697</v>
      </c>
      <c r="L30" s="52" t="n">
        <f aca="false">IF(G30="","",MIN(1,G30+J30/100))</f>
        <v>0.455523657772981</v>
      </c>
      <c r="M30" s="37" t="n">
        <f aca="false">IF(F30="","",ROUND(F30*J30/100,0))</f>
        <v>8</v>
      </c>
      <c r="P30" s="54" t="n">
        <v>-6.82503443998296</v>
      </c>
      <c r="Q30" s="55" t="n">
        <f aca="false">T30*$H$5</f>
        <v>260.883392226148</v>
      </c>
      <c r="R30" s="56" t="n">
        <f aca="false">MAX(0,MIN(1,P30/100+$D$5))</f>
        <v>0.425252890489059</v>
      </c>
      <c r="S30" s="57" t="s">
        <v>123</v>
      </c>
      <c r="T30" s="55" t="n">
        <v>260.883392226148</v>
      </c>
    </row>
    <row r="31" customFormat="false" ht="15" hidden="false" customHeight="false" outlineLevel="0" collapsed="false">
      <c r="A31" s="21" t="s">
        <v>120</v>
      </c>
      <c r="B31" s="21" t="s">
        <v>148</v>
      </c>
      <c r="C31" s="21" t="s">
        <v>148</v>
      </c>
      <c r="D31" s="37" t="n">
        <f aca="false">ROUND(Q31*R31,0)</f>
        <v>32</v>
      </c>
      <c r="E31" s="37" t="n">
        <f aca="false">ROUND(Q31,0)-D31</f>
        <v>86</v>
      </c>
      <c r="F31" s="37" t="n">
        <f aca="false">IF(COUNTA(D31:E31)=0,"",SUM(D31:E31))</f>
        <v>118</v>
      </c>
      <c r="G31" s="52" t="n">
        <f aca="false">IF(OR(F31="",F31=0),"",D31/F31)</f>
        <v>0.271186440677966</v>
      </c>
      <c r="H31" s="52" t="n">
        <f aca="false">IF(OR(F31="",F31=0),"",E31/F31)</f>
        <v>0.728813559322034</v>
      </c>
      <c r="I31" s="21" t="s">
        <v>122</v>
      </c>
      <c r="J31" s="53" t="n">
        <v>3.02363014511423</v>
      </c>
      <c r="K31" s="52" t="n">
        <f aca="false">IF(G31="","",MAX(0,G31-J31/100))</f>
        <v>0.240950139226824</v>
      </c>
      <c r="L31" s="52" t="n">
        <f aca="false">IF(G31="","",MIN(1,G31+J31/100))</f>
        <v>0.301422742129108</v>
      </c>
      <c r="M31" s="37" t="n">
        <f aca="false">IF(F31="","",ROUND(F31*J31/100,0))</f>
        <v>4</v>
      </c>
      <c r="P31" s="54" t="n">
        <v>-22.1117189433541</v>
      </c>
      <c r="Q31" s="55" t="n">
        <f aca="false">T31*$H$5</f>
        <v>118.285714285714</v>
      </c>
      <c r="R31" s="56" t="n">
        <f aca="false">MAX(0,MIN(1,P31/100+$D$5))</f>
        <v>0.272386045455348</v>
      </c>
      <c r="S31" s="57" t="s">
        <v>123</v>
      </c>
      <c r="T31" s="55" t="n">
        <v>118.285714285714</v>
      </c>
    </row>
    <row r="32" customFormat="false" ht="15" hidden="false" customHeight="false" outlineLevel="0" collapsed="false">
      <c r="A32" s="21" t="s">
        <v>120</v>
      </c>
      <c r="B32" s="21" t="s">
        <v>149</v>
      </c>
      <c r="C32" s="21" t="s">
        <v>149</v>
      </c>
      <c r="D32" s="37" t="n">
        <f aca="false">ROUND(Q32*R32,0)</f>
        <v>51</v>
      </c>
      <c r="E32" s="37" t="n">
        <f aca="false">ROUND(Q32,0)-D32</f>
        <v>186</v>
      </c>
      <c r="F32" s="37" t="n">
        <f aca="false">IF(COUNTA(D32:E32)=0,"",SUM(D32:E32))</f>
        <v>237</v>
      </c>
      <c r="G32" s="52" t="n">
        <f aca="false">IF(OR(F32="",F32=0),"",D32/F32)</f>
        <v>0.215189873417722</v>
      </c>
      <c r="H32" s="52" t="n">
        <f aca="false">IF(OR(F32="",F32=0),"",E32/F32)</f>
        <v>0.784810126582278</v>
      </c>
      <c r="I32" s="21" t="s">
        <v>122</v>
      </c>
      <c r="J32" s="53" t="n">
        <v>3.02363014511423</v>
      </c>
      <c r="K32" s="52" t="n">
        <f aca="false">IF(G32="","",MAX(0,G32-J32/100))</f>
        <v>0.184953571966579</v>
      </c>
      <c r="L32" s="52" t="n">
        <f aca="false">IF(G32="","",MIN(1,G32+J32/100))</f>
        <v>0.245426174868864</v>
      </c>
      <c r="M32" s="37" t="n">
        <f aca="false">IF(F32="","",ROUND(F32*J32/100,0))</f>
        <v>7</v>
      </c>
      <c r="P32" s="54" t="n">
        <v>-27.6888492733451</v>
      </c>
      <c r="Q32" s="55" t="n">
        <f aca="false">T32*$H$5</f>
        <v>236.844827586207</v>
      </c>
      <c r="R32" s="56" t="n">
        <f aca="false">MAX(0,MIN(1,P32/100+$D$5))</f>
        <v>0.216614742155437</v>
      </c>
      <c r="S32" s="57" t="s">
        <v>123</v>
      </c>
      <c r="T32" s="55" t="n">
        <v>236.844827586207</v>
      </c>
    </row>
    <row r="33" customFormat="false" ht="15" hidden="false" customHeight="false" outlineLevel="0" collapsed="false">
      <c r="A33" s="21" t="s">
        <v>120</v>
      </c>
      <c r="B33" s="21" t="s">
        <v>150</v>
      </c>
      <c r="C33" s="21" t="s">
        <v>151</v>
      </c>
      <c r="D33" s="37" t="n">
        <f aca="false">ROUND(Q33*R33,0)</f>
        <v>239</v>
      </c>
      <c r="E33" s="37" t="n">
        <f aca="false">ROUND(Q33,0)-D33</f>
        <v>357</v>
      </c>
      <c r="F33" s="37" t="n">
        <f aca="false">IF(COUNTA(D33:E33)=0,"",SUM(D33:E33))</f>
        <v>596</v>
      </c>
      <c r="G33" s="52" t="n">
        <f aca="false">IF(OR(F33="",F33=0),"",D33/F33)</f>
        <v>0.401006711409396</v>
      </c>
      <c r="H33" s="52" t="n">
        <f aca="false">IF(OR(F33="",F33=0),"",E33/F33)</f>
        <v>0.598993288590604</v>
      </c>
      <c r="I33" s="21" t="s">
        <v>122</v>
      </c>
      <c r="J33" s="53" t="n">
        <v>3.02363014511423</v>
      </c>
      <c r="K33" s="52" t="n">
        <f aca="false">IF(G33="","",MAX(0,G33-J33/100))</f>
        <v>0.370770409958254</v>
      </c>
      <c r="L33" s="52" t="n">
        <f aca="false">IF(G33="","",MIN(1,G33+J33/100))</f>
        <v>0.431243012860538</v>
      </c>
      <c r="M33" s="37" t="n">
        <f aca="false">IF(F33="","",ROUND(F33*J33/100,0))</f>
        <v>18</v>
      </c>
      <c r="P33" s="54" t="n">
        <v>-9.32054120071847</v>
      </c>
      <c r="Q33" s="55" t="n">
        <f aca="false">T33*$H$5</f>
        <v>596.457399103139</v>
      </c>
      <c r="R33" s="56" t="n">
        <f aca="false">MAX(0,MIN(1,P33/100+$D$5))</f>
        <v>0.400297822881703</v>
      </c>
      <c r="S33" s="57" t="s">
        <v>123</v>
      </c>
      <c r="T33" s="55" t="n">
        <v>596.457399103139</v>
      </c>
    </row>
    <row r="34" customFormat="false" ht="15" hidden="false" customHeight="false" outlineLevel="0" collapsed="false">
      <c r="A34" s="21" t="s">
        <v>120</v>
      </c>
      <c r="B34" s="21" t="s">
        <v>150</v>
      </c>
      <c r="C34" s="21" t="s">
        <v>152</v>
      </c>
      <c r="D34" s="37" t="n">
        <f aca="false">ROUND(Q34*R34,0)</f>
        <v>220</v>
      </c>
      <c r="E34" s="37" t="n">
        <f aca="false">ROUND(Q34,0)-D34</f>
        <v>343</v>
      </c>
      <c r="F34" s="37" t="n">
        <f aca="false">IF(COUNTA(D34:E34)=0,"",SUM(D34:E34))</f>
        <v>563</v>
      </c>
      <c r="G34" s="52" t="n">
        <f aca="false">IF(OR(F34="",F34=0),"",D34/F34)</f>
        <v>0.390763765541741</v>
      </c>
      <c r="H34" s="52" t="n">
        <f aca="false">IF(OR(F34="",F34=0),"",E34/F34)</f>
        <v>0.609236234458259</v>
      </c>
      <c r="I34" s="21" t="s">
        <v>122</v>
      </c>
      <c r="J34" s="53" t="n">
        <v>3.02363014511423</v>
      </c>
      <c r="K34" s="52" t="n">
        <f aca="false">IF(G34="","",MAX(0,G34-J34/100))</f>
        <v>0.360527464090598</v>
      </c>
      <c r="L34" s="52" t="n">
        <f aca="false">IF(G34="","",MIN(1,G34+J34/100))</f>
        <v>0.421000066992883</v>
      </c>
      <c r="M34" s="37" t="n">
        <f aca="false">IF(F34="","",ROUND(F34*J34/100,0))</f>
        <v>17</v>
      </c>
      <c r="P34" s="54" t="n">
        <v>-10.2838958061478</v>
      </c>
      <c r="Q34" s="55" t="n">
        <f aca="false">T34*$H$5</f>
        <v>563.161453077699</v>
      </c>
      <c r="R34" s="56" t="n">
        <f aca="false">MAX(0,MIN(1,P34/100+$D$5))</f>
        <v>0.39066427682741</v>
      </c>
      <c r="S34" s="57" t="s">
        <v>123</v>
      </c>
      <c r="T34" s="55" t="n">
        <v>563.161453077699</v>
      </c>
    </row>
    <row r="35" customFormat="false" ht="15" hidden="false" customHeight="false" outlineLevel="0" collapsed="false">
      <c r="A35" s="21" t="s">
        <v>120</v>
      </c>
      <c r="B35" s="21" t="s">
        <v>150</v>
      </c>
      <c r="C35" s="21" t="s">
        <v>153</v>
      </c>
      <c r="D35" s="37" t="n">
        <f aca="false">ROUND(Q35*R35,0)</f>
        <v>232</v>
      </c>
      <c r="E35" s="37" t="n">
        <f aca="false">ROUND(Q35,0)-D35</f>
        <v>362</v>
      </c>
      <c r="F35" s="37" t="n">
        <f aca="false">IF(COUNTA(D35:E35)=0,"",SUM(D35:E35))</f>
        <v>594</v>
      </c>
      <c r="G35" s="52" t="n">
        <f aca="false">IF(OR(F35="",F35=0),"",D35/F35)</f>
        <v>0.390572390572391</v>
      </c>
      <c r="H35" s="52" t="n">
        <f aca="false">IF(OR(F35="",F35=0),"",E35/F35)</f>
        <v>0.609427609427609</v>
      </c>
      <c r="I35" s="21" t="s">
        <v>122</v>
      </c>
      <c r="J35" s="53" t="n">
        <v>3.02363014511423</v>
      </c>
      <c r="K35" s="52" t="n">
        <f aca="false">IF(G35="","",MAX(0,G35-J35/100))</f>
        <v>0.360336089121248</v>
      </c>
      <c r="L35" s="52" t="n">
        <f aca="false">IF(G35="","",MIN(1,G35+J35/100))</f>
        <v>0.420808692023533</v>
      </c>
      <c r="M35" s="37" t="n">
        <f aca="false">IF(F35="","",ROUND(F35*J35/100,0))</f>
        <v>18</v>
      </c>
      <c r="P35" s="54" t="n">
        <v>-10.2643979198174</v>
      </c>
      <c r="Q35" s="55" t="n">
        <f aca="false">T35*$H$5</f>
        <v>593.941784037559</v>
      </c>
      <c r="R35" s="56" t="n">
        <f aca="false">MAX(0,MIN(1,P35/100+$D$5))</f>
        <v>0.390859255690715</v>
      </c>
      <c r="S35" s="57" t="s">
        <v>123</v>
      </c>
      <c r="T35" s="55" t="n">
        <v>593.941784037559</v>
      </c>
    </row>
    <row r="36" customFormat="false" ht="15" hidden="false" customHeight="false" outlineLevel="0" collapsed="false">
      <c r="A36" s="21" t="s">
        <v>120</v>
      </c>
      <c r="B36" s="21" t="s">
        <v>154</v>
      </c>
      <c r="C36" s="21" t="s">
        <v>155</v>
      </c>
      <c r="D36" s="37" t="n">
        <f aca="false">ROUND(Q36*R36,0)</f>
        <v>245</v>
      </c>
      <c r="E36" s="37" t="n">
        <f aca="false">ROUND(Q36,0)-D36</f>
        <v>585</v>
      </c>
      <c r="F36" s="37" t="n">
        <f aca="false">IF(COUNTA(D36:E36)=0,"",SUM(D36:E36))</f>
        <v>830</v>
      </c>
      <c r="G36" s="52" t="n">
        <f aca="false">IF(OR(F36="",F36=0),"",D36/F36)</f>
        <v>0.295180722891566</v>
      </c>
      <c r="H36" s="52" t="n">
        <f aca="false">IF(OR(F36="",F36=0),"",E36/F36)</f>
        <v>0.704819277108434</v>
      </c>
      <c r="I36" s="21" t="s">
        <v>122</v>
      </c>
      <c r="J36" s="53" t="n">
        <v>1.80877416096373</v>
      </c>
      <c r="K36" s="52" t="n">
        <f aca="false">IF(G36="","",MAX(0,G36-J36/100))</f>
        <v>0.277092981281929</v>
      </c>
      <c r="L36" s="52" t="n">
        <f aca="false">IF(G36="","",MIN(1,G36+J36/100))</f>
        <v>0.313268464501204</v>
      </c>
      <c r="M36" s="37" t="n">
        <f aca="false">IF(F36="","",ROUND(F36*J36/100,0))</f>
        <v>15</v>
      </c>
      <c r="P36" s="54" t="n">
        <v>-19.8668426417543</v>
      </c>
      <c r="Q36" s="55" t="n">
        <f aca="false">T36*$H$5</f>
        <v>830.121621621622</v>
      </c>
      <c r="R36" s="56" t="n">
        <f aca="false">MAX(0,MIN(1,P36/100+$D$5))</f>
        <v>0.294834808471345</v>
      </c>
      <c r="S36" s="57" t="s">
        <v>132</v>
      </c>
      <c r="T36" s="55" t="n">
        <v>830.121621621622</v>
      </c>
    </row>
    <row r="37" customFormat="false" ht="15" hidden="false" customHeight="false" outlineLevel="0" collapsed="false">
      <c r="A37" s="21" t="s">
        <v>120</v>
      </c>
      <c r="B37" s="21" t="s">
        <v>154</v>
      </c>
      <c r="C37" s="21" t="s">
        <v>156</v>
      </c>
      <c r="D37" s="37" t="n">
        <f aca="false">ROUND(Q37*R37,0)</f>
        <v>176</v>
      </c>
      <c r="E37" s="37" t="n">
        <f aca="false">ROUND(Q37,0)-D37</f>
        <v>395</v>
      </c>
      <c r="F37" s="37" t="n">
        <f aca="false">IF(COUNTA(D37:E37)=0,"",SUM(D37:E37))</f>
        <v>571</v>
      </c>
      <c r="G37" s="52" t="n">
        <f aca="false">IF(OR(F37="",F37=0),"",D37/F37)</f>
        <v>0.308231173380035</v>
      </c>
      <c r="H37" s="52" t="n">
        <f aca="false">IF(OR(F37="",F37=0),"",E37/F37)</f>
        <v>0.691768826619965</v>
      </c>
      <c r="I37" s="21" t="s">
        <v>122</v>
      </c>
      <c r="J37" s="53" t="n">
        <v>3.02363014511423</v>
      </c>
      <c r="K37" s="52" t="n">
        <f aca="false">IF(G37="","",MAX(0,G37-J37/100))</f>
        <v>0.277994871928893</v>
      </c>
      <c r="L37" s="52" t="n">
        <f aca="false">IF(G37="","",MIN(1,G37+J37/100))</f>
        <v>0.338467474831177</v>
      </c>
      <c r="M37" s="37" t="n">
        <f aca="false">IF(F37="","",ROUND(F37*J37/100,0))</f>
        <v>17</v>
      </c>
      <c r="P37" s="54" t="n">
        <v>-18.5029029672499</v>
      </c>
      <c r="Q37" s="55" t="n">
        <f aca="false">T37*$H$5</f>
        <v>570.942760942761</v>
      </c>
      <c r="R37" s="56" t="n">
        <f aca="false">MAX(0,MIN(1,P37/100+$D$5))</f>
        <v>0.308474205216389</v>
      </c>
      <c r="S37" s="57" t="s">
        <v>123</v>
      </c>
      <c r="T37" s="55" t="n">
        <v>570.942760942761</v>
      </c>
    </row>
    <row r="38" customFormat="false" ht="15" hidden="false" customHeight="false" outlineLevel="0" collapsed="false">
      <c r="A38" s="21" t="s">
        <v>120</v>
      </c>
      <c r="B38" s="21" t="s">
        <v>157</v>
      </c>
      <c r="C38" s="21" t="s">
        <v>158</v>
      </c>
      <c r="D38" s="37" t="n">
        <f aca="false">ROUND(Q38*R38,0)</f>
        <v>114</v>
      </c>
      <c r="E38" s="37" t="n">
        <f aca="false">ROUND(Q38,0)-D38</f>
        <v>332</v>
      </c>
      <c r="F38" s="37" t="n">
        <f aca="false">IF(COUNTA(D38:E38)=0,"",SUM(D38:E38))</f>
        <v>446</v>
      </c>
      <c r="G38" s="52" t="n">
        <f aca="false">IF(OR(F38="",F38=0),"",D38/F38)</f>
        <v>0.255605381165919</v>
      </c>
      <c r="H38" s="52" t="n">
        <f aca="false">IF(OR(F38="",F38=0),"",E38/F38)</f>
        <v>0.744394618834081</v>
      </c>
      <c r="I38" s="21" t="s">
        <v>122</v>
      </c>
      <c r="J38" s="53" t="n">
        <v>3.02363014511423</v>
      </c>
      <c r="K38" s="52" t="n">
        <f aca="false">IF(G38="","",MAX(0,G38-J38/100))</f>
        <v>0.225369079714777</v>
      </c>
      <c r="L38" s="52" t="n">
        <f aca="false">IF(G38="","",MIN(1,G38+J38/100))</f>
        <v>0.285841682617062</v>
      </c>
      <c r="M38" s="37" t="n">
        <f aca="false">IF(F38="","",ROUND(F38*J38/100,0))</f>
        <v>13</v>
      </c>
      <c r="P38" s="54" t="n">
        <v>-23.6896617065758</v>
      </c>
      <c r="Q38" s="55" t="n">
        <f aca="false">T38*$H$5</f>
        <v>446.130363036304</v>
      </c>
      <c r="R38" s="56" t="n">
        <f aca="false">MAX(0,MIN(1,P38/100+$D$5))</f>
        <v>0.25660661782313</v>
      </c>
      <c r="S38" s="57" t="s">
        <v>123</v>
      </c>
      <c r="T38" s="55" t="n">
        <v>446.130363036304</v>
      </c>
    </row>
    <row r="39" customFormat="false" ht="15" hidden="false" customHeight="false" outlineLevel="0" collapsed="false">
      <c r="A39" s="21" t="s">
        <v>120</v>
      </c>
      <c r="B39" s="21" t="s">
        <v>157</v>
      </c>
      <c r="C39" s="21" t="s">
        <v>159</v>
      </c>
      <c r="D39" s="37" t="n">
        <f aca="false">ROUND(Q39*R39,0)</f>
        <v>92</v>
      </c>
      <c r="E39" s="37" t="n">
        <f aca="false">ROUND(Q39,0)-D39</f>
        <v>209</v>
      </c>
      <c r="F39" s="37" t="n">
        <f aca="false">IF(COUNTA(D39:E39)=0,"",SUM(D39:E39))</f>
        <v>301</v>
      </c>
      <c r="G39" s="52" t="n">
        <f aca="false">IF(OR(F39="",F39=0),"",D39/F39)</f>
        <v>0.305647840531561</v>
      </c>
      <c r="H39" s="52" t="n">
        <f aca="false">IF(OR(F39="",F39=0),"",E39/F39)</f>
        <v>0.694352159468439</v>
      </c>
      <c r="I39" s="21" t="s">
        <v>122</v>
      </c>
      <c r="J39" s="53" t="n">
        <v>3.02363014511423</v>
      </c>
      <c r="K39" s="52" t="n">
        <f aca="false">IF(G39="","",MAX(0,G39-J39/100))</f>
        <v>0.275411539080419</v>
      </c>
      <c r="L39" s="52" t="n">
        <f aca="false">IF(G39="","",MIN(1,G39+J39/100))</f>
        <v>0.335884141982704</v>
      </c>
      <c r="M39" s="37" t="n">
        <f aca="false">IF(F39="","",ROUND(F39*J39/100,0))</f>
        <v>9</v>
      </c>
      <c r="P39" s="54" t="n">
        <v>-18.6714047259748</v>
      </c>
      <c r="Q39" s="55" t="n">
        <f aca="false">T39*$H$5</f>
        <v>301.151408450704</v>
      </c>
      <c r="R39" s="56" t="n">
        <f aca="false">MAX(0,MIN(1,P39/100+$D$5))</f>
        <v>0.30678918762914</v>
      </c>
      <c r="S39" s="57" t="s">
        <v>123</v>
      </c>
      <c r="T39" s="55" t="n">
        <v>301.151408450704</v>
      </c>
    </row>
    <row r="40" customFormat="false" ht="15" hidden="false" customHeight="false" outlineLevel="0" collapsed="false">
      <c r="A40" s="21" t="s">
        <v>120</v>
      </c>
      <c r="B40" s="21" t="s">
        <v>157</v>
      </c>
      <c r="C40" s="21" t="s">
        <v>160</v>
      </c>
      <c r="D40" s="37" t="n">
        <f aca="false">ROUND(Q40*R40,0)</f>
        <v>345</v>
      </c>
      <c r="E40" s="37" t="n">
        <f aca="false">ROUND(Q40,0)-D40</f>
        <v>791</v>
      </c>
      <c r="F40" s="37" t="n">
        <f aca="false">IF(COUNTA(D40:E40)=0,"",SUM(D40:E40))</f>
        <v>1136</v>
      </c>
      <c r="G40" s="52" t="n">
        <f aca="false">IF(OR(F40="",F40=0),"",D40/F40)</f>
        <v>0.303697183098592</v>
      </c>
      <c r="H40" s="52" t="n">
        <f aca="false">IF(OR(F40="",F40=0),"",E40/F40)</f>
        <v>0.696302816901409</v>
      </c>
      <c r="I40" s="21" t="s">
        <v>122</v>
      </c>
      <c r="J40" s="53" t="n">
        <v>1.80877416096373</v>
      </c>
      <c r="K40" s="52" t="n">
        <f aca="false">IF(G40="","",MAX(0,G40-J40/100))</f>
        <v>0.285609441488954</v>
      </c>
      <c r="L40" s="52" t="n">
        <f aca="false">IF(G40="","",MIN(1,G40+J40/100))</f>
        <v>0.321784924708229</v>
      </c>
      <c r="M40" s="37" t="n">
        <f aca="false">IF(F40="","",ROUND(F40*J40/100,0))</f>
        <v>21</v>
      </c>
      <c r="P40" s="54" t="n">
        <v>-18.9792158879148</v>
      </c>
      <c r="Q40" s="55" t="n">
        <f aca="false">T40*$H$5</f>
        <v>1135.63689776733</v>
      </c>
      <c r="R40" s="56" t="n">
        <f aca="false">MAX(0,MIN(1,P40/100+$D$5))</f>
        <v>0.303711076009741</v>
      </c>
      <c r="S40" s="57" t="s">
        <v>132</v>
      </c>
      <c r="T40" s="55" t="n">
        <v>1135.63689776733</v>
      </c>
    </row>
    <row r="41" customFormat="false" ht="15" hidden="false" customHeight="false" outlineLevel="0" collapsed="false">
      <c r="A41" s="21" t="s">
        <v>120</v>
      </c>
      <c r="B41" s="21" t="s">
        <v>161</v>
      </c>
      <c r="C41" s="21" t="s">
        <v>162</v>
      </c>
      <c r="D41" s="37" t="n">
        <f aca="false">ROUND(Q41*R41,0)</f>
        <v>240</v>
      </c>
      <c r="E41" s="37" t="n">
        <f aca="false">ROUND(Q41,0)-D41</f>
        <v>346</v>
      </c>
      <c r="F41" s="37" t="n">
        <f aca="false">IF(COUNTA(D41:E41)=0,"",SUM(D41:E41))</f>
        <v>586</v>
      </c>
      <c r="G41" s="52" t="n">
        <f aca="false">IF(OR(F41="",F41=0),"",D41/F41)</f>
        <v>0.409556313993174</v>
      </c>
      <c r="H41" s="52" t="n">
        <f aca="false">IF(OR(F41="",F41=0),"",E41/F41)</f>
        <v>0.590443686006826</v>
      </c>
      <c r="I41" s="21" t="s">
        <v>122</v>
      </c>
      <c r="J41" s="53" t="n">
        <v>3.02363014511423</v>
      </c>
      <c r="K41" s="52" t="n">
        <f aca="false">IF(G41="","",MAX(0,G41-J41/100))</f>
        <v>0.379320012542032</v>
      </c>
      <c r="L41" s="52" t="n">
        <f aca="false">IF(G41="","",MIN(1,G41+J41/100))</f>
        <v>0.439792615444316</v>
      </c>
      <c r="M41" s="37" t="n">
        <f aca="false">IF(F41="","",ROUND(F41*J41/100,0))</f>
        <v>18</v>
      </c>
      <c r="P41" s="54" t="n">
        <v>-8.40915492200033</v>
      </c>
      <c r="Q41" s="55" t="n">
        <f aca="false">T41*$H$5</f>
        <v>585.940362087327</v>
      </c>
      <c r="R41" s="56" t="n">
        <f aca="false">MAX(0,MIN(1,P41/100+$D$5))</f>
        <v>0.409411685668885</v>
      </c>
      <c r="S41" s="57" t="s">
        <v>123</v>
      </c>
      <c r="T41" s="55" t="n">
        <v>585.940362087327</v>
      </c>
    </row>
    <row r="42" customFormat="false" ht="15" hidden="false" customHeight="false" outlineLevel="0" collapsed="false">
      <c r="A42" s="21" t="s">
        <v>120</v>
      </c>
      <c r="B42" s="21" t="s">
        <v>161</v>
      </c>
      <c r="C42" s="21" t="s">
        <v>163</v>
      </c>
      <c r="D42" s="37" t="n">
        <f aca="false">ROUND(Q42*R42,0)</f>
        <v>250</v>
      </c>
      <c r="E42" s="37" t="n">
        <f aca="false">ROUND(Q42,0)-D42</f>
        <v>379</v>
      </c>
      <c r="F42" s="37" t="n">
        <f aca="false">IF(COUNTA(D42:E42)=0,"",SUM(D42:E42))</f>
        <v>629</v>
      </c>
      <c r="G42" s="52" t="n">
        <f aca="false">IF(OR(F42="",F42=0),"",D42/F42)</f>
        <v>0.397456279809221</v>
      </c>
      <c r="H42" s="52" t="n">
        <f aca="false">IF(OR(F42="",F42=0),"",E42/F42)</f>
        <v>0.602543720190779</v>
      </c>
      <c r="I42" s="21" t="s">
        <v>122</v>
      </c>
      <c r="J42" s="53" t="n">
        <v>3.02363014511423</v>
      </c>
      <c r="K42" s="52" t="n">
        <f aca="false">IF(G42="","",MAX(0,G42-J42/100))</f>
        <v>0.367219978358079</v>
      </c>
      <c r="L42" s="52" t="n">
        <f aca="false">IF(G42="","",MIN(1,G42+J42/100))</f>
        <v>0.427692581260363</v>
      </c>
      <c r="M42" s="37" t="n">
        <f aca="false">IF(F42="","",ROUND(F42*J42/100,0))</f>
        <v>19</v>
      </c>
      <c r="P42" s="54" t="n">
        <v>-9.60277732984047</v>
      </c>
      <c r="Q42" s="55" t="n">
        <f aca="false">T42*$H$5</f>
        <v>629.208480565371</v>
      </c>
      <c r="R42" s="56" t="n">
        <f aca="false">MAX(0,MIN(1,P42/100+$D$5))</f>
        <v>0.397475461590483</v>
      </c>
      <c r="S42" s="57" t="s">
        <v>123</v>
      </c>
      <c r="T42" s="55" t="n">
        <v>629.208480565371</v>
      </c>
    </row>
    <row r="43" customFormat="false" ht="15" hidden="false" customHeight="false" outlineLevel="0" collapsed="false">
      <c r="A43" s="21" t="s">
        <v>120</v>
      </c>
      <c r="B43" s="21" t="s">
        <v>164</v>
      </c>
      <c r="C43" s="21" t="s">
        <v>164</v>
      </c>
      <c r="D43" s="37" t="n">
        <f aca="false">ROUND(Q43*R43,0)</f>
        <v>109</v>
      </c>
      <c r="E43" s="37" t="n">
        <f aca="false">ROUND(Q43,0)-D43</f>
        <v>421</v>
      </c>
      <c r="F43" s="37" t="n">
        <f aca="false">IF(COUNTA(D43:E43)=0,"",SUM(D43:E43))</f>
        <v>530</v>
      </c>
      <c r="G43" s="52" t="n">
        <f aca="false">IF(OR(F43="",F43=0),"",D43/F43)</f>
        <v>0.205660377358491</v>
      </c>
      <c r="H43" s="52" t="n">
        <f aca="false">IF(OR(F43="",F43=0),"",E43/F43)</f>
        <v>0.79433962264151</v>
      </c>
      <c r="I43" s="21" t="s">
        <v>122</v>
      </c>
      <c r="J43" s="53" t="n">
        <v>3.02363014511423</v>
      </c>
      <c r="K43" s="52" t="n">
        <f aca="false">IF(G43="","",MAX(0,G43-J43/100))</f>
        <v>0.175424075907348</v>
      </c>
      <c r="L43" s="52" t="n">
        <f aca="false">IF(G43="","",MIN(1,G43+J43/100))</f>
        <v>0.235896678809633</v>
      </c>
      <c r="M43" s="37" t="n">
        <f aca="false">IF(F43="","",ROUND(F43*J43/100,0))</f>
        <v>16</v>
      </c>
      <c r="P43" s="54" t="n">
        <v>-28.7096536199183</v>
      </c>
      <c r="Q43" s="55" t="n">
        <f aca="false">T43*$H$5</f>
        <v>530.117647058823</v>
      </c>
      <c r="R43" s="56" t="n">
        <f aca="false">MAX(0,MIN(1,P43/100+$D$5))</f>
        <v>0.206406698689705</v>
      </c>
      <c r="S43" s="57" t="s">
        <v>123</v>
      </c>
      <c r="T43" s="55" t="n">
        <v>530.117647058823</v>
      </c>
    </row>
    <row r="44" customFormat="false" ht="15" hidden="false" customHeight="false" outlineLevel="0" collapsed="false">
      <c r="A44" s="21" t="s">
        <v>120</v>
      </c>
      <c r="B44" s="21" t="s">
        <v>165</v>
      </c>
      <c r="C44" s="21" t="s">
        <v>166</v>
      </c>
      <c r="D44" s="37" t="n">
        <f aca="false">ROUND(Q44*R44,0)</f>
        <v>244</v>
      </c>
      <c r="E44" s="37" t="n">
        <f aca="false">ROUND(Q44,0)-D44</f>
        <v>451</v>
      </c>
      <c r="F44" s="37" t="n">
        <f aca="false">IF(COUNTA(D44:E44)=0,"",SUM(D44:E44))</f>
        <v>695</v>
      </c>
      <c r="G44" s="52" t="n">
        <f aca="false">IF(OR(F44="",F44=0),"",D44/F44)</f>
        <v>0.351079136690648</v>
      </c>
      <c r="H44" s="52" t="n">
        <f aca="false">IF(OR(F44="",F44=0),"",E44/F44)</f>
        <v>0.648920863309353</v>
      </c>
      <c r="I44" s="21" t="s">
        <v>122</v>
      </c>
      <c r="J44" s="53" t="n">
        <v>3.02363014511423</v>
      </c>
      <c r="K44" s="52" t="n">
        <f aca="false">IF(G44="","",MAX(0,G44-J44/100))</f>
        <v>0.320842835239505</v>
      </c>
      <c r="L44" s="52" t="n">
        <f aca="false">IF(G44="","",MIN(1,G44+J44/100))</f>
        <v>0.38131543814179</v>
      </c>
      <c r="M44" s="37" t="n">
        <f aca="false">IF(F44="","",ROUND(F44*J44/100,0))</f>
        <v>21</v>
      </c>
      <c r="P44" s="54" t="n">
        <v>-14.2543951756853</v>
      </c>
      <c r="Q44" s="55" t="n">
        <f aca="false">T44*$H$5</f>
        <v>695.209549071618</v>
      </c>
      <c r="R44" s="56" t="n">
        <f aca="false">MAX(0,MIN(1,P44/100+$D$5))</f>
        <v>0.350959283132035</v>
      </c>
      <c r="S44" s="57" t="s">
        <v>123</v>
      </c>
      <c r="T44" s="55" t="n">
        <v>695.209549071618</v>
      </c>
    </row>
    <row r="45" customFormat="false" ht="15" hidden="false" customHeight="false" outlineLevel="0" collapsed="false">
      <c r="A45" s="21" t="s">
        <v>120</v>
      </c>
      <c r="B45" s="21" t="s">
        <v>165</v>
      </c>
      <c r="C45" s="21" t="s">
        <v>167</v>
      </c>
      <c r="D45" s="37" t="n">
        <f aca="false">ROUND(Q45*R45,0)</f>
        <v>392</v>
      </c>
      <c r="E45" s="37" t="n">
        <f aca="false">ROUND(Q45,0)-D45</f>
        <v>592</v>
      </c>
      <c r="F45" s="37" t="n">
        <f aca="false">IF(COUNTA(D45:E45)=0,"",SUM(D45:E45))</f>
        <v>984</v>
      </c>
      <c r="G45" s="52" t="n">
        <f aca="false">IF(OR(F45="",F45=0),"",D45/F45)</f>
        <v>0.398373983739837</v>
      </c>
      <c r="H45" s="52" t="n">
        <f aca="false">IF(OR(F45="",F45=0),"",E45/F45)</f>
        <v>0.601626016260163</v>
      </c>
      <c r="I45" s="21" t="s">
        <v>122</v>
      </c>
      <c r="J45" s="53" t="n">
        <v>1.80877416096373</v>
      </c>
      <c r="K45" s="52" t="n">
        <f aca="false">IF(G45="","",MAX(0,G45-J45/100))</f>
        <v>0.3802862421302</v>
      </c>
      <c r="L45" s="52" t="n">
        <f aca="false">IF(G45="","",MIN(1,G45+J45/100))</f>
        <v>0.416461725349475</v>
      </c>
      <c r="M45" s="37" t="n">
        <f aca="false">IF(F45="","",ROUND(F45*J45/100,0))</f>
        <v>18</v>
      </c>
      <c r="P45" s="54" t="n">
        <v>-9.49530565501666</v>
      </c>
      <c r="Q45" s="55" t="n">
        <f aca="false">T45*$H$5</f>
        <v>983.694267515924</v>
      </c>
      <c r="R45" s="56" t="n">
        <f aca="false">MAX(0,MIN(1,P45/100+$D$5))</f>
        <v>0.398550178338722</v>
      </c>
      <c r="S45" s="57" t="s">
        <v>132</v>
      </c>
      <c r="T45" s="55" t="n">
        <v>983.694267515924</v>
      </c>
    </row>
    <row r="46" customFormat="false" ht="15" hidden="false" customHeight="false" outlineLevel="0" collapsed="false">
      <c r="A46" s="21" t="s">
        <v>120</v>
      </c>
      <c r="B46" s="21" t="s">
        <v>165</v>
      </c>
      <c r="C46" s="21" t="s">
        <v>168</v>
      </c>
      <c r="D46" s="37" t="n">
        <f aca="false">ROUND(Q46*R46,0)</f>
        <v>113</v>
      </c>
      <c r="E46" s="37" t="n">
        <f aca="false">ROUND(Q46,0)-D46</f>
        <v>198</v>
      </c>
      <c r="F46" s="37" t="n">
        <f aca="false">IF(COUNTA(D46:E46)=0,"",SUM(D46:E46))</f>
        <v>311</v>
      </c>
      <c r="G46" s="52" t="n">
        <f aca="false">IF(OR(F46="",F46=0),"",D46/F46)</f>
        <v>0.363344051446945</v>
      </c>
      <c r="H46" s="52" t="n">
        <f aca="false">IF(OR(F46="",F46=0),"",E46/F46)</f>
        <v>0.636655948553055</v>
      </c>
      <c r="I46" s="21" t="s">
        <v>122</v>
      </c>
      <c r="J46" s="53" t="n">
        <v>3.02363014511423</v>
      </c>
      <c r="K46" s="52" t="n">
        <f aca="false">IF(G46="","",MAX(0,G46-J46/100))</f>
        <v>0.333107749995803</v>
      </c>
      <c r="L46" s="52" t="n">
        <f aca="false">IF(G46="","",MIN(1,G46+J46/100))</f>
        <v>0.393580352898088</v>
      </c>
      <c r="M46" s="37" t="n">
        <f aca="false">IF(F46="","",ROUND(F46*J46/100,0))</f>
        <v>9</v>
      </c>
      <c r="P46" s="54" t="n">
        <v>-12.8792917103362</v>
      </c>
      <c r="Q46" s="55" t="n">
        <f aca="false">T46*$H$5</f>
        <v>310.913705583756</v>
      </c>
      <c r="R46" s="56" t="n">
        <f aca="false">MAX(0,MIN(1,P46/100+$D$5))</f>
        <v>0.364710317785526</v>
      </c>
      <c r="S46" s="57" t="s">
        <v>123</v>
      </c>
      <c r="T46" s="55" t="n">
        <v>310.913705583756</v>
      </c>
    </row>
    <row r="47" customFormat="false" ht="15" hidden="false" customHeight="false" outlineLevel="0" collapsed="false">
      <c r="A47" s="21" t="s">
        <v>120</v>
      </c>
      <c r="B47" s="21" t="s">
        <v>169</v>
      </c>
      <c r="C47" s="21" t="s">
        <v>169</v>
      </c>
      <c r="D47" s="37" t="n">
        <f aca="false">ROUND(Q47*R47,0)</f>
        <v>59</v>
      </c>
      <c r="E47" s="37" t="n">
        <f aca="false">ROUND(Q47,0)-D47</f>
        <v>126</v>
      </c>
      <c r="F47" s="37" t="n">
        <f aca="false">IF(COUNTA(D47:E47)=0,"",SUM(D47:E47))</f>
        <v>185</v>
      </c>
      <c r="G47" s="52" t="n">
        <f aca="false">IF(OR(F47="",F47=0),"",D47/F47)</f>
        <v>0.318918918918919</v>
      </c>
      <c r="H47" s="52" t="n">
        <f aca="false">IF(OR(F47="",F47=0),"",E47/F47)</f>
        <v>0.681081081081081</v>
      </c>
      <c r="I47" s="21" t="s">
        <v>122</v>
      </c>
      <c r="J47" s="53" t="n">
        <v>3.02363014511423</v>
      </c>
      <c r="K47" s="52" t="n">
        <f aca="false">IF(G47="","",MAX(0,G47-J47/100))</f>
        <v>0.288682617467777</v>
      </c>
      <c r="L47" s="52" t="n">
        <f aca="false">IF(G47="","",MIN(1,G47+J47/100))</f>
        <v>0.349155220370061</v>
      </c>
      <c r="M47" s="37" t="n">
        <f aca="false">IF(F47="","",ROUND(F47*J47/100,0))</f>
        <v>6</v>
      </c>
      <c r="P47" s="54" t="n">
        <v>-17.3132366133168</v>
      </c>
      <c r="Q47" s="55" t="n">
        <f aca="false">T47*$H$5</f>
        <v>184.547540983607</v>
      </c>
      <c r="R47" s="56" t="n">
        <f aca="false">MAX(0,MIN(1,P47/100+$D$5))</f>
        <v>0.32037086875572</v>
      </c>
      <c r="S47" s="57" t="s">
        <v>123</v>
      </c>
      <c r="T47" s="55" t="n">
        <v>184.547540983607</v>
      </c>
    </row>
    <row r="48" customFormat="false" ht="15" hidden="false" customHeight="false" outlineLevel="0" collapsed="false">
      <c r="A48" s="21" t="s">
        <v>120</v>
      </c>
      <c r="B48" s="21" t="s">
        <v>170</v>
      </c>
      <c r="C48" s="21" t="s">
        <v>171</v>
      </c>
      <c r="D48" s="37" t="n">
        <f aca="false">ROUND(Q48*R48,0)</f>
        <v>322</v>
      </c>
      <c r="E48" s="37" t="n">
        <f aca="false">ROUND(Q48,0)-D48</f>
        <v>517</v>
      </c>
      <c r="F48" s="37" t="n">
        <f aca="false">IF(COUNTA(D48:E48)=0,"",SUM(D48:E48))</f>
        <v>839</v>
      </c>
      <c r="G48" s="52" t="n">
        <f aca="false">IF(OR(F48="",F48=0),"",D48/F48)</f>
        <v>0.383790226460072</v>
      </c>
      <c r="H48" s="52" t="n">
        <f aca="false">IF(OR(F48="",F48=0),"",E48/F48)</f>
        <v>0.616209773539929</v>
      </c>
      <c r="I48" s="21" t="s">
        <v>122</v>
      </c>
      <c r="J48" s="53" t="n">
        <v>1.80877416096373</v>
      </c>
      <c r="K48" s="52" t="n">
        <f aca="false">IF(G48="","",MAX(0,G48-J48/100))</f>
        <v>0.365702484850434</v>
      </c>
      <c r="L48" s="52" t="n">
        <f aca="false">IF(G48="","",MIN(1,G48+J48/100))</f>
        <v>0.401877968069709</v>
      </c>
      <c r="M48" s="37" t="n">
        <f aca="false">IF(F48="","",ROUND(F48*J48/100,0))</f>
        <v>15</v>
      </c>
      <c r="P48" s="54" t="n">
        <v>-11.0392202563282</v>
      </c>
      <c r="Q48" s="55" t="n">
        <f aca="false">T48*$H$5</f>
        <v>839.29959746981</v>
      </c>
      <c r="R48" s="56" t="n">
        <f aca="false">MAX(0,MIN(1,P48/100+$D$5))</f>
        <v>0.383111032325606</v>
      </c>
      <c r="S48" s="57" t="s">
        <v>132</v>
      </c>
      <c r="T48" s="55" t="n">
        <v>839.29959746981</v>
      </c>
    </row>
    <row r="49" customFormat="false" ht="15" hidden="false" customHeight="false" outlineLevel="0" collapsed="false">
      <c r="A49" s="21" t="s">
        <v>120</v>
      </c>
      <c r="B49" s="21" t="s">
        <v>170</v>
      </c>
      <c r="C49" s="21" t="s">
        <v>172</v>
      </c>
      <c r="D49" s="37" t="n">
        <f aca="false">ROUND(Q49*R49,0)</f>
        <v>245</v>
      </c>
      <c r="E49" s="37" t="n">
        <f aca="false">ROUND(Q49,0)-D49</f>
        <v>406</v>
      </c>
      <c r="F49" s="37" t="n">
        <f aca="false">IF(COUNTA(D49:E49)=0,"",SUM(D49:E49))</f>
        <v>651</v>
      </c>
      <c r="G49" s="52" t="n">
        <f aca="false">IF(OR(F49="",F49=0),"",D49/F49)</f>
        <v>0.376344086021505</v>
      </c>
      <c r="H49" s="52" t="n">
        <f aca="false">IF(OR(F49="",F49=0),"",E49/F49)</f>
        <v>0.623655913978495</v>
      </c>
      <c r="I49" s="21" t="s">
        <v>122</v>
      </c>
      <c r="J49" s="53" t="n">
        <v>3.02363014511423</v>
      </c>
      <c r="K49" s="52" t="n">
        <f aca="false">IF(G49="","",MAX(0,G49-J49/100))</f>
        <v>0.346107784570363</v>
      </c>
      <c r="L49" s="52" t="n">
        <f aca="false">IF(G49="","",MIN(1,G49+J49/100))</f>
        <v>0.406580387472648</v>
      </c>
      <c r="M49" s="37" t="n">
        <f aca="false">IF(F49="","",ROUND(F49*J49/100,0))</f>
        <v>20</v>
      </c>
      <c r="P49" s="54" t="n">
        <v>-11.7705495826063</v>
      </c>
      <c r="Q49" s="55" t="n">
        <f aca="false">T49*$H$5</f>
        <v>650.966977138019</v>
      </c>
      <c r="R49" s="56" t="n">
        <f aca="false">MAX(0,MIN(1,P49/100+$D$5))</f>
        <v>0.375797739062826</v>
      </c>
      <c r="S49" s="57" t="s">
        <v>123</v>
      </c>
      <c r="T49" s="55" t="n">
        <v>650.966977138019</v>
      </c>
    </row>
    <row r="50" customFormat="false" ht="15" hidden="false" customHeight="false" outlineLevel="0" collapsed="false">
      <c r="A50" s="21" t="s">
        <v>120</v>
      </c>
      <c r="B50" s="21" t="s">
        <v>170</v>
      </c>
      <c r="C50" s="21" t="s">
        <v>173</v>
      </c>
      <c r="D50" s="37" t="n">
        <f aca="false">ROUND(Q50*R50,0)</f>
        <v>365</v>
      </c>
      <c r="E50" s="37" t="n">
        <f aca="false">ROUND(Q50,0)-D50</f>
        <v>580</v>
      </c>
      <c r="F50" s="37" t="n">
        <f aca="false">IF(COUNTA(D50:E50)=0,"",SUM(D50:E50))</f>
        <v>945</v>
      </c>
      <c r="G50" s="52" t="n">
        <f aca="false">IF(OR(F50="",F50=0),"",D50/F50)</f>
        <v>0.386243386243386</v>
      </c>
      <c r="H50" s="52" t="n">
        <f aca="false">IF(OR(F50="",F50=0),"",E50/F50)</f>
        <v>0.613756613756614</v>
      </c>
      <c r="I50" s="21" t="s">
        <v>122</v>
      </c>
      <c r="J50" s="53" t="n">
        <v>1.80877416096373</v>
      </c>
      <c r="K50" s="52" t="n">
        <f aca="false">IF(G50="","",MAX(0,G50-J50/100))</f>
        <v>0.368155644633749</v>
      </c>
      <c r="L50" s="52" t="n">
        <f aca="false">IF(G50="","",MIN(1,G50+J50/100))</f>
        <v>0.404331127853024</v>
      </c>
      <c r="M50" s="37" t="n">
        <f aca="false">IF(F50="","",ROUND(F50*J50/100,0))</f>
        <v>17</v>
      </c>
      <c r="P50" s="54" t="n">
        <v>-10.7843285758858</v>
      </c>
      <c r="Q50" s="55" t="n">
        <f aca="false">T50*$H$5</f>
        <v>945.214912280702</v>
      </c>
      <c r="R50" s="56" t="n">
        <f aca="false">MAX(0,MIN(1,P50/100+$D$5))</f>
        <v>0.38565994913003</v>
      </c>
      <c r="S50" s="57" t="s">
        <v>132</v>
      </c>
      <c r="T50" s="55" t="n">
        <v>945.214912280702</v>
      </c>
    </row>
    <row r="51" customFormat="false" ht="15" hidden="false" customHeight="false" outlineLevel="0" collapsed="false">
      <c r="A51" s="21" t="s">
        <v>120</v>
      </c>
      <c r="B51" s="21" t="s">
        <v>170</v>
      </c>
      <c r="C51" s="21" t="s">
        <v>174</v>
      </c>
      <c r="D51" s="37" t="n">
        <f aca="false">ROUND(Q51*R51,0)</f>
        <v>362</v>
      </c>
      <c r="E51" s="37" t="n">
        <f aca="false">ROUND(Q51,0)-D51</f>
        <v>754</v>
      </c>
      <c r="F51" s="37" t="n">
        <f aca="false">IF(COUNTA(D51:E51)=0,"",SUM(D51:E51))</f>
        <v>1116</v>
      </c>
      <c r="G51" s="52" t="n">
        <f aca="false">IF(OR(F51="",F51=0),"",D51/F51)</f>
        <v>0.324372759856631</v>
      </c>
      <c r="H51" s="52" t="n">
        <f aca="false">IF(OR(F51="",F51=0),"",E51/F51)</f>
        <v>0.675627240143369</v>
      </c>
      <c r="I51" s="21" t="s">
        <v>122</v>
      </c>
      <c r="J51" s="53" t="n">
        <v>1.80877416096373</v>
      </c>
      <c r="K51" s="52" t="n">
        <f aca="false">IF(G51="","",MAX(0,G51-J51/100))</f>
        <v>0.306285018246994</v>
      </c>
      <c r="L51" s="52" t="n">
        <f aca="false">IF(G51="","",MIN(1,G51+J51/100))</f>
        <v>0.342460501466268</v>
      </c>
      <c r="M51" s="37" t="n">
        <f aca="false">IF(F51="","",ROUND(F51*J51/100,0))</f>
        <v>20</v>
      </c>
      <c r="P51" s="54" t="n">
        <v>-16.9417605668503</v>
      </c>
      <c r="Q51" s="55" t="n">
        <f aca="false">T51*$H$5</f>
        <v>1115.89731051345</v>
      </c>
      <c r="R51" s="56" t="n">
        <f aca="false">MAX(0,MIN(1,P51/100+$D$5))</f>
        <v>0.324085629220385</v>
      </c>
      <c r="S51" s="57" t="s">
        <v>132</v>
      </c>
      <c r="T51" s="55" t="n">
        <v>1115.89731051345</v>
      </c>
    </row>
    <row r="52" customFormat="false" ht="15" hidden="false" customHeight="false" outlineLevel="0" collapsed="false">
      <c r="A52" s="21" t="s">
        <v>120</v>
      </c>
      <c r="B52" s="21" t="s">
        <v>170</v>
      </c>
      <c r="C52" s="21" t="s">
        <v>175</v>
      </c>
      <c r="D52" s="37" t="n">
        <f aca="false">ROUND(Q52*R52,0)</f>
        <v>342</v>
      </c>
      <c r="E52" s="37" t="n">
        <f aca="false">ROUND(Q52,0)-D52</f>
        <v>590</v>
      </c>
      <c r="F52" s="37" t="n">
        <f aca="false">IF(COUNTA(D52:E52)=0,"",SUM(D52:E52))</f>
        <v>932</v>
      </c>
      <c r="G52" s="52" t="n">
        <f aca="false">IF(OR(F52="",F52=0),"",D52/F52)</f>
        <v>0.366952789699571</v>
      </c>
      <c r="H52" s="52" t="n">
        <f aca="false">IF(OR(F52="",F52=0),"",E52/F52)</f>
        <v>0.633047210300429</v>
      </c>
      <c r="I52" s="21" t="s">
        <v>122</v>
      </c>
      <c r="J52" s="53" t="n">
        <v>1.80877416096373</v>
      </c>
      <c r="K52" s="52" t="n">
        <f aca="false">IF(G52="","",MAX(0,G52-J52/100))</f>
        <v>0.348865048089933</v>
      </c>
      <c r="L52" s="52" t="n">
        <f aca="false">IF(G52="","",MIN(1,G52+J52/100))</f>
        <v>0.385040531309208</v>
      </c>
      <c r="M52" s="37" t="n">
        <f aca="false">IF(F52="","",ROUND(F52*J52/100,0))</f>
        <v>17</v>
      </c>
      <c r="P52" s="54" t="n">
        <v>-12.6704208301279</v>
      </c>
      <c r="Q52" s="55" t="n">
        <f aca="false">T52*$H$5</f>
        <v>932.161434977579</v>
      </c>
      <c r="R52" s="56" t="n">
        <f aca="false">MAX(0,MIN(1,P52/100+$D$5))</f>
        <v>0.366799026587609</v>
      </c>
      <c r="S52" s="57" t="s">
        <v>132</v>
      </c>
      <c r="T52" s="55" t="n">
        <v>932.161434977579</v>
      </c>
    </row>
    <row r="53" customFormat="false" ht="15" hidden="false" customHeight="false" outlineLevel="0" collapsed="false">
      <c r="A53" s="21" t="s">
        <v>120</v>
      </c>
      <c r="B53" s="21" t="s">
        <v>176</v>
      </c>
      <c r="C53" s="21" t="s">
        <v>177</v>
      </c>
      <c r="D53" s="37" t="n">
        <f aca="false">ROUND(Q53*R53,0)</f>
        <v>144</v>
      </c>
      <c r="E53" s="37" t="n">
        <f aca="false">ROUND(Q53,0)-D53</f>
        <v>160</v>
      </c>
      <c r="F53" s="37" t="n">
        <f aca="false">IF(COUNTA(D53:E53)=0,"",SUM(D53:E53))</f>
        <v>304</v>
      </c>
      <c r="G53" s="52" t="n">
        <f aca="false">IF(OR(F53="",F53=0),"",D53/F53)</f>
        <v>0.473684210526316</v>
      </c>
      <c r="H53" s="52" t="n">
        <f aca="false">IF(OR(F53="",F53=0),"",E53/F53)</f>
        <v>0.526315789473684</v>
      </c>
      <c r="I53" s="21" t="s">
        <v>122</v>
      </c>
      <c r="J53" s="53" t="n">
        <v>3.02363014511423</v>
      </c>
      <c r="K53" s="52" t="n">
        <f aca="false">IF(G53="","",MAX(0,G53-J53/100))</f>
        <v>0.443447909075173</v>
      </c>
      <c r="L53" s="52" t="n">
        <f aca="false">IF(G53="","",MIN(1,G53+J53/100))</f>
        <v>0.503920511977458</v>
      </c>
      <c r="M53" s="37" t="n">
        <f aca="false">IF(F53="","",ROUND(F53*J53/100,0))</f>
        <v>9</v>
      </c>
      <c r="P53" s="54" t="n">
        <v>-1.9979122160108</v>
      </c>
      <c r="Q53" s="55" t="n">
        <f aca="false">T53*$H$5</f>
        <v>304.095808383234</v>
      </c>
      <c r="R53" s="56" t="n">
        <f aca="false">MAX(0,MIN(1,P53/100+$D$5))</f>
        <v>0.47352411272878</v>
      </c>
      <c r="S53" s="57" t="s">
        <v>123</v>
      </c>
      <c r="T53" s="55" t="n">
        <v>304.095808383234</v>
      </c>
    </row>
    <row r="54" customFormat="false" ht="15" hidden="false" customHeight="false" outlineLevel="0" collapsed="false">
      <c r="A54" s="21" t="s">
        <v>120</v>
      </c>
      <c r="B54" s="21" t="s">
        <v>176</v>
      </c>
      <c r="C54" s="21" t="s">
        <v>178</v>
      </c>
      <c r="D54" s="37" t="n">
        <f aca="false">ROUND(Q54*R54,0)</f>
        <v>163</v>
      </c>
      <c r="E54" s="37" t="n">
        <f aca="false">ROUND(Q54,0)-D54</f>
        <v>176</v>
      </c>
      <c r="F54" s="37" t="n">
        <f aca="false">IF(COUNTA(D54:E54)=0,"",SUM(D54:E54))</f>
        <v>339</v>
      </c>
      <c r="G54" s="52" t="n">
        <f aca="false">IF(OR(F54="",F54=0),"",D54/F54)</f>
        <v>0.480825958702065</v>
      </c>
      <c r="H54" s="52" t="n">
        <f aca="false">IF(OR(F54="",F54=0),"",E54/F54)</f>
        <v>0.519174041297935</v>
      </c>
      <c r="I54" s="21" t="s">
        <v>122</v>
      </c>
      <c r="J54" s="53" t="n">
        <v>3.02363014511423</v>
      </c>
      <c r="K54" s="52" t="n">
        <f aca="false">IF(G54="","",MAX(0,G54-J54/100))</f>
        <v>0.450589657250923</v>
      </c>
      <c r="L54" s="52" t="n">
        <f aca="false">IF(G54="","",MIN(1,G54+J54/100))</f>
        <v>0.511062260153207</v>
      </c>
      <c r="M54" s="37" t="n">
        <f aca="false">IF(F54="","",ROUND(F54*J54/100,0))</f>
        <v>10</v>
      </c>
      <c r="P54" s="54" t="n">
        <v>-1.14572150577523</v>
      </c>
      <c r="Q54" s="55" t="n">
        <f aca="false">T54*$H$5</f>
        <v>338.993963782696</v>
      </c>
      <c r="R54" s="56" t="n">
        <f aca="false">MAX(0,MIN(1,P54/100+$D$5))</f>
        <v>0.482046019831136</v>
      </c>
      <c r="S54" s="57" t="s">
        <v>123</v>
      </c>
      <c r="T54" s="55" t="n">
        <v>338.993963782696</v>
      </c>
    </row>
    <row r="55" customFormat="false" ht="15" hidden="false" customHeight="false" outlineLevel="0" collapsed="false">
      <c r="A55" s="21" t="s">
        <v>120</v>
      </c>
      <c r="B55" s="21" t="s">
        <v>176</v>
      </c>
      <c r="C55" s="21" t="s">
        <v>179</v>
      </c>
      <c r="D55" s="37" t="n">
        <f aca="false">ROUND(Q55*R55,0)</f>
        <v>92</v>
      </c>
      <c r="E55" s="37" t="n">
        <f aca="false">ROUND(Q55,0)-D55</f>
        <v>151</v>
      </c>
      <c r="F55" s="37" t="n">
        <f aca="false">IF(COUNTA(D55:E55)=0,"",SUM(D55:E55))</f>
        <v>243</v>
      </c>
      <c r="G55" s="52" t="n">
        <f aca="false">IF(OR(F55="",F55=0),"",D55/F55)</f>
        <v>0.378600823045268</v>
      </c>
      <c r="H55" s="52" t="n">
        <f aca="false">IF(OR(F55="",F55=0),"",E55/F55)</f>
        <v>0.621399176954733</v>
      </c>
      <c r="I55" s="21" t="s">
        <v>122</v>
      </c>
      <c r="J55" s="53" t="n">
        <v>3.02363014511423</v>
      </c>
      <c r="K55" s="52" t="n">
        <f aca="false">IF(G55="","",MAX(0,G55-J55/100))</f>
        <v>0.348364521594125</v>
      </c>
      <c r="L55" s="52" t="n">
        <f aca="false">IF(G55="","",MIN(1,G55+J55/100))</f>
        <v>0.40883712449641</v>
      </c>
      <c r="M55" s="37" t="n">
        <f aca="false">IF(F55="","",ROUND(F55*J55/100,0))</f>
        <v>7</v>
      </c>
      <c r="P55" s="54" t="n">
        <v>-11.3351121469191</v>
      </c>
      <c r="Q55" s="55" t="n">
        <f aca="false">T55*$H$5</f>
        <v>242.881401617251</v>
      </c>
      <c r="R55" s="56" t="n">
        <f aca="false">MAX(0,MIN(1,P55/100+$D$5))</f>
        <v>0.380152113419697</v>
      </c>
      <c r="S55" s="57" t="s">
        <v>123</v>
      </c>
      <c r="T55" s="55" t="n">
        <v>242.881401617251</v>
      </c>
    </row>
    <row r="56" customFormat="false" ht="15" hidden="false" customHeight="false" outlineLevel="0" collapsed="false">
      <c r="A56" s="21" t="s">
        <v>120</v>
      </c>
      <c r="B56" s="21" t="s">
        <v>176</v>
      </c>
      <c r="C56" s="21" t="s">
        <v>180</v>
      </c>
      <c r="D56" s="37" t="n">
        <f aca="false">ROUND(Q56*R56,0)</f>
        <v>169</v>
      </c>
      <c r="E56" s="37" t="n">
        <f aca="false">ROUND(Q56,0)-D56</f>
        <v>236</v>
      </c>
      <c r="F56" s="37" t="n">
        <f aca="false">IF(COUNTA(D56:E56)=0,"",SUM(D56:E56))</f>
        <v>405</v>
      </c>
      <c r="G56" s="52" t="n">
        <f aca="false">IF(OR(F56="",F56=0),"",D56/F56)</f>
        <v>0.417283950617284</v>
      </c>
      <c r="H56" s="52" t="n">
        <f aca="false">IF(OR(F56="",F56=0),"",E56/F56)</f>
        <v>0.582716049382716</v>
      </c>
      <c r="I56" s="21" t="s">
        <v>122</v>
      </c>
      <c r="J56" s="53" t="n">
        <v>3.02363014511423</v>
      </c>
      <c r="K56" s="52" t="n">
        <f aca="false">IF(G56="","",MAX(0,G56-J56/100))</f>
        <v>0.387047649166142</v>
      </c>
      <c r="L56" s="52" t="n">
        <f aca="false">IF(G56="","",MIN(1,G56+J56/100))</f>
        <v>0.447520252068426</v>
      </c>
      <c r="M56" s="37" t="n">
        <f aca="false">IF(F56="","",ROUND(F56*J56/100,0))</f>
        <v>12</v>
      </c>
      <c r="P56" s="54" t="n">
        <v>-7.74434886516465</v>
      </c>
      <c r="Q56" s="55" t="n">
        <f aca="false">T56*$H$5</f>
        <v>405.365413533835</v>
      </c>
      <c r="R56" s="56" t="n">
        <f aca="false">MAX(0,MIN(1,P56/100+$D$5))</f>
        <v>0.416059746237242</v>
      </c>
      <c r="S56" s="57" t="s">
        <v>123</v>
      </c>
      <c r="T56" s="55" t="n">
        <v>405.365413533835</v>
      </c>
    </row>
    <row r="57" customFormat="false" ht="15" hidden="false" customHeight="false" outlineLevel="0" collapsed="false">
      <c r="A57" s="21" t="s">
        <v>120</v>
      </c>
      <c r="B57" s="21" t="s">
        <v>181</v>
      </c>
      <c r="C57" s="21" t="s">
        <v>182</v>
      </c>
      <c r="D57" s="37" t="n">
        <f aca="false">ROUND(Q57*R57,0)</f>
        <v>240</v>
      </c>
      <c r="E57" s="37" t="n">
        <f aca="false">ROUND(Q57,0)-D57</f>
        <v>530</v>
      </c>
      <c r="F57" s="37" t="n">
        <f aca="false">IF(COUNTA(D57:E57)=0,"",SUM(D57:E57))</f>
        <v>770</v>
      </c>
      <c r="G57" s="52" t="n">
        <f aca="false">IF(OR(F57="",F57=0),"",D57/F57)</f>
        <v>0.311688311688312</v>
      </c>
      <c r="H57" s="52" t="n">
        <f aca="false">IF(OR(F57="",F57=0),"",E57/F57)</f>
        <v>0.688311688311688</v>
      </c>
      <c r="I57" s="21" t="s">
        <v>122</v>
      </c>
      <c r="J57" s="53" t="n">
        <v>3.02363014511423</v>
      </c>
      <c r="K57" s="52" t="n">
        <f aca="false">IF(G57="","",MAX(0,G57-J57/100))</f>
        <v>0.281452010237169</v>
      </c>
      <c r="L57" s="52" t="n">
        <f aca="false">IF(G57="","",MIN(1,G57+J57/100))</f>
        <v>0.341924613139454</v>
      </c>
      <c r="M57" s="37" t="n">
        <f aca="false">IF(F57="","",ROUND(F57*J57/100,0))</f>
        <v>23</v>
      </c>
      <c r="P57" s="54" t="n">
        <v>-18.1726818415618</v>
      </c>
      <c r="Q57" s="55" t="n">
        <f aca="false">T57*$H$5</f>
        <v>769.717741935484</v>
      </c>
      <c r="R57" s="56" t="n">
        <f aca="false">MAX(0,MIN(1,P57/100+$D$5))</f>
        <v>0.311776416473271</v>
      </c>
      <c r="S57" s="57" t="s">
        <v>123</v>
      </c>
      <c r="T57" s="55" t="n">
        <v>769.717741935484</v>
      </c>
    </row>
    <row r="58" customFormat="false" ht="15" hidden="false" customHeight="false" outlineLevel="0" collapsed="false">
      <c r="A58" s="21" t="s">
        <v>120</v>
      </c>
      <c r="B58" s="21" t="s">
        <v>181</v>
      </c>
      <c r="C58" s="21" t="s">
        <v>183</v>
      </c>
      <c r="D58" s="37" t="n">
        <f aca="false">ROUND(Q58*R58,0)</f>
        <v>220</v>
      </c>
      <c r="E58" s="37" t="n">
        <f aca="false">ROUND(Q58,0)-D58</f>
        <v>566</v>
      </c>
      <c r="F58" s="37" t="n">
        <f aca="false">IF(COUNTA(D58:E58)=0,"",SUM(D58:E58))</f>
        <v>786</v>
      </c>
      <c r="G58" s="52" t="n">
        <f aca="false">IF(OR(F58="",F58=0),"",D58/F58)</f>
        <v>0.279898218829517</v>
      </c>
      <c r="H58" s="52" t="n">
        <f aca="false">IF(OR(F58="",F58=0),"",E58/F58)</f>
        <v>0.720101781170484</v>
      </c>
      <c r="I58" s="21" t="s">
        <v>122</v>
      </c>
      <c r="J58" s="53" t="n">
        <v>1.80877416096373</v>
      </c>
      <c r="K58" s="52" t="n">
        <f aca="false">IF(G58="","",MAX(0,G58-J58/100))</f>
        <v>0.261810477219879</v>
      </c>
      <c r="L58" s="52" t="n">
        <f aca="false">IF(G58="","",MIN(1,G58+J58/100))</f>
        <v>0.297985960439154</v>
      </c>
      <c r="M58" s="37" t="n">
        <f aca="false">IF(F58="","",ROUND(F58*J58/100,0))</f>
        <v>14</v>
      </c>
      <c r="P58" s="54" t="n">
        <v>-21.3515967734136</v>
      </c>
      <c r="Q58" s="55" t="n">
        <f aca="false">T58*$H$5</f>
        <v>786.289198606272</v>
      </c>
      <c r="R58" s="56" t="n">
        <f aca="false">MAX(0,MIN(1,P58/100+$D$5))</f>
        <v>0.279987267154752</v>
      </c>
      <c r="S58" s="57" t="s">
        <v>132</v>
      </c>
      <c r="T58" s="55" t="n">
        <v>786.289198606272</v>
      </c>
    </row>
    <row r="59" customFormat="false" ht="15" hidden="false" customHeight="false" outlineLevel="0" collapsed="false">
      <c r="A59" s="21" t="s">
        <v>120</v>
      </c>
      <c r="B59" s="21" t="s">
        <v>181</v>
      </c>
      <c r="C59" s="21" t="s">
        <v>184</v>
      </c>
      <c r="D59" s="37" t="n">
        <f aca="false">ROUND(Q59*R59,0)</f>
        <v>205</v>
      </c>
      <c r="E59" s="37" t="n">
        <f aca="false">ROUND(Q59,0)-D59</f>
        <v>496</v>
      </c>
      <c r="F59" s="37" t="n">
        <f aca="false">IF(COUNTA(D59:E59)=0,"",SUM(D59:E59))</f>
        <v>701</v>
      </c>
      <c r="G59" s="52" t="n">
        <f aca="false">IF(OR(F59="",F59=0),"",D59/F59)</f>
        <v>0.29243937232525</v>
      </c>
      <c r="H59" s="52" t="n">
        <f aca="false">IF(OR(F59="",F59=0),"",E59/F59)</f>
        <v>0.70756062767475</v>
      </c>
      <c r="I59" s="21" t="s">
        <v>122</v>
      </c>
      <c r="J59" s="53" t="n">
        <v>3.02363014511423</v>
      </c>
      <c r="K59" s="52" t="n">
        <f aca="false">IF(G59="","",MAX(0,G59-J59/100))</f>
        <v>0.262203070874107</v>
      </c>
      <c r="L59" s="52" t="n">
        <f aca="false">IF(G59="","",MIN(1,G59+J59/100))</f>
        <v>0.322675673776392</v>
      </c>
      <c r="M59" s="37" t="n">
        <f aca="false">IF(F59="","",ROUND(F59*J59/100,0))</f>
        <v>21</v>
      </c>
      <c r="P59" s="54" t="n">
        <v>-20.1689399094714</v>
      </c>
      <c r="Q59" s="55" t="n">
        <f aca="false">T59*$H$5</f>
        <v>700.937313432836</v>
      </c>
      <c r="R59" s="56" t="n">
        <f aca="false">MAX(0,MIN(1,P59/100+$D$5))</f>
        <v>0.291813835794175</v>
      </c>
      <c r="S59" s="57" t="s">
        <v>123</v>
      </c>
      <c r="T59" s="55" t="n">
        <v>700.937313432836</v>
      </c>
    </row>
    <row r="60" customFormat="false" ht="15" hidden="false" customHeight="false" outlineLevel="0" collapsed="false">
      <c r="A60" s="21" t="s">
        <v>120</v>
      </c>
      <c r="B60" s="21" t="s">
        <v>185</v>
      </c>
      <c r="C60" s="21" t="s">
        <v>186</v>
      </c>
      <c r="D60" s="37" t="n">
        <f aca="false">ROUND(Q60*R60,0)</f>
        <v>181</v>
      </c>
      <c r="E60" s="37" t="n">
        <f aca="false">ROUND(Q60,0)-D60</f>
        <v>420</v>
      </c>
      <c r="F60" s="37" t="n">
        <f aca="false">IF(COUNTA(D60:E60)=0,"",SUM(D60:E60))</f>
        <v>601</v>
      </c>
      <c r="G60" s="52" t="n">
        <f aca="false">IF(OR(F60="",F60=0),"",D60/F60)</f>
        <v>0.301164725457571</v>
      </c>
      <c r="H60" s="52" t="n">
        <f aca="false">IF(OR(F60="",F60=0),"",E60/F60)</f>
        <v>0.698835274542429</v>
      </c>
      <c r="I60" s="21" t="s">
        <v>122</v>
      </c>
      <c r="J60" s="53" t="n">
        <v>3.02363014511423</v>
      </c>
      <c r="K60" s="52" t="n">
        <f aca="false">IF(G60="","",MAX(0,G60-J60/100))</f>
        <v>0.270928424006428</v>
      </c>
      <c r="L60" s="52" t="n">
        <f aca="false">IF(G60="","",MIN(1,G60+J60/100))</f>
        <v>0.331401026908713</v>
      </c>
      <c r="M60" s="37" t="n">
        <f aca="false">IF(F60="","",ROUND(F60*J60/100,0))</f>
        <v>18</v>
      </c>
      <c r="P60" s="54" t="n">
        <v>-19.2387223061064</v>
      </c>
      <c r="Q60" s="55" t="n">
        <f aca="false">T60*$H$5</f>
        <v>601.421153846154</v>
      </c>
      <c r="R60" s="56" t="n">
        <f aca="false">MAX(0,MIN(1,P60/100+$D$5))</f>
        <v>0.301116011827825</v>
      </c>
      <c r="S60" s="57" t="s">
        <v>123</v>
      </c>
      <c r="T60" s="55" t="n">
        <v>601.421153846154</v>
      </c>
    </row>
    <row r="61" customFormat="false" ht="15" hidden="false" customHeight="false" outlineLevel="0" collapsed="false">
      <c r="A61" s="21" t="s">
        <v>120</v>
      </c>
      <c r="B61" s="21" t="s">
        <v>185</v>
      </c>
      <c r="C61" s="21" t="s">
        <v>187</v>
      </c>
      <c r="D61" s="37" t="n">
        <f aca="false">ROUND(Q61*R61,0)</f>
        <v>87</v>
      </c>
      <c r="E61" s="37" t="n">
        <f aca="false">ROUND(Q61,0)-D61</f>
        <v>225</v>
      </c>
      <c r="F61" s="37" t="n">
        <f aca="false">IF(COUNTA(D61:E61)=0,"",SUM(D61:E61))</f>
        <v>312</v>
      </c>
      <c r="G61" s="52" t="n">
        <f aca="false">IF(OR(F61="",F61=0),"",D61/F61)</f>
        <v>0.278846153846154</v>
      </c>
      <c r="H61" s="52" t="n">
        <f aca="false">IF(OR(F61="",F61=0),"",E61/F61)</f>
        <v>0.721153846153846</v>
      </c>
      <c r="I61" s="21" t="s">
        <v>122</v>
      </c>
      <c r="J61" s="53" t="n">
        <v>3.02363014511423</v>
      </c>
      <c r="K61" s="52" t="n">
        <f aca="false">IF(G61="","",MAX(0,G61-J61/100))</f>
        <v>0.248609852395012</v>
      </c>
      <c r="L61" s="52" t="n">
        <f aca="false">IF(G61="","",MIN(1,G61+J61/100))</f>
        <v>0.309082455297296</v>
      </c>
      <c r="M61" s="37" t="n">
        <f aca="false">IF(F61="","",ROUND(F61*J61/100,0))</f>
        <v>9</v>
      </c>
      <c r="P61" s="54" t="n">
        <v>-21.5484779712849</v>
      </c>
      <c r="Q61" s="55" t="n">
        <f aca="false">T61*$H$5</f>
        <v>312.431640625</v>
      </c>
      <c r="R61" s="56" t="n">
        <f aca="false">MAX(0,MIN(1,P61/100+$D$5))</f>
        <v>0.27801845517604</v>
      </c>
      <c r="S61" s="57" t="s">
        <v>123</v>
      </c>
      <c r="T61" s="55" t="n">
        <v>312.431640625</v>
      </c>
    </row>
    <row r="62" customFormat="false" ht="15" hidden="false" customHeight="false" outlineLevel="0" collapsed="false">
      <c r="A62" s="21" t="s">
        <v>120</v>
      </c>
      <c r="B62" s="21" t="s">
        <v>188</v>
      </c>
      <c r="C62" s="21" t="s">
        <v>188</v>
      </c>
      <c r="D62" s="37" t="n">
        <f aca="false">ROUND(Q62*R62,0)</f>
        <v>40</v>
      </c>
      <c r="E62" s="37" t="n">
        <f aca="false">ROUND(Q62,0)-D62</f>
        <v>67</v>
      </c>
      <c r="F62" s="37" t="n">
        <f aca="false">IF(COUNTA(D62:E62)=0,"",SUM(D62:E62))</f>
        <v>107</v>
      </c>
      <c r="G62" s="52" t="n">
        <f aca="false">IF(OR(F62="",F62=0),"",D62/F62)</f>
        <v>0.373831775700935</v>
      </c>
      <c r="H62" s="52" t="n">
        <f aca="false">IF(OR(F62="",F62=0),"",E62/F62)</f>
        <v>0.626168224299065</v>
      </c>
      <c r="I62" s="21" t="s">
        <v>122</v>
      </c>
      <c r="J62" s="53" t="n">
        <v>3.02363014511423</v>
      </c>
      <c r="K62" s="52" t="n">
        <f aca="false">IF(G62="","",MAX(0,G62-J62/100))</f>
        <v>0.343595474249792</v>
      </c>
      <c r="L62" s="52" t="n">
        <f aca="false">IF(G62="","",MIN(1,G62+J62/100))</f>
        <v>0.404068077152077</v>
      </c>
      <c r="M62" s="37" t="n">
        <f aca="false">IF(F62="","",ROUND(F62*J62/100,0))</f>
        <v>3</v>
      </c>
      <c r="P62" s="54" t="n">
        <v>-11.8838044651803</v>
      </c>
      <c r="Q62" s="55" t="n">
        <f aca="false">T62*$H$5</f>
        <v>106.666666666667</v>
      </c>
      <c r="R62" s="56" t="n">
        <f aca="false">MAX(0,MIN(1,P62/100+$D$5))</f>
        <v>0.374665190237086</v>
      </c>
      <c r="S62" s="57" t="s">
        <v>123</v>
      </c>
      <c r="T62" s="55" t="n">
        <v>106.666666666667</v>
      </c>
    </row>
    <row r="63" customFormat="false" ht="15" hidden="false" customHeight="false" outlineLevel="0" collapsed="false">
      <c r="A63" s="21" t="s">
        <v>189</v>
      </c>
      <c r="B63" s="21" t="s">
        <v>190</v>
      </c>
      <c r="C63" s="21" t="s">
        <v>190</v>
      </c>
      <c r="D63" s="37" t="n">
        <f aca="false">ROUND(Q63*R63,0)</f>
        <v>495</v>
      </c>
      <c r="E63" s="37" t="n">
        <f aca="false">ROUND(Q63,0)-D63</f>
        <v>566</v>
      </c>
      <c r="F63" s="37" t="n">
        <f aca="false">IF(COUNTA(D63:E63)=0,"",SUM(D63:E63))</f>
        <v>1061</v>
      </c>
      <c r="G63" s="52" t="n">
        <f aca="false">IF(OR(F63="",F63=0),"",D63/F63)</f>
        <v>0.466540999057493</v>
      </c>
      <c r="H63" s="52" t="n">
        <f aca="false">IF(OR(F63="",F63=0),"",E63/F63)</f>
        <v>0.533459000942507</v>
      </c>
      <c r="I63" s="21" t="s">
        <v>122</v>
      </c>
      <c r="J63" s="53" t="n">
        <v>1.80877416096373</v>
      </c>
      <c r="K63" s="52" t="n">
        <f aca="false">IF(G63="","",MAX(0,G63-J63/100))</f>
        <v>0.448453257447856</v>
      </c>
      <c r="L63" s="52" t="n">
        <f aca="false">IF(G63="","",MIN(1,G63+J63/100))</f>
        <v>0.48462874066713</v>
      </c>
      <c r="M63" s="37" t="n">
        <f aca="false">IF(F63="","",ROUND(F63*J63/100,0))</f>
        <v>19</v>
      </c>
      <c r="P63" s="54" t="n">
        <v>-2.7276192063959</v>
      </c>
      <c r="Q63" s="55" t="n">
        <f aca="false">T63*$H$5</f>
        <v>1060.80585424134</v>
      </c>
      <c r="R63" s="56" t="n">
        <f aca="false">MAX(0,MIN(1,P63/100+$D$5))</f>
        <v>0.466227042824929</v>
      </c>
      <c r="S63" s="57" t="s">
        <v>132</v>
      </c>
      <c r="T63" s="55" t="n">
        <v>1060.80585424134</v>
      </c>
    </row>
    <row r="64" customFormat="false" ht="15" hidden="false" customHeight="false" outlineLevel="0" collapsed="false">
      <c r="A64" s="21" t="s">
        <v>189</v>
      </c>
      <c r="B64" s="21" t="s">
        <v>191</v>
      </c>
      <c r="C64" s="21" t="s">
        <v>192</v>
      </c>
      <c r="D64" s="37" t="n">
        <f aca="false">ROUND(Q64*R64,0)</f>
        <v>245</v>
      </c>
      <c r="E64" s="37" t="n">
        <f aca="false">ROUND(Q64,0)-D64</f>
        <v>94</v>
      </c>
      <c r="F64" s="37" t="n">
        <f aca="false">IF(COUNTA(D64:E64)=0,"",SUM(D64:E64))</f>
        <v>339</v>
      </c>
      <c r="G64" s="52" t="n">
        <f aca="false">IF(OR(F64="",F64=0),"",D64/F64)</f>
        <v>0.722713864306785</v>
      </c>
      <c r="H64" s="52" t="n">
        <f aca="false">IF(OR(F64="",F64=0),"",E64/F64)</f>
        <v>0.277286135693215</v>
      </c>
      <c r="I64" s="21" t="s">
        <v>122</v>
      </c>
      <c r="J64" s="53" t="n">
        <v>3.02363014511423</v>
      </c>
      <c r="K64" s="52" t="n">
        <f aca="false">IF(G64="","",MAX(0,G64-J64/100))</f>
        <v>0.692477562855642</v>
      </c>
      <c r="L64" s="52" t="n">
        <f aca="false">IF(G64="","",MIN(1,G64+J64/100))</f>
        <v>0.752950165757927</v>
      </c>
      <c r="M64" s="37" t="n">
        <f aca="false">IF(F64="","",ROUND(F64*J64/100,0))</f>
        <v>10</v>
      </c>
      <c r="P64" s="54" t="n">
        <v>23.0938013176114</v>
      </c>
      <c r="Q64" s="55" t="n">
        <f aca="false">T64*$H$5</f>
        <v>338.759820426487</v>
      </c>
      <c r="R64" s="56" t="n">
        <f aca="false">MAX(0,MIN(1,P64/100+$D$5))</f>
        <v>0.724441248065003</v>
      </c>
      <c r="S64" s="57" t="s">
        <v>123</v>
      </c>
      <c r="T64" s="55" t="n">
        <v>338.759820426487</v>
      </c>
    </row>
    <row r="65" customFormat="false" ht="15" hidden="false" customHeight="false" outlineLevel="0" collapsed="false">
      <c r="A65" s="21" t="s">
        <v>189</v>
      </c>
      <c r="B65" s="21" t="s">
        <v>191</v>
      </c>
      <c r="C65" s="21" t="s">
        <v>193</v>
      </c>
      <c r="D65" s="37" t="n">
        <f aca="false">ROUND(Q65*R65,0)</f>
        <v>134</v>
      </c>
      <c r="E65" s="37" t="n">
        <f aca="false">ROUND(Q65,0)-D65</f>
        <v>67</v>
      </c>
      <c r="F65" s="37" t="n">
        <f aca="false">IF(COUNTA(D65:E65)=0,"",SUM(D65:E65))</f>
        <v>201</v>
      </c>
      <c r="G65" s="52" t="n">
        <f aca="false">IF(OR(F65="",F65=0),"",D65/F65)</f>
        <v>0.666666666666667</v>
      </c>
      <c r="H65" s="52" t="n">
        <f aca="false">IF(OR(F65="",F65=0),"",E65/F65)</f>
        <v>0.333333333333333</v>
      </c>
      <c r="I65" s="21" t="s">
        <v>122</v>
      </c>
      <c r="J65" s="53" t="n">
        <v>3.02363014511423</v>
      </c>
      <c r="K65" s="52" t="n">
        <f aca="false">IF(G65="","",MAX(0,G65-J65/100))</f>
        <v>0.636430365215524</v>
      </c>
      <c r="L65" s="52" t="n">
        <f aca="false">IF(G65="","",MIN(1,G65+J65/100))</f>
        <v>0.696902968117809</v>
      </c>
      <c r="M65" s="37" t="n">
        <f aca="false">IF(F65="","",ROUND(F65*J65/100,0))</f>
        <v>6</v>
      </c>
      <c r="P65" s="54" t="n">
        <v>17.6036229208544</v>
      </c>
      <c r="Q65" s="55" t="n">
        <f aca="false">T65*$H$5</f>
        <v>200.692863595303</v>
      </c>
      <c r="R65" s="56" t="n">
        <f aca="false">MAX(0,MIN(1,P65/100+$D$5))</f>
        <v>0.669539464097432</v>
      </c>
      <c r="S65" s="57" t="s">
        <v>123</v>
      </c>
      <c r="T65" s="55" t="n">
        <v>200.692863595303</v>
      </c>
    </row>
    <row r="66" customFormat="false" ht="15" hidden="false" customHeight="false" outlineLevel="0" collapsed="false">
      <c r="A66" s="21" t="s">
        <v>189</v>
      </c>
      <c r="B66" s="21" t="s">
        <v>191</v>
      </c>
      <c r="C66" s="21" t="s">
        <v>194</v>
      </c>
      <c r="D66" s="37" t="n">
        <f aca="false">ROUND(Q66*R66,0)</f>
        <v>163</v>
      </c>
      <c r="E66" s="37" t="n">
        <f aca="false">ROUND(Q66,0)-D66</f>
        <v>70</v>
      </c>
      <c r="F66" s="37" t="n">
        <f aca="false">IF(COUNTA(D66:E66)=0,"",SUM(D66:E66))</f>
        <v>233</v>
      </c>
      <c r="G66" s="52" t="n">
        <f aca="false">IF(OR(F66="",F66=0),"",D66/F66)</f>
        <v>0.699570815450644</v>
      </c>
      <c r="H66" s="52" t="n">
        <f aca="false">IF(OR(F66="",F66=0),"",E66/F66)</f>
        <v>0.300429184549356</v>
      </c>
      <c r="I66" s="21" t="s">
        <v>122</v>
      </c>
      <c r="J66" s="53" t="n">
        <v>3.02363014511423</v>
      </c>
      <c r="K66" s="52" t="n">
        <f aca="false">IF(G66="","",MAX(0,G66-J66/100))</f>
        <v>0.669334513999502</v>
      </c>
      <c r="L66" s="52" t="n">
        <f aca="false">IF(G66="","",MIN(1,G66+J66/100))</f>
        <v>0.729807116901786</v>
      </c>
      <c r="M66" s="37" t="n">
        <f aca="false">IF(F66="","",ROUND(F66*J66/100,0))</f>
        <v>7</v>
      </c>
      <c r="P66" s="54" t="n">
        <v>20.8786698262124</v>
      </c>
      <c r="Q66" s="55" t="n">
        <f aca="false">T66*$H$5</f>
        <v>232.72650296359</v>
      </c>
      <c r="R66" s="56" t="n">
        <f aca="false">MAX(0,MIN(1,P66/100+$D$5))</f>
        <v>0.702289933151012</v>
      </c>
      <c r="S66" s="57" t="s">
        <v>123</v>
      </c>
      <c r="T66" s="55" t="n">
        <v>232.72650296359</v>
      </c>
    </row>
    <row r="67" customFormat="false" ht="15" hidden="false" customHeight="false" outlineLevel="0" collapsed="false">
      <c r="A67" s="21" t="s">
        <v>189</v>
      </c>
      <c r="B67" s="21" t="s">
        <v>191</v>
      </c>
      <c r="C67" s="21" t="s">
        <v>195</v>
      </c>
      <c r="D67" s="37" t="n">
        <f aca="false">ROUND(Q67*R67,0)</f>
        <v>160</v>
      </c>
      <c r="E67" s="37" t="n">
        <f aca="false">ROUND(Q67,0)-D67</f>
        <v>75</v>
      </c>
      <c r="F67" s="37" t="n">
        <f aca="false">IF(COUNTA(D67:E67)=0,"",SUM(D67:E67))</f>
        <v>235</v>
      </c>
      <c r="G67" s="52" t="n">
        <f aca="false">IF(OR(F67="",F67=0),"",D67/F67)</f>
        <v>0.680851063829787</v>
      </c>
      <c r="H67" s="52" t="n">
        <f aca="false">IF(OR(F67="",F67=0),"",E67/F67)</f>
        <v>0.319148936170213</v>
      </c>
      <c r="I67" s="21" t="s">
        <v>122</v>
      </c>
      <c r="J67" s="53" t="n">
        <v>3.02363014511423</v>
      </c>
      <c r="K67" s="52" t="n">
        <f aca="false">IF(G67="","",MAX(0,G67-J67/100))</f>
        <v>0.650614762378645</v>
      </c>
      <c r="L67" s="52" t="n">
        <f aca="false">IF(G67="","",MIN(1,G67+J67/100))</f>
        <v>0.71108736528093</v>
      </c>
      <c r="M67" s="37" t="n">
        <f aca="false">IF(F67="","",ROUND(F67*J67/100,0))</f>
        <v>7</v>
      </c>
      <c r="P67" s="54" t="n">
        <v>18.8574450397064</v>
      </c>
      <c r="Q67" s="55" t="n">
        <f aca="false">T67*$H$5</f>
        <v>234.521920668059</v>
      </c>
      <c r="R67" s="56" t="n">
        <f aca="false">MAX(0,MIN(1,P67/100+$D$5))</f>
        <v>0.682077685285952</v>
      </c>
      <c r="S67" s="57" t="s">
        <v>123</v>
      </c>
      <c r="T67" s="55" t="n">
        <v>234.521920668059</v>
      </c>
    </row>
    <row r="68" customFormat="false" ht="15" hidden="false" customHeight="false" outlineLevel="0" collapsed="false">
      <c r="A68" s="21" t="s">
        <v>189</v>
      </c>
      <c r="B68" s="21" t="s">
        <v>191</v>
      </c>
      <c r="C68" s="21" t="s">
        <v>196</v>
      </c>
      <c r="D68" s="37" t="n">
        <f aca="false">ROUND(Q68*R68,0)</f>
        <v>169</v>
      </c>
      <c r="E68" s="37" t="n">
        <f aca="false">ROUND(Q68,0)-D68</f>
        <v>58</v>
      </c>
      <c r="F68" s="37" t="n">
        <f aca="false">IF(COUNTA(D68:E68)=0,"",SUM(D68:E68))</f>
        <v>227</v>
      </c>
      <c r="G68" s="52" t="n">
        <f aca="false">IF(OR(F68="",F68=0),"",D68/F68)</f>
        <v>0.744493392070485</v>
      </c>
      <c r="H68" s="52" t="n">
        <f aca="false">IF(OR(F68="",F68=0),"",E68/F68)</f>
        <v>0.255506607929515</v>
      </c>
      <c r="I68" s="21" t="s">
        <v>122</v>
      </c>
      <c r="J68" s="53" t="n">
        <v>3.02363014511423</v>
      </c>
      <c r="K68" s="52" t="n">
        <f aca="false">IF(G68="","",MAX(0,G68-J68/100))</f>
        <v>0.714257090619342</v>
      </c>
      <c r="L68" s="52" t="n">
        <f aca="false">IF(G68="","",MIN(1,G68+J68/100))</f>
        <v>0.774729693521627</v>
      </c>
      <c r="M68" s="37" t="n">
        <f aca="false">IF(F68="","",ROUND(F68*J68/100,0))</f>
        <v>7</v>
      </c>
      <c r="P68" s="54" t="n">
        <v>24.9376042489871</v>
      </c>
      <c r="Q68" s="55" t="n">
        <f aca="false">T68*$H$5</f>
        <v>227.321723189734</v>
      </c>
      <c r="R68" s="56" t="n">
        <f aca="false">MAX(0,MIN(1,P68/100+$D$5))</f>
        <v>0.742879277378759</v>
      </c>
      <c r="S68" s="57" t="s">
        <v>123</v>
      </c>
      <c r="T68" s="55" t="n">
        <v>227.321723189734</v>
      </c>
    </row>
    <row r="69" customFormat="false" ht="15" hidden="false" customHeight="false" outlineLevel="0" collapsed="false">
      <c r="A69" s="21" t="s">
        <v>189</v>
      </c>
      <c r="B69" s="21" t="s">
        <v>191</v>
      </c>
      <c r="C69" s="21" t="s">
        <v>197</v>
      </c>
      <c r="D69" s="37" t="n">
        <f aca="false">ROUND(Q69*R69,0)</f>
        <v>248</v>
      </c>
      <c r="E69" s="37" t="n">
        <f aca="false">ROUND(Q69,0)-D69</f>
        <v>113</v>
      </c>
      <c r="F69" s="37" t="n">
        <f aca="false">IF(COUNTA(D69:E69)=0,"",SUM(D69:E69))</f>
        <v>361</v>
      </c>
      <c r="G69" s="52" t="n">
        <f aca="false">IF(OR(F69="",F69=0),"",D69/F69)</f>
        <v>0.686980609418283</v>
      </c>
      <c r="H69" s="52" t="n">
        <f aca="false">IF(OR(F69="",F69=0),"",E69/F69)</f>
        <v>0.313019390581717</v>
      </c>
      <c r="I69" s="21" t="s">
        <v>122</v>
      </c>
      <c r="J69" s="53" t="n">
        <v>3.02363014511423</v>
      </c>
      <c r="K69" s="52" t="n">
        <f aca="false">IF(G69="","",MAX(0,G69-J69/100))</f>
        <v>0.65674430796714</v>
      </c>
      <c r="L69" s="52" t="n">
        <f aca="false">IF(G69="","",MIN(1,G69+J69/100))</f>
        <v>0.717216910869425</v>
      </c>
      <c r="M69" s="37" t="n">
        <f aca="false">IF(F69="","",ROUND(F69*J69/100,0))</f>
        <v>11</v>
      </c>
      <c r="P69" s="54" t="n">
        <v>19.4769148011744</v>
      </c>
      <c r="Q69" s="55" t="n">
        <f aca="false">T69*$H$5</f>
        <v>360.922448979592</v>
      </c>
      <c r="R69" s="56" t="n">
        <f aca="false">MAX(0,MIN(1,P69/100+$D$5))</f>
        <v>0.688272382900633</v>
      </c>
      <c r="S69" s="57" t="s">
        <v>123</v>
      </c>
      <c r="T69" s="55" t="n">
        <v>360.922448979592</v>
      </c>
    </row>
    <row r="70" customFormat="false" ht="15" hidden="false" customHeight="false" outlineLevel="0" collapsed="false">
      <c r="A70" s="21" t="s">
        <v>189</v>
      </c>
      <c r="B70" s="21" t="s">
        <v>191</v>
      </c>
      <c r="C70" s="21" t="s">
        <v>198</v>
      </c>
      <c r="D70" s="37" t="n">
        <f aca="false">ROUND(Q70*R70,0)</f>
        <v>583</v>
      </c>
      <c r="E70" s="37" t="n">
        <f aca="false">ROUND(Q70,0)-D70</f>
        <v>175</v>
      </c>
      <c r="F70" s="37" t="n">
        <f aca="false">IF(COUNTA(D70:E70)=0,"",SUM(D70:E70))</f>
        <v>758</v>
      </c>
      <c r="G70" s="52" t="n">
        <f aca="false">IF(OR(F70="",F70=0),"",D70/F70)</f>
        <v>0.769129287598945</v>
      </c>
      <c r="H70" s="52" t="n">
        <f aca="false">IF(OR(F70="",F70=0),"",E70/F70)</f>
        <v>0.230870712401055</v>
      </c>
      <c r="I70" s="21" t="s">
        <v>122</v>
      </c>
      <c r="J70" s="53" t="n">
        <v>3.02363014511423</v>
      </c>
      <c r="K70" s="52" t="n">
        <f aca="false">IF(G70="","",MAX(0,G70-J70/100))</f>
        <v>0.738892986147802</v>
      </c>
      <c r="L70" s="52" t="n">
        <f aca="false">IF(G70="","",MIN(1,G70+J70/100))</f>
        <v>0.799365589050087</v>
      </c>
      <c r="M70" s="37" t="n">
        <f aca="false">IF(F70="","",ROUND(F70*J70/100,0))</f>
        <v>23</v>
      </c>
      <c r="P70" s="54" t="n">
        <v>27.5320852559427</v>
      </c>
      <c r="Q70" s="55" t="n">
        <f aca="false">T70*$H$5</f>
        <v>757.916666666666</v>
      </c>
      <c r="R70" s="56" t="n">
        <f aca="false">MAX(0,MIN(1,P70/100+$D$5))</f>
        <v>0.768824087448316</v>
      </c>
      <c r="S70" s="57" t="s">
        <v>123</v>
      </c>
      <c r="T70" s="55" t="n">
        <v>757.916666666666</v>
      </c>
    </row>
    <row r="71" customFormat="false" ht="15" hidden="false" customHeight="false" outlineLevel="0" collapsed="false">
      <c r="A71" s="21" t="s">
        <v>189</v>
      </c>
      <c r="B71" s="21" t="s">
        <v>191</v>
      </c>
      <c r="C71" s="21" t="s">
        <v>199</v>
      </c>
      <c r="D71" s="37" t="n">
        <f aca="false">ROUND(Q71*R71,0)</f>
        <v>271</v>
      </c>
      <c r="E71" s="37" t="n">
        <f aca="false">ROUND(Q71,0)-D71</f>
        <v>140</v>
      </c>
      <c r="F71" s="37" t="n">
        <f aca="false">IF(COUNTA(D71:E71)=0,"",SUM(D71:E71))</f>
        <v>411</v>
      </c>
      <c r="G71" s="52" t="n">
        <f aca="false">IF(OR(F71="",F71=0),"",D71/F71)</f>
        <v>0.659367396593674</v>
      </c>
      <c r="H71" s="52" t="n">
        <f aca="false">IF(OR(F71="",F71=0),"",E71/F71)</f>
        <v>0.340632603406326</v>
      </c>
      <c r="I71" s="21" t="s">
        <v>122</v>
      </c>
      <c r="J71" s="53" t="n">
        <v>3.02363014511423</v>
      </c>
      <c r="K71" s="52" t="n">
        <f aca="false">IF(G71="","",MAX(0,G71-J71/100))</f>
        <v>0.629131095142532</v>
      </c>
      <c r="L71" s="52" t="n">
        <f aca="false">IF(G71="","",MIN(1,G71+J71/100))</f>
        <v>0.689603698044816</v>
      </c>
      <c r="M71" s="37" t="n">
        <f aca="false">IF(F71="","",ROUND(F71*J71/100,0))</f>
        <v>12</v>
      </c>
      <c r="P71" s="54" t="n">
        <v>16.4710572658394</v>
      </c>
      <c r="Q71" s="55" t="n">
        <f aca="false">T71*$H$5</f>
        <v>411.119158878505</v>
      </c>
      <c r="R71" s="56" t="n">
        <f aca="false">MAX(0,MIN(1,P71/100+$D$5))</f>
        <v>0.658213807547282</v>
      </c>
      <c r="S71" s="57" t="s">
        <v>123</v>
      </c>
      <c r="T71" s="55" t="n">
        <v>411.119158878505</v>
      </c>
    </row>
    <row r="72" customFormat="false" ht="15" hidden="false" customHeight="false" outlineLevel="0" collapsed="false">
      <c r="A72" s="21" t="s">
        <v>189</v>
      </c>
      <c r="B72" s="21" t="s">
        <v>191</v>
      </c>
      <c r="C72" s="21" t="s">
        <v>200</v>
      </c>
      <c r="D72" s="37" t="n">
        <f aca="false">ROUND(Q72*R72,0)</f>
        <v>410</v>
      </c>
      <c r="E72" s="37" t="n">
        <f aca="false">ROUND(Q72,0)-D72</f>
        <v>260</v>
      </c>
      <c r="F72" s="37" t="n">
        <f aca="false">IF(COUNTA(D72:E72)=0,"",SUM(D72:E72))</f>
        <v>670</v>
      </c>
      <c r="G72" s="52" t="n">
        <f aca="false">IF(OR(F72="",F72=0),"",D72/F72)</f>
        <v>0.611940298507463</v>
      </c>
      <c r="H72" s="52" t="n">
        <f aca="false">IF(OR(F72="",F72=0),"",E72/F72)</f>
        <v>0.388059701492537</v>
      </c>
      <c r="I72" s="21" t="s">
        <v>122</v>
      </c>
      <c r="J72" s="53" t="n">
        <v>3.02363014511423</v>
      </c>
      <c r="K72" s="52" t="n">
        <f aca="false">IF(G72="","",MAX(0,G72-J72/100))</f>
        <v>0.58170399705632</v>
      </c>
      <c r="L72" s="52" t="n">
        <f aca="false">IF(G72="","",MIN(1,G72+J72/100))</f>
        <v>0.642176599958605</v>
      </c>
      <c r="M72" s="37" t="n">
        <f aca="false">IF(F72="","",ROUND(F72*J72/100,0))</f>
        <v>20</v>
      </c>
      <c r="P72" s="54" t="n">
        <v>11.9311121801602</v>
      </c>
      <c r="Q72" s="55" t="n">
        <f aca="false">T72*$H$5</f>
        <v>669.509193776521</v>
      </c>
      <c r="R72" s="56" t="n">
        <f aca="false">MAX(0,MIN(1,P72/100+$D$5))</f>
        <v>0.61281435669049</v>
      </c>
      <c r="S72" s="57" t="s">
        <v>123</v>
      </c>
      <c r="T72" s="55" t="n">
        <v>669.509193776521</v>
      </c>
    </row>
    <row r="73" customFormat="false" ht="15" hidden="false" customHeight="false" outlineLevel="0" collapsed="false">
      <c r="A73" s="21" t="s">
        <v>189</v>
      </c>
      <c r="B73" s="21" t="s">
        <v>191</v>
      </c>
      <c r="C73" s="21" t="s">
        <v>201</v>
      </c>
      <c r="D73" s="37" t="n">
        <f aca="false">ROUND(Q73*R73,0)</f>
        <v>348</v>
      </c>
      <c r="E73" s="37" t="n">
        <f aca="false">ROUND(Q73,0)-D73</f>
        <v>201</v>
      </c>
      <c r="F73" s="37" t="n">
        <f aca="false">IF(COUNTA(D73:E73)=0,"",SUM(D73:E73))</f>
        <v>549</v>
      </c>
      <c r="G73" s="52" t="n">
        <f aca="false">IF(OR(F73="",F73=0),"",D73/F73)</f>
        <v>0.633879781420765</v>
      </c>
      <c r="H73" s="52" t="n">
        <f aca="false">IF(OR(F73="",F73=0),"",E73/F73)</f>
        <v>0.366120218579235</v>
      </c>
      <c r="I73" s="21" t="s">
        <v>122</v>
      </c>
      <c r="J73" s="53" t="n">
        <v>3.02363014511423</v>
      </c>
      <c r="K73" s="52" t="n">
        <f aca="false">IF(G73="","",MAX(0,G73-J73/100))</f>
        <v>0.603643479969623</v>
      </c>
      <c r="L73" s="52" t="n">
        <f aca="false">IF(G73="","",MIN(1,G73+J73/100))</f>
        <v>0.664116082871907</v>
      </c>
      <c r="M73" s="37" t="n">
        <f aca="false">IF(F73="","",ROUND(F73*J73/100,0))</f>
        <v>17</v>
      </c>
      <c r="P73" s="54" t="n">
        <v>14.0140353381849</v>
      </c>
      <c r="Q73" s="55" t="n">
        <f aca="false">T73*$H$5</f>
        <v>549.287257019439</v>
      </c>
      <c r="R73" s="56" t="n">
        <f aca="false">MAX(0,MIN(1,P73/100+$D$5))</f>
        <v>0.633643588270737</v>
      </c>
      <c r="S73" s="57" t="s">
        <v>123</v>
      </c>
      <c r="T73" s="55" t="n">
        <v>549.287257019439</v>
      </c>
    </row>
    <row r="74" customFormat="false" ht="15" hidden="false" customHeight="false" outlineLevel="0" collapsed="false">
      <c r="A74" s="21" t="s">
        <v>189</v>
      </c>
      <c r="B74" s="21" t="s">
        <v>191</v>
      </c>
      <c r="C74" s="21" t="s">
        <v>202</v>
      </c>
      <c r="D74" s="37" t="n">
        <f aca="false">ROUND(Q74*R74,0)</f>
        <v>259</v>
      </c>
      <c r="E74" s="37" t="n">
        <f aca="false">ROUND(Q74,0)-D74</f>
        <v>119</v>
      </c>
      <c r="F74" s="37" t="n">
        <f aca="false">IF(COUNTA(D74:E74)=0,"",SUM(D74:E74))</f>
        <v>378</v>
      </c>
      <c r="G74" s="52" t="n">
        <f aca="false">IF(OR(F74="",F74=0),"",D74/F74)</f>
        <v>0.685185185185185</v>
      </c>
      <c r="H74" s="52" t="n">
        <f aca="false">IF(OR(F74="",F74=0),"",E74/F74)</f>
        <v>0.314814814814815</v>
      </c>
      <c r="I74" s="21" t="s">
        <v>122</v>
      </c>
      <c r="J74" s="53" t="n">
        <v>3.02363014511423</v>
      </c>
      <c r="K74" s="52" t="n">
        <f aca="false">IF(G74="","",MAX(0,G74-J74/100))</f>
        <v>0.654948883734043</v>
      </c>
      <c r="L74" s="52" t="n">
        <f aca="false">IF(G74="","",MIN(1,G74+J74/100))</f>
        <v>0.715421486636328</v>
      </c>
      <c r="M74" s="37" t="n">
        <f aca="false">IF(F74="","",ROUND(F74*J74/100,0))</f>
        <v>11</v>
      </c>
      <c r="P74" s="54" t="n">
        <v>19.0826162903993</v>
      </c>
      <c r="Q74" s="55" t="n">
        <f aca="false">T74*$H$5</f>
        <v>378.339066339066</v>
      </c>
      <c r="R74" s="56" t="n">
        <f aca="false">MAX(0,MIN(1,P74/100+$D$5))</f>
        <v>0.684329397792882</v>
      </c>
      <c r="S74" s="57" t="s">
        <v>123</v>
      </c>
      <c r="T74" s="55" t="n">
        <v>378.339066339066</v>
      </c>
    </row>
    <row r="75" customFormat="false" ht="15" hidden="false" customHeight="false" outlineLevel="0" collapsed="false">
      <c r="A75" s="21" t="s">
        <v>189</v>
      </c>
      <c r="B75" s="21" t="s">
        <v>191</v>
      </c>
      <c r="C75" s="21" t="s">
        <v>203</v>
      </c>
      <c r="D75" s="37" t="n">
        <f aca="false">ROUND(Q75*R75,0)</f>
        <v>308</v>
      </c>
      <c r="E75" s="37" t="n">
        <f aca="false">ROUND(Q75,0)-D75</f>
        <v>177</v>
      </c>
      <c r="F75" s="37" t="n">
        <f aca="false">IF(COUNTA(D75:E75)=0,"",SUM(D75:E75))</f>
        <v>485</v>
      </c>
      <c r="G75" s="52" t="n">
        <f aca="false">IF(OR(F75="",F75=0),"",D75/F75)</f>
        <v>0.635051546391753</v>
      </c>
      <c r="H75" s="52" t="n">
        <f aca="false">IF(OR(F75="",F75=0),"",E75/F75)</f>
        <v>0.364948453608247</v>
      </c>
      <c r="I75" s="21" t="s">
        <v>122</v>
      </c>
      <c r="J75" s="53" t="n">
        <v>3.02363014511423</v>
      </c>
      <c r="K75" s="52" t="n">
        <f aca="false">IF(G75="","",MAX(0,G75-J75/100))</f>
        <v>0.60481524494061</v>
      </c>
      <c r="L75" s="52" t="n">
        <f aca="false">IF(G75="","",MIN(1,G75+J75/100))</f>
        <v>0.665287847842895</v>
      </c>
      <c r="M75" s="37" t="n">
        <f aca="false">IF(F75="","",ROUND(F75*J75/100,0))</f>
        <v>15</v>
      </c>
      <c r="P75" s="54" t="n">
        <v>14.1914885749348</v>
      </c>
      <c r="Q75" s="55" t="n">
        <f aca="false">T75*$H$5</f>
        <v>484.695302013423</v>
      </c>
      <c r="R75" s="56" t="n">
        <f aca="false">MAX(0,MIN(1,P75/100+$D$5))</f>
        <v>0.635418120638236</v>
      </c>
      <c r="S75" s="57" t="s">
        <v>123</v>
      </c>
      <c r="T75" s="55" t="n">
        <v>484.695302013423</v>
      </c>
    </row>
    <row r="76" customFormat="false" ht="15" hidden="false" customHeight="false" outlineLevel="0" collapsed="false">
      <c r="A76" s="21" t="s">
        <v>189</v>
      </c>
      <c r="B76" s="21" t="s">
        <v>191</v>
      </c>
      <c r="C76" s="21" t="s">
        <v>204</v>
      </c>
      <c r="D76" s="37" t="n">
        <f aca="false">ROUND(Q76*R76,0)</f>
        <v>361</v>
      </c>
      <c r="E76" s="37" t="n">
        <f aca="false">ROUND(Q76,0)-D76</f>
        <v>213</v>
      </c>
      <c r="F76" s="37" t="n">
        <f aca="false">IF(COUNTA(D76:E76)=0,"",SUM(D76:E76))</f>
        <v>574</v>
      </c>
      <c r="G76" s="52" t="n">
        <f aca="false">IF(OR(F76="",F76=0),"",D76/F76)</f>
        <v>0.628919860627178</v>
      </c>
      <c r="H76" s="52" t="n">
        <f aca="false">IF(OR(F76="",F76=0),"",E76/F76)</f>
        <v>0.371080139372822</v>
      </c>
      <c r="I76" s="21" t="s">
        <v>122</v>
      </c>
      <c r="J76" s="53" t="n">
        <v>3.02363014511423</v>
      </c>
      <c r="K76" s="52" t="n">
        <f aca="false">IF(G76="","",MAX(0,G76-J76/100))</f>
        <v>0.598683559176035</v>
      </c>
      <c r="L76" s="52" t="n">
        <f aca="false">IF(G76="","",MIN(1,G76+J76/100))</f>
        <v>0.65915616207832</v>
      </c>
      <c r="M76" s="37" t="n">
        <f aca="false">IF(F76="","",ROUND(F76*J76/100,0))</f>
        <v>17</v>
      </c>
      <c r="P76" s="54" t="n">
        <v>13.57697250652</v>
      </c>
      <c r="Q76" s="55" t="n">
        <f aca="false">T76*$H$5</f>
        <v>574.422997946612</v>
      </c>
      <c r="R76" s="56" t="n">
        <f aca="false">MAX(0,MIN(1,P76/100+$D$5))</f>
        <v>0.629272959954088</v>
      </c>
      <c r="S76" s="57" t="s">
        <v>123</v>
      </c>
      <c r="T76" s="55" t="n">
        <v>574.422997946612</v>
      </c>
    </row>
    <row r="77" customFormat="false" ht="15" hidden="false" customHeight="false" outlineLevel="0" collapsed="false">
      <c r="A77" s="21" t="s">
        <v>189</v>
      </c>
      <c r="B77" s="21" t="s">
        <v>191</v>
      </c>
      <c r="C77" s="21" t="s">
        <v>205</v>
      </c>
      <c r="D77" s="37" t="n">
        <f aca="false">ROUND(Q77*R77,0)</f>
        <v>334</v>
      </c>
      <c r="E77" s="37" t="n">
        <f aca="false">ROUND(Q77,0)-D77</f>
        <v>245</v>
      </c>
      <c r="F77" s="37" t="n">
        <f aca="false">IF(COUNTA(D77:E77)=0,"",SUM(D77:E77))</f>
        <v>579</v>
      </c>
      <c r="G77" s="52" t="n">
        <f aca="false">IF(OR(F77="",F77=0),"",D77/F77)</f>
        <v>0.57685664939551</v>
      </c>
      <c r="H77" s="52" t="n">
        <f aca="false">IF(OR(F77="",F77=0),"",E77/F77)</f>
        <v>0.423143350604491</v>
      </c>
      <c r="I77" s="21" t="s">
        <v>122</v>
      </c>
      <c r="J77" s="53" t="n">
        <v>3.02363014511423</v>
      </c>
      <c r="K77" s="52" t="n">
        <f aca="false">IF(G77="","",MAX(0,G77-J77/100))</f>
        <v>0.546620347944367</v>
      </c>
      <c r="L77" s="52" t="n">
        <f aca="false">IF(G77="","",MIN(1,G77+J77/100))</f>
        <v>0.607092950846652</v>
      </c>
      <c r="M77" s="37" t="n">
        <f aca="false">IF(F77="","",ROUND(F77*J77/100,0))</f>
        <v>18</v>
      </c>
      <c r="P77" s="54" t="n">
        <v>8.22612273631532</v>
      </c>
      <c r="Q77" s="55" t="n">
        <f aca="false">T77*$H$5</f>
        <v>579.434468524251</v>
      </c>
      <c r="R77" s="56" t="n">
        <f aca="false">MAX(0,MIN(1,P77/100+$D$5))</f>
        <v>0.575764462252041</v>
      </c>
      <c r="S77" s="57" t="s">
        <v>123</v>
      </c>
      <c r="T77" s="55" t="n">
        <v>579.434468524251</v>
      </c>
    </row>
    <row r="78" customFormat="false" ht="15" hidden="false" customHeight="false" outlineLevel="0" collapsed="false">
      <c r="A78" s="21" t="s">
        <v>189</v>
      </c>
      <c r="B78" s="21" t="s">
        <v>191</v>
      </c>
      <c r="C78" s="21" t="s">
        <v>206</v>
      </c>
      <c r="D78" s="37" t="n">
        <f aca="false">ROUND(Q78*R78,0)</f>
        <v>264</v>
      </c>
      <c r="E78" s="37" t="n">
        <f aca="false">ROUND(Q78,0)-D78</f>
        <v>168</v>
      </c>
      <c r="F78" s="37" t="n">
        <f aca="false">IF(COUNTA(D78:E78)=0,"",SUM(D78:E78))</f>
        <v>432</v>
      </c>
      <c r="G78" s="52" t="n">
        <f aca="false">IF(OR(F78="",F78=0),"",D78/F78)</f>
        <v>0.611111111111111</v>
      </c>
      <c r="H78" s="52" t="n">
        <f aca="false">IF(OR(F78="",F78=0),"",E78/F78)</f>
        <v>0.388888888888889</v>
      </c>
      <c r="I78" s="21" t="s">
        <v>122</v>
      </c>
      <c r="J78" s="53" t="n">
        <v>3.02363014511423</v>
      </c>
      <c r="K78" s="52" t="n">
        <f aca="false">IF(G78="","",MAX(0,G78-J78/100))</f>
        <v>0.580874809659969</v>
      </c>
      <c r="L78" s="52" t="n">
        <f aca="false">IF(G78="","",MIN(1,G78+J78/100))</f>
        <v>0.641347412562254</v>
      </c>
      <c r="M78" s="37" t="n">
        <f aca="false">IF(F78="","",ROUND(F78*J78/100,0))</f>
        <v>13</v>
      </c>
      <c r="P78" s="54" t="n">
        <v>11.6832135162946</v>
      </c>
      <c r="Q78" s="55" t="n">
        <f aca="false">T78*$H$5</f>
        <v>431.913793103448</v>
      </c>
      <c r="R78" s="56" t="n">
        <f aca="false">MAX(0,MIN(1,P78/100+$D$5))</f>
        <v>0.610335370051834</v>
      </c>
      <c r="S78" s="57" t="s">
        <v>123</v>
      </c>
      <c r="T78" s="55" t="n">
        <v>431.913793103448</v>
      </c>
    </row>
    <row r="79" customFormat="false" ht="15" hidden="false" customHeight="false" outlineLevel="0" collapsed="false">
      <c r="A79" s="21" t="s">
        <v>189</v>
      </c>
      <c r="B79" s="21" t="s">
        <v>191</v>
      </c>
      <c r="C79" s="21" t="s">
        <v>207</v>
      </c>
      <c r="D79" s="37" t="n">
        <f aca="false">ROUND(Q79*R79,0)</f>
        <v>252</v>
      </c>
      <c r="E79" s="37" t="n">
        <f aca="false">ROUND(Q79,0)-D79</f>
        <v>112</v>
      </c>
      <c r="F79" s="37" t="n">
        <f aca="false">IF(COUNTA(D79:E79)=0,"",SUM(D79:E79))</f>
        <v>364</v>
      </c>
      <c r="G79" s="52" t="n">
        <f aca="false">IF(OR(F79="",F79=0),"",D79/F79)</f>
        <v>0.692307692307692</v>
      </c>
      <c r="H79" s="52" t="n">
        <f aca="false">IF(OR(F79="",F79=0),"",E79/F79)</f>
        <v>0.307692307692308</v>
      </c>
      <c r="I79" s="21" t="s">
        <v>122</v>
      </c>
      <c r="J79" s="53" t="n">
        <v>3.02363014511423</v>
      </c>
      <c r="K79" s="52" t="n">
        <f aca="false">IF(G79="","",MAX(0,G79-J79/100))</f>
        <v>0.66207139085655</v>
      </c>
      <c r="L79" s="52" t="n">
        <f aca="false">IF(G79="","",MIN(1,G79+J79/100))</f>
        <v>0.722543993758835</v>
      </c>
      <c r="M79" s="37" t="n">
        <f aca="false">IF(F79="","",ROUND(F79*J79/100,0))</f>
        <v>11</v>
      </c>
      <c r="P79" s="54" t="n">
        <v>19.9719535824459</v>
      </c>
      <c r="Q79" s="55" t="n">
        <f aca="false">T79*$H$5</f>
        <v>363.966015293118</v>
      </c>
      <c r="R79" s="56" t="n">
        <f aca="false">MAX(0,MIN(1,P79/100+$D$5))</f>
        <v>0.693222770713347</v>
      </c>
      <c r="S79" s="57" t="s">
        <v>123</v>
      </c>
      <c r="T79" s="55" t="n">
        <v>363.966015293118</v>
      </c>
    </row>
    <row r="80" customFormat="false" ht="15" hidden="false" customHeight="false" outlineLevel="0" collapsed="false">
      <c r="A80" s="21" t="s">
        <v>189</v>
      </c>
      <c r="B80" s="21" t="s">
        <v>191</v>
      </c>
      <c r="C80" s="21" t="s">
        <v>208</v>
      </c>
      <c r="D80" s="37" t="n">
        <f aca="false">ROUND(Q80*R80,0)</f>
        <v>197</v>
      </c>
      <c r="E80" s="37" t="n">
        <f aca="false">ROUND(Q80,0)-D80</f>
        <v>107</v>
      </c>
      <c r="F80" s="37" t="n">
        <f aca="false">IF(COUNTA(D80:E80)=0,"",SUM(D80:E80))</f>
        <v>304</v>
      </c>
      <c r="G80" s="52" t="n">
        <f aca="false">IF(OR(F80="",F80=0),"",D80/F80)</f>
        <v>0.648026315789474</v>
      </c>
      <c r="H80" s="52" t="n">
        <f aca="false">IF(OR(F80="",F80=0),"",E80/F80)</f>
        <v>0.351973684210526</v>
      </c>
      <c r="I80" s="21" t="s">
        <v>122</v>
      </c>
      <c r="J80" s="53" t="n">
        <v>3.02363014511423</v>
      </c>
      <c r="K80" s="52" t="n">
        <f aca="false">IF(G80="","",MAX(0,G80-J80/100))</f>
        <v>0.617790014338331</v>
      </c>
      <c r="L80" s="52" t="n">
        <f aca="false">IF(G80="","",MIN(1,G80+J80/100))</f>
        <v>0.678262617240616</v>
      </c>
      <c r="M80" s="37" t="n">
        <f aca="false">IF(F80="","",ROUND(F80*J80/100,0))</f>
        <v>9</v>
      </c>
      <c r="P80" s="54" t="n">
        <v>15.383471462799</v>
      </c>
      <c r="Q80" s="55" t="n">
        <f aca="false">T80*$H$5</f>
        <v>303.644444444444</v>
      </c>
      <c r="R80" s="56" t="n">
        <f aca="false">MAX(0,MIN(1,P80/100+$D$5))</f>
        <v>0.647337949516878</v>
      </c>
      <c r="S80" s="57" t="s">
        <v>123</v>
      </c>
      <c r="T80" s="55" t="n">
        <v>303.644444444444</v>
      </c>
    </row>
    <row r="81" customFormat="false" ht="15" hidden="false" customHeight="false" outlineLevel="0" collapsed="false">
      <c r="A81" s="21" t="s">
        <v>189</v>
      </c>
      <c r="B81" s="21" t="s">
        <v>191</v>
      </c>
      <c r="C81" s="21" t="s">
        <v>209</v>
      </c>
      <c r="D81" s="37" t="n">
        <f aca="false">ROUND(Q81*R81,0)</f>
        <v>257</v>
      </c>
      <c r="E81" s="37" t="n">
        <f aca="false">ROUND(Q81,0)-D81</f>
        <v>138</v>
      </c>
      <c r="F81" s="37" t="n">
        <f aca="false">IF(COUNTA(D81:E81)=0,"",SUM(D81:E81))</f>
        <v>395</v>
      </c>
      <c r="G81" s="52" t="n">
        <f aca="false">IF(OR(F81="",F81=0),"",D81/F81)</f>
        <v>0.650632911392405</v>
      </c>
      <c r="H81" s="52" t="n">
        <f aca="false">IF(OR(F81="",F81=0),"",E81/F81)</f>
        <v>0.349367088607595</v>
      </c>
      <c r="I81" s="21" t="s">
        <v>122</v>
      </c>
      <c r="J81" s="53" t="n">
        <v>3.02363014511423</v>
      </c>
      <c r="K81" s="52" t="n">
        <f aca="false">IF(G81="","",MAX(0,G81-J81/100))</f>
        <v>0.620396609941263</v>
      </c>
      <c r="L81" s="52" t="n">
        <f aca="false">IF(G81="","",MIN(1,G81+J81/100))</f>
        <v>0.680869212843547</v>
      </c>
      <c r="M81" s="37" t="n">
        <f aca="false">IF(F81="","",ROUND(F81*J81/100,0))</f>
        <v>12</v>
      </c>
      <c r="P81" s="54" t="n">
        <v>15.6686560397516</v>
      </c>
      <c r="Q81" s="55" t="n">
        <f aca="false">T81*$H$5</f>
        <v>395.313313313313</v>
      </c>
      <c r="R81" s="56" t="n">
        <f aca="false">MAX(0,MIN(1,P81/100+$D$5))</f>
        <v>0.650189795286404</v>
      </c>
      <c r="S81" s="57" t="s">
        <v>123</v>
      </c>
      <c r="T81" s="55" t="n">
        <v>395.313313313313</v>
      </c>
    </row>
    <row r="82" customFormat="false" ht="15" hidden="false" customHeight="false" outlineLevel="0" collapsed="false">
      <c r="A82" s="21" t="s">
        <v>189</v>
      </c>
      <c r="B82" s="21" t="s">
        <v>191</v>
      </c>
      <c r="C82" s="21" t="s">
        <v>210</v>
      </c>
      <c r="D82" s="37" t="n">
        <f aca="false">ROUND(Q82*R82,0)</f>
        <v>204</v>
      </c>
      <c r="E82" s="37" t="n">
        <f aca="false">ROUND(Q82,0)-D82</f>
        <v>97</v>
      </c>
      <c r="F82" s="37" t="n">
        <f aca="false">IF(COUNTA(D82:E82)=0,"",SUM(D82:E82))</f>
        <v>301</v>
      </c>
      <c r="G82" s="52" t="n">
        <f aca="false">IF(OR(F82="",F82=0),"",D82/F82)</f>
        <v>0.677740863787375</v>
      </c>
      <c r="H82" s="52" t="n">
        <f aca="false">IF(OR(F82="",F82=0),"",E82/F82)</f>
        <v>0.322259136212625</v>
      </c>
      <c r="I82" s="21" t="s">
        <v>122</v>
      </c>
      <c r="J82" s="53" t="n">
        <v>3.02363014511423</v>
      </c>
      <c r="K82" s="52" t="n">
        <f aca="false">IF(G82="","",MAX(0,G82-J82/100))</f>
        <v>0.647504562336233</v>
      </c>
      <c r="L82" s="52" t="n">
        <f aca="false">IF(G82="","",MIN(1,G82+J82/100))</f>
        <v>0.707977165238518</v>
      </c>
      <c r="M82" s="37" t="n">
        <f aca="false">IF(F82="","",ROUND(F82*J82/100,0))</f>
        <v>9</v>
      </c>
      <c r="P82" s="54" t="n">
        <v>18.4390294237407</v>
      </c>
      <c r="Q82" s="55" t="n">
        <f aca="false">T82*$H$5</f>
        <v>300.567123287671</v>
      </c>
      <c r="R82" s="56" t="n">
        <f aca="false">MAX(0,MIN(1,P82/100+$D$5))</f>
        <v>0.677893529126295</v>
      </c>
      <c r="S82" s="57" t="s">
        <v>123</v>
      </c>
      <c r="T82" s="55" t="n">
        <v>300.567123287671</v>
      </c>
    </row>
    <row r="83" customFormat="false" ht="15" hidden="false" customHeight="false" outlineLevel="0" collapsed="false">
      <c r="A83" s="21" t="s">
        <v>189</v>
      </c>
      <c r="B83" s="21" t="s">
        <v>191</v>
      </c>
      <c r="C83" s="21" t="s">
        <v>211</v>
      </c>
      <c r="D83" s="37" t="n">
        <f aca="false">ROUND(Q83*R83,0)</f>
        <v>374</v>
      </c>
      <c r="E83" s="37" t="n">
        <f aca="false">ROUND(Q83,0)-D83</f>
        <v>212</v>
      </c>
      <c r="F83" s="37" t="n">
        <f aca="false">IF(COUNTA(D83:E83)=0,"",SUM(D83:E83))</f>
        <v>586</v>
      </c>
      <c r="G83" s="52" t="n">
        <f aca="false">IF(OR(F83="",F83=0),"",D83/F83)</f>
        <v>0.638225255972696</v>
      </c>
      <c r="H83" s="52" t="n">
        <f aca="false">IF(OR(F83="",F83=0),"",E83/F83)</f>
        <v>0.361774744027304</v>
      </c>
      <c r="I83" s="21" t="s">
        <v>122</v>
      </c>
      <c r="J83" s="53" t="n">
        <v>3.02363014511423</v>
      </c>
      <c r="K83" s="52" t="n">
        <f aca="false">IF(G83="","",MAX(0,G83-J83/100))</f>
        <v>0.607988954521554</v>
      </c>
      <c r="L83" s="52" t="n">
        <f aca="false">IF(G83="","",MIN(1,G83+J83/100))</f>
        <v>0.668461557423839</v>
      </c>
      <c r="M83" s="37" t="n">
        <f aca="false">IF(F83="","",ROUND(F83*J83/100,0))</f>
        <v>18</v>
      </c>
      <c r="P83" s="54" t="n">
        <v>14.4284746670645</v>
      </c>
      <c r="Q83" s="55" t="n">
        <f aca="false">T83*$H$5</f>
        <v>586.485403548941</v>
      </c>
      <c r="R83" s="56" t="n">
        <f aca="false">MAX(0,MIN(1,P83/100+$D$5))</f>
        <v>0.637787981559533</v>
      </c>
      <c r="S83" s="57" t="s">
        <v>123</v>
      </c>
      <c r="T83" s="55" t="n">
        <v>586.485403548941</v>
      </c>
    </row>
    <row r="84" customFormat="false" ht="15" hidden="false" customHeight="false" outlineLevel="0" collapsed="false">
      <c r="A84" s="21" t="s">
        <v>189</v>
      </c>
      <c r="B84" s="21" t="s">
        <v>191</v>
      </c>
      <c r="C84" s="21" t="s">
        <v>212</v>
      </c>
      <c r="D84" s="37" t="n">
        <f aca="false">ROUND(Q84*R84,0)</f>
        <v>366</v>
      </c>
      <c r="E84" s="37" t="n">
        <f aca="false">ROUND(Q84,0)-D84</f>
        <v>205</v>
      </c>
      <c r="F84" s="37" t="n">
        <f aca="false">IF(COUNTA(D84:E84)=0,"",SUM(D84:E84))</f>
        <v>571</v>
      </c>
      <c r="G84" s="52" t="n">
        <f aca="false">IF(OR(F84="",F84=0),"",D84/F84)</f>
        <v>0.640980735551664</v>
      </c>
      <c r="H84" s="52" t="n">
        <f aca="false">IF(OR(F84="",F84=0),"",E84/F84)</f>
        <v>0.359019264448336</v>
      </c>
      <c r="I84" s="21" t="s">
        <v>122</v>
      </c>
      <c r="J84" s="53" t="n">
        <v>3.02363014511423</v>
      </c>
      <c r="K84" s="52" t="n">
        <f aca="false">IF(G84="","",MAX(0,G84-J84/100))</f>
        <v>0.610744434100522</v>
      </c>
      <c r="L84" s="52" t="n">
        <f aca="false">IF(G84="","",MIN(1,G84+J84/100))</f>
        <v>0.671217037002806</v>
      </c>
      <c r="M84" s="37" t="n">
        <f aca="false">IF(F84="","",ROUND(F84*J84/100,0))</f>
        <v>17</v>
      </c>
      <c r="P84" s="54" t="n">
        <v>14.6357036912489</v>
      </c>
      <c r="Q84" s="55" t="n">
        <f aca="false">T84*$H$5</f>
        <v>571.299896587383</v>
      </c>
      <c r="R84" s="56" t="n">
        <f aca="false">MAX(0,MIN(1,P84/100+$D$5))</f>
        <v>0.639860271801377</v>
      </c>
      <c r="S84" s="57" t="s">
        <v>123</v>
      </c>
      <c r="T84" s="55" t="n">
        <v>571.299896587383</v>
      </c>
    </row>
    <row r="85" customFormat="false" ht="15" hidden="false" customHeight="false" outlineLevel="0" collapsed="false">
      <c r="A85" s="21" t="s">
        <v>189</v>
      </c>
      <c r="B85" s="21" t="s">
        <v>191</v>
      </c>
      <c r="C85" s="21" t="s">
        <v>213</v>
      </c>
      <c r="D85" s="37" t="n">
        <f aca="false">ROUND(Q85*R85,0)</f>
        <v>298</v>
      </c>
      <c r="E85" s="37" t="n">
        <f aca="false">ROUND(Q85,0)-D85</f>
        <v>225</v>
      </c>
      <c r="F85" s="37" t="n">
        <f aca="false">IF(COUNTA(D85:E85)=0,"",SUM(D85:E85))</f>
        <v>523</v>
      </c>
      <c r="G85" s="52" t="n">
        <f aca="false">IF(OR(F85="",F85=0),"",D85/F85)</f>
        <v>0.569789674952199</v>
      </c>
      <c r="H85" s="52" t="n">
        <f aca="false">IF(OR(F85="",F85=0),"",E85/F85)</f>
        <v>0.430210325047801</v>
      </c>
      <c r="I85" s="21" t="s">
        <v>122</v>
      </c>
      <c r="J85" s="53" t="n">
        <v>3.02363014511423</v>
      </c>
      <c r="K85" s="52" t="n">
        <f aca="false">IF(G85="","",MAX(0,G85-J85/100))</f>
        <v>0.539553373501057</v>
      </c>
      <c r="L85" s="52" t="n">
        <f aca="false">IF(G85="","",MIN(1,G85+J85/100))</f>
        <v>0.600025976403341</v>
      </c>
      <c r="M85" s="37" t="n">
        <f aca="false">IF(F85="","",ROUND(F85*J85/100,0))</f>
        <v>16</v>
      </c>
      <c r="P85" s="54" t="n">
        <v>7.66978398102632</v>
      </c>
      <c r="Q85" s="55" t="n">
        <f aca="false">T85*$H$5</f>
        <v>522.567052980132</v>
      </c>
      <c r="R85" s="56" t="n">
        <f aca="false">MAX(0,MIN(1,P85/100+$D$5))</f>
        <v>0.570201074699151</v>
      </c>
      <c r="S85" s="57" t="s">
        <v>123</v>
      </c>
      <c r="T85" s="55" t="n">
        <v>522.567052980132</v>
      </c>
    </row>
    <row r="86" customFormat="false" ht="15" hidden="false" customHeight="false" outlineLevel="0" collapsed="false">
      <c r="A86" s="21" t="s">
        <v>189</v>
      </c>
      <c r="B86" s="21" t="s">
        <v>191</v>
      </c>
      <c r="C86" s="21" t="s">
        <v>214</v>
      </c>
      <c r="D86" s="37" t="n">
        <f aca="false">ROUND(Q86*R86,0)</f>
        <v>376</v>
      </c>
      <c r="E86" s="37" t="n">
        <f aca="false">ROUND(Q86,0)-D86</f>
        <v>234</v>
      </c>
      <c r="F86" s="37" t="n">
        <f aca="false">IF(COUNTA(D86:E86)=0,"",SUM(D86:E86))</f>
        <v>610</v>
      </c>
      <c r="G86" s="52" t="n">
        <f aca="false">IF(OR(F86="",F86=0),"",D86/F86)</f>
        <v>0.616393442622951</v>
      </c>
      <c r="H86" s="52" t="n">
        <f aca="false">IF(OR(F86="",F86=0),"",E86/F86)</f>
        <v>0.383606557377049</v>
      </c>
      <c r="I86" s="21" t="s">
        <v>122</v>
      </c>
      <c r="J86" s="53" t="n">
        <v>3.02363014511423</v>
      </c>
      <c r="K86" s="52" t="n">
        <f aca="false">IF(G86="","",MAX(0,G86-J86/100))</f>
        <v>0.586157141171809</v>
      </c>
      <c r="L86" s="52" t="n">
        <f aca="false">IF(G86="","",MIN(1,G86+J86/100))</f>
        <v>0.646629744074093</v>
      </c>
      <c r="M86" s="37" t="n">
        <f aca="false">IF(F86="","",ROUND(F86*J86/100,0))</f>
        <v>18</v>
      </c>
      <c r="P86" s="54" t="n">
        <v>12.3117564879413</v>
      </c>
      <c r="Q86" s="55" t="n">
        <f aca="false">T86*$H$5</f>
        <v>610.325752919484</v>
      </c>
      <c r="R86" s="56" t="n">
        <f aca="false">MAX(0,MIN(1,P86/100+$D$5))</f>
        <v>0.616620799768301</v>
      </c>
      <c r="S86" s="57" t="s">
        <v>123</v>
      </c>
      <c r="T86" s="55" t="n">
        <v>610.325752919484</v>
      </c>
    </row>
    <row r="87" customFormat="false" ht="15" hidden="false" customHeight="false" outlineLevel="0" collapsed="false">
      <c r="A87" s="21" t="s">
        <v>189</v>
      </c>
      <c r="B87" s="21" t="s">
        <v>191</v>
      </c>
      <c r="C87" s="21" t="s">
        <v>215</v>
      </c>
      <c r="D87" s="37" t="n">
        <f aca="false">ROUND(Q87*R87,0)</f>
        <v>422</v>
      </c>
      <c r="E87" s="37" t="n">
        <f aca="false">ROUND(Q87,0)-D87</f>
        <v>259</v>
      </c>
      <c r="F87" s="37" t="n">
        <f aca="false">IF(COUNTA(D87:E87)=0,"",SUM(D87:E87))</f>
        <v>681</v>
      </c>
      <c r="G87" s="52" t="n">
        <f aca="false">IF(OR(F87="",F87=0),"",D87/F87)</f>
        <v>0.619676945668135</v>
      </c>
      <c r="H87" s="52" t="n">
        <f aca="false">IF(OR(F87="",F87=0),"",E87/F87)</f>
        <v>0.380323054331865</v>
      </c>
      <c r="I87" s="21" t="s">
        <v>122</v>
      </c>
      <c r="J87" s="53" t="n">
        <v>3.02363014511423</v>
      </c>
      <c r="K87" s="52" t="n">
        <f aca="false">IF(G87="","",MAX(0,G87-J87/100))</f>
        <v>0.589440644216993</v>
      </c>
      <c r="L87" s="52" t="n">
        <f aca="false">IF(G87="","",MIN(1,G87+J87/100))</f>
        <v>0.649913247119277</v>
      </c>
      <c r="M87" s="37" t="n">
        <f aca="false">IF(F87="","",ROUND(F87*J87/100,0))</f>
        <v>21</v>
      </c>
      <c r="P87" s="54" t="n">
        <v>12.6487400375202</v>
      </c>
      <c r="Q87" s="55" t="n">
        <f aca="false">T87*$H$5</f>
        <v>680.907053394859</v>
      </c>
      <c r="R87" s="56" t="n">
        <f aca="false">MAX(0,MIN(1,P87/100+$D$5))</f>
        <v>0.61999063526409</v>
      </c>
      <c r="S87" s="57" t="s">
        <v>123</v>
      </c>
      <c r="T87" s="55" t="n">
        <v>680.907053394859</v>
      </c>
    </row>
    <row r="88" customFormat="false" ht="15" hidden="false" customHeight="false" outlineLevel="0" collapsed="false">
      <c r="A88" s="21" t="s">
        <v>189</v>
      </c>
      <c r="B88" s="21" t="s">
        <v>191</v>
      </c>
      <c r="C88" s="21" t="s">
        <v>216</v>
      </c>
      <c r="D88" s="37" t="n">
        <f aca="false">ROUND(Q88*R88,0)</f>
        <v>285</v>
      </c>
      <c r="E88" s="37" t="n">
        <f aca="false">ROUND(Q88,0)-D88</f>
        <v>207</v>
      </c>
      <c r="F88" s="37" t="n">
        <f aca="false">IF(COUNTA(D88:E88)=0,"",SUM(D88:E88))</f>
        <v>492</v>
      </c>
      <c r="G88" s="52" t="n">
        <f aca="false">IF(OR(F88="",F88=0),"",D88/F88)</f>
        <v>0.579268292682927</v>
      </c>
      <c r="H88" s="52" t="n">
        <f aca="false">IF(OR(F88="",F88=0),"",E88/F88)</f>
        <v>0.420731707317073</v>
      </c>
      <c r="I88" s="21" t="s">
        <v>122</v>
      </c>
      <c r="J88" s="53" t="n">
        <v>3.02363014511423</v>
      </c>
      <c r="K88" s="52" t="n">
        <f aca="false">IF(G88="","",MAX(0,G88-J88/100))</f>
        <v>0.549031991231785</v>
      </c>
      <c r="L88" s="52" t="n">
        <f aca="false">IF(G88="","",MIN(1,G88+J88/100))</f>
        <v>0.609504594134069</v>
      </c>
      <c r="M88" s="37" t="n">
        <f aca="false">IF(F88="","",ROUND(F88*J88/100,0))</f>
        <v>15</v>
      </c>
      <c r="P88" s="54" t="n">
        <v>8.64847436096803</v>
      </c>
      <c r="Q88" s="55" t="n">
        <f aca="false">T88*$H$5</f>
        <v>491.515840779854</v>
      </c>
      <c r="R88" s="56" t="n">
        <f aca="false">MAX(0,MIN(1,P88/100+$D$5))</f>
        <v>0.579987978498568</v>
      </c>
      <c r="S88" s="57" t="s">
        <v>123</v>
      </c>
      <c r="T88" s="55" t="n">
        <v>491.515840779854</v>
      </c>
    </row>
    <row r="89" customFormat="false" ht="15" hidden="false" customHeight="false" outlineLevel="0" collapsed="false">
      <c r="A89" s="21" t="s">
        <v>189</v>
      </c>
      <c r="B89" s="21" t="s">
        <v>191</v>
      </c>
      <c r="C89" s="21" t="s">
        <v>217</v>
      </c>
      <c r="D89" s="37" t="n">
        <f aca="false">ROUND(Q89*R89,0)</f>
        <v>285</v>
      </c>
      <c r="E89" s="37" t="n">
        <f aca="false">ROUND(Q89,0)-D89</f>
        <v>175</v>
      </c>
      <c r="F89" s="37" t="n">
        <f aca="false">IF(COUNTA(D89:E89)=0,"",SUM(D89:E89))</f>
        <v>460</v>
      </c>
      <c r="G89" s="52" t="n">
        <f aca="false">IF(OR(F89="",F89=0),"",D89/F89)</f>
        <v>0.619565217391304</v>
      </c>
      <c r="H89" s="52" t="n">
        <f aca="false">IF(OR(F89="",F89=0),"",E89/F89)</f>
        <v>0.380434782608696</v>
      </c>
      <c r="I89" s="21" t="s">
        <v>122</v>
      </c>
      <c r="J89" s="53" t="n">
        <v>3.02363014511423</v>
      </c>
      <c r="K89" s="52" t="n">
        <f aca="false">IF(G89="","",MAX(0,G89-J89/100))</f>
        <v>0.589328915940162</v>
      </c>
      <c r="L89" s="52" t="n">
        <f aca="false">IF(G89="","",MIN(1,G89+J89/100))</f>
        <v>0.649801518842447</v>
      </c>
      <c r="M89" s="37" t="n">
        <f aca="false">IF(F89="","",ROUND(F89*J89/100,0))</f>
        <v>14</v>
      </c>
      <c r="P89" s="54" t="n">
        <v>12.6069085686268</v>
      </c>
      <c r="Q89" s="55" t="n">
        <f aca="false">T89*$H$5</f>
        <v>460.299781181619</v>
      </c>
      <c r="R89" s="56" t="n">
        <f aca="false">MAX(0,MIN(1,P89/100+$D$5))</f>
        <v>0.619572320575156</v>
      </c>
      <c r="S89" s="57" t="s">
        <v>123</v>
      </c>
      <c r="T89" s="55" t="n">
        <v>460.299781181619</v>
      </c>
    </row>
    <row r="90" customFormat="false" ht="15" hidden="false" customHeight="false" outlineLevel="0" collapsed="false">
      <c r="A90" s="21" t="s">
        <v>189</v>
      </c>
      <c r="B90" s="21" t="s">
        <v>191</v>
      </c>
      <c r="C90" s="21" t="s">
        <v>218</v>
      </c>
      <c r="D90" s="37" t="n">
        <f aca="false">ROUND(Q90*R90,0)</f>
        <v>486</v>
      </c>
      <c r="E90" s="37" t="n">
        <f aca="false">ROUND(Q90,0)-D90</f>
        <v>335</v>
      </c>
      <c r="F90" s="37" t="n">
        <f aca="false">IF(COUNTA(D90:E90)=0,"",SUM(D90:E90))</f>
        <v>821</v>
      </c>
      <c r="G90" s="52" t="n">
        <f aca="false">IF(OR(F90="",F90=0),"",D90/F90)</f>
        <v>0.591961023142509</v>
      </c>
      <c r="H90" s="52" t="n">
        <f aca="false">IF(OR(F90="",F90=0),"",E90/F90)</f>
        <v>0.408038976857491</v>
      </c>
      <c r="I90" s="21" t="s">
        <v>122</v>
      </c>
      <c r="J90" s="53" t="n">
        <v>1.80877416096373</v>
      </c>
      <c r="K90" s="52" t="n">
        <f aca="false">IF(G90="","",MAX(0,G90-J90/100))</f>
        <v>0.573873281532872</v>
      </c>
      <c r="L90" s="52" t="n">
        <f aca="false">IF(G90="","",MIN(1,G90+J90/100))</f>
        <v>0.610048764752146</v>
      </c>
      <c r="M90" s="37" t="n">
        <f aca="false">IF(F90="","",ROUND(F90*J90/100,0))</f>
        <v>15</v>
      </c>
      <c r="P90" s="54" t="n">
        <v>9.77890996823066</v>
      </c>
      <c r="Q90" s="55" t="n">
        <f aca="false">T90*$H$5</f>
        <v>821.477888730385</v>
      </c>
      <c r="R90" s="56" t="n">
        <f aca="false">MAX(0,MIN(1,P90/100+$D$5))</f>
        <v>0.591292334571195</v>
      </c>
      <c r="S90" s="57" t="s">
        <v>132</v>
      </c>
      <c r="T90" s="55" t="n">
        <v>821.477888730385</v>
      </c>
    </row>
    <row r="91" customFormat="false" ht="15" hidden="false" customHeight="false" outlineLevel="0" collapsed="false">
      <c r="A91" s="21" t="s">
        <v>189</v>
      </c>
      <c r="B91" s="21" t="s">
        <v>191</v>
      </c>
      <c r="C91" s="21" t="s">
        <v>219</v>
      </c>
      <c r="D91" s="37" t="n">
        <f aca="false">ROUND(Q91*R91,0)</f>
        <v>352</v>
      </c>
      <c r="E91" s="37" t="n">
        <f aca="false">ROUND(Q91,0)-D91</f>
        <v>168</v>
      </c>
      <c r="F91" s="37" t="n">
        <f aca="false">IF(COUNTA(D91:E91)=0,"",SUM(D91:E91))</f>
        <v>520</v>
      </c>
      <c r="G91" s="52" t="n">
        <f aca="false">IF(OR(F91="",F91=0),"",D91/F91)</f>
        <v>0.676923076923077</v>
      </c>
      <c r="H91" s="52" t="n">
        <f aca="false">IF(OR(F91="",F91=0),"",E91/F91)</f>
        <v>0.323076923076923</v>
      </c>
      <c r="I91" s="21" t="s">
        <v>122</v>
      </c>
      <c r="J91" s="53" t="n">
        <v>3.02363014511423</v>
      </c>
      <c r="K91" s="52" t="n">
        <f aca="false">IF(G91="","",MAX(0,G91-J91/100))</f>
        <v>0.646686775471935</v>
      </c>
      <c r="L91" s="52" t="n">
        <f aca="false">IF(G91="","",MIN(1,G91+J91/100))</f>
        <v>0.707159378374219</v>
      </c>
      <c r="M91" s="37" t="n">
        <f aca="false">IF(F91="","",ROUND(F91*J91/100,0))</f>
        <v>16</v>
      </c>
      <c r="P91" s="54" t="n">
        <v>18.4055333884513</v>
      </c>
      <c r="Q91" s="55" t="n">
        <f aca="false">T91*$H$5</f>
        <v>519.765237020316</v>
      </c>
      <c r="R91" s="56" t="n">
        <f aca="false">MAX(0,MIN(1,P91/100+$D$5))</f>
        <v>0.677558568773401</v>
      </c>
      <c r="S91" s="57" t="s">
        <v>123</v>
      </c>
      <c r="T91" s="55" t="n">
        <v>519.765237020316</v>
      </c>
    </row>
    <row r="92" customFormat="false" ht="15" hidden="false" customHeight="false" outlineLevel="0" collapsed="false">
      <c r="A92" s="21" t="s">
        <v>189</v>
      </c>
      <c r="B92" s="21" t="s">
        <v>191</v>
      </c>
      <c r="C92" s="21" t="s">
        <v>220</v>
      </c>
      <c r="D92" s="37" t="n">
        <f aca="false">ROUND(Q92*R92,0)</f>
        <v>398</v>
      </c>
      <c r="E92" s="37" t="n">
        <f aca="false">ROUND(Q92,0)-D92</f>
        <v>219</v>
      </c>
      <c r="F92" s="37" t="n">
        <f aca="false">IF(COUNTA(D92:E92)=0,"",SUM(D92:E92))</f>
        <v>617</v>
      </c>
      <c r="G92" s="52" t="n">
        <f aca="false">IF(OR(F92="",F92=0),"",D92/F92)</f>
        <v>0.645056726094003</v>
      </c>
      <c r="H92" s="52" t="n">
        <f aca="false">IF(OR(F92="",F92=0),"",E92/F92)</f>
        <v>0.354943273905997</v>
      </c>
      <c r="I92" s="21" t="s">
        <v>122</v>
      </c>
      <c r="J92" s="53" t="n">
        <v>3.02363014511423</v>
      </c>
      <c r="K92" s="52" t="n">
        <f aca="false">IF(G92="","",MAX(0,G92-J92/100))</f>
        <v>0.614820424642861</v>
      </c>
      <c r="L92" s="52" t="n">
        <f aca="false">IF(G92="","",MIN(1,G92+J92/100))</f>
        <v>0.675293027545146</v>
      </c>
      <c r="M92" s="37" t="n">
        <f aca="false">IF(F92="","",ROUND(F92*J92/100,0))</f>
        <v>19</v>
      </c>
      <c r="P92" s="54" t="n">
        <v>15.1530636738745</v>
      </c>
      <c r="Q92" s="55" t="n">
        <f aca="false">T92*$H$5</f>
        <v>617.474012474013</v>
      </c>
      <c r="R92" s="56" t="n">
        <f aca="false">MAX(0,MIN(1,P92/100+$D$5))</f>
        <v>0.645033871627633</v>
      </c>
      <c r="S92" s="57" t="s">
        <v>123</v>
      </c>
      <c r="T92" s="55" t="n">
        <v>617.474012474013</v>
      </c>
    </row>
    <row r="93" customFormat="false" ht="15" hidden="false" customHeight="false" outlineLevel="0" collapsed="false">
      <c r="A93" s="21" t="s">
        <v>189</v>
      </c>
      <c r="B93" s="21" t="s">
        <v>191</v>
      </c>
      <c r="C93" s="21" t="s">
        <v>221</v>
      </c>
      <c r="D93" s="37" t="n">
        <f aca="false">ROUND(Q93*R93,0)</f>
        <v>430</v>
      </c>
      <c r="E93" s="37" t="n">
        <f aca="false">ROUND(Q93,0)-D93</f>
        <v>246</v>
      </c>
      <c r="F93" s="37" t="n">
        <f aca="false">IF(COUNTA(D93:E93)=0,"",SUM(D93:E93))</f>
        <v>676</v>
      </c>
      <c r="G93" s="52" t="n">
        <f aca="false">IF(OR(F93="",F93=0),"",D93/F93)</f>
        <v>0.636094674556213</v>
      </c>
      <c r="H93" s="52" t="n">
        <f aca="false">IF(OR(F93="",F93=0),"",E93/F93)</f>
        <v>0.363905325443787</v>
      </c>
      <c r="I93" s="21" t="s">
        <v>122</v>
      </c>
      <c r="J93" s="53" t="n">
        <v>3.02363014511423</v>
      </c>
      <c r="K93" s="52" t="n">
        <f aca="false">IF(G93="","",MAX(0,G93-J93/100))</f>
        <v>0.605858373105071</v>
      </c>
      <c r="L93" s="52" t="n">
        <f aca="false">IF(G93="","",MIN(1,G93+J93/100))</f>
        <v>0.666330976007355</v>
      </c>
      <c r="M93" s="37" t="n">
        <f aca="false">IF(F93="","",ROUND(F93*J93/100,0))</f>
        <v>20</v>
      </c>
      <c r="P93" s="54" t="n">
        <v>14.271832775442</v>
      </c>
      <c r="Q93" s="55" t="n">
        <f aca="false">T93*$H$5</f>
        <v>675.646008403362</v>
      </c>
      <c r="R93" s="56" t="n">
        <f aca="false">MAX(0,MIN(1,P93/100+$D$5))</f>
        <v>0.636221562643308</v>
      </c>
      <c r="S93" s="57" t="s">
        <v>123</v>
      </c>
      <c r="T93" s="55" t="n">
        <v>675.646008403362</v>
      </c>
    </row>
    <row r="94" customFormat="false" ht="15" hidden="false" customHeight="false" outlineLevel="0" collapsed="false">
      <c r="A94" s="21" t="s">
        <v>189</v>
      </c>
      <c r="B94" s="21" t="s">
        <v>191</v>
      </c>
      <c r="C94" s="21" t="s">
        <v>222</v>
      </c>
      <c r="D94" s="37" t="n">
        <f aca="false">ROUND(Q94*R94,0)</f>
        <v>310</v>
      </c>
      <c r="E94" s="37" t="n">
        <f aca="false">ROUND(Q94,0)-D94</f>
        <v>245</v>
      </c>
      <c r="F94" s="37" t="n">
        <f aca="false">IF(COUNTA(D94:E94)=0,"",SUM(D94:E94))</f>
        <v>555</v>
      </c>
      <c r="G94" s="52" t="n">
        <f aca="false">IF(OR(F94="",F94=0),"",D94/F94)</f>
        <v>0.558558558558559</v>
      </c>
      <c r="H94" s="52" t="n">
        <f aca="false">IF(OR(F94="",F94=0),"",E94/F94)</f>
        <v>0.441441441441441</v>
      </c>
      <c r="I94" s="21" t="s">
        <v>223</v>
      </c>
      <c r="J94" s="53" t="n">
        <v>3.02363014511423</v>
      </c>
      <c r="K94" s="52" t="n">
        <f aca="false">IF(G94="","",MAX(0,G94-J94/100))</f>
        <v>0.528322257107416</v>
      </c>
      <c r="L94" s="52" t="n">
        <f aca="false">IF(G94="","",MIN(1,G94+J94/100))</f>
        <v>0.588794860009701</v>
      </c>
      <c r="M94" s="37" t="n">
        <f aca="false">IF(F94="","",ROUND(F94*J94/100,0))</f>
        <v>17</v>
      </c>
      <c r="P94" s="54" t="n">
        <v>6.45362682756993</v>
      </c>
      <c r="Q94" s="55" t="n">
        <f aca="false">T94*$H$5</f>
        <v>554.842964315995</v>
      </c>
      <c r="R94" s="56" t="n">
        <f aca="false">MAX(0,MIN(1,P94/100+$D$5))</f>
        <v>0.558039503164588</v>
      </c>
      <c r="S94" s="57" t="s">
        <v>123</v>
      </c>
      <c r="T94" s="55" t="n">
        <v>554.842964315995</v>
      </c>
    </row>
    <row r="95" customFormat="false" ht="15" hidden="false" customHeight="false" outlineLevel="0" collapsed="false">
      <c r="A95" s="21" t="s">
        <v>189</v>
      </c>
      <c r="B95" s="21" t="s">
        <v>191</v>
      </c>
      <c r="C95" s="21" t="s">
        <v>224</v>
      </c>
      <c r="D95" s="37" t="n">
        <f aca="false">ROUND(Q95*R95,0)</f>
        <v>713</v>
      </c>
      <c r="E95" s="37" t="n">
        <f aca="false">ROUND(Q95,0)-D95</f>
        <v>564</v>
      </c>
      <c r="F95" s="37" t="n">
        <f aca="false">IF(COUNTA(D95:E95)=0,"",SUM(D95:E95))</f>
        <v>1277</v>
      </c>
      <c r="G95" s="52" t="n">
        <f aca="false">IF(OR(F95="",F95=0),"",D95/F95)</f>
        <v>0.558339859044636</v>
      </c>
      <c r="H95" s="52" t="n">
        <f aca="false">IF(OR(F95="",F95=0),"",E95/F95)</f>
        <v>0.441660140955364</v>
      </c>
      <c r="I95" s="21" t="s">
        <v>223</v>
      </c>
      <c r="J95" s="53" t="n">
        <v>1.24981746705324</v>
      </c>
      <c r="K95" s="52" t="n">
        <f aca="false">IF(G95="","",MAX(0,G95-J95/100))</f>
        <v>0.545841684374104</v>
      </c>
      <c r="L95" s="52" t="n">
        <f aca="false">IF(G95="","",MIN(1,G95+J95/100))</f>
        <v>0.570838033715168</v>
      </c>
      <c r="M95" s="37" t="n">
        <f aca="false">IF(F95="","",ROUND(F95*J95/100,0))</f>
        <v>16</v>
      </c>
      <c r="P95" s="54" t="n">
        <v>6.47323588885477</v>
      </c>
      <c r="Q95" s="55" t="n">
        <f aca="false">T95*$H$5</f>
        <v>1276.87601973974</v>
      </c>
      <c r="R95" s="56" t="n">
        <f aca="false">MAX(0,MIN(1,P95/100+$D$5))</f>
        <v>0.558235593777436</v>
      </c>
      <c r="S95" s="57" t="s">
        <v>225</v>
      </c>
      <c r="T95" s="55" t="n">
        <v>1276.87601973974</v>
      </c>
    </row>
    <row r="96" customFormat="false" ht="15" hidden="false" customHeight="false" outlineLevel="0" collapsed="false">
      <c r="A96" s="21" t="s">
        <v>189</v>
      </c>
      <c r="B96" s="21" t="s">
        <v>191</v>
      </c>
      <c r="C96" s="21" t="s">
        <v>226</v>
      </c>
      <c r="D96" s="37" t="n">
        <f aca="false">ROUND(Q96*R96,0)</f>
        <v>396</v>
      </c>
      <c r="E96" s="37" t="n">
        <f aca="false">ROUND(Q96,0)-D96</f>
        <v>189</v>
      </c>
      <c r="F96" s="37" t="n">
        <f aca="false">IF(COUNTA(D96:E96)=0,"",SUM(D96:E96))</f>
        <v>585</v>
      </c>
      <c r="G96" s="52" t="n">
        <f aca="false">IF(OR(F96="",F96=0),"",D96/F96)</f>
        <v>0.676923076923077</v>
      </c>
      <c r="H96" s="52" t="n">
        <f aca="false">IF(OR(F96="",F96=0),"",E96/F96)</f>
        <v>0.323076923076923</v>
      </c>
      <c r="I96" s="21" t="s">
        <v>122</v>
      </c>
      <c r="J96" s="53" t="n">
        <v>3.02363014511423</v>
      </c>
      <c r="K96" s="52" t="n">
        <f aca="false">IF(G96="","",MAX(0,G96-J96/100))</f>
        <v>0.646686775471935</v>
      </c>
      <c r="L96" s="52" t="n">
        <f aca="false">IF(G96="","",MIN(1,G96+J96/100))</f>
        <v>0.707159378374219</v>
      </c>
      <c r="M96" s="37" t="n">
        <f aca="false">IF(F96="","",ROUND(F96*J96/100,0))</f>
        <v>18</v>
      </c>
      <c r="P96" s="54" t="n">
        <v>18.3725504748626</v>
      </c>
      <c r="Q96" s="55" t="n">
        <f aca="false">T96*$H$5</f>
        <v>585.1929092805</v>
      </c>
      <c r="R96" s="56" t="n">
        <f aca="false">MAX(0,MIN(1,P96/100+$D$5))</f>
        <v>0.677228739637514</v>
      </c>
      <c r="S96" s="57" t="s">
        <v>123</v>
      </c>
      <c r="T96" s="55" t="n">
        <v>585.1929092805</v>
      </c>
    </row>
    <row r="97" customFormat="false" ht="15" hidden="false" customHeight="false" outlineLevel="0" collapsed="false">
      <c r="A97" s="21" t="s">
        <v>189</v>
      </c>
      <c r="B97" s="21" t="s">
        <v>191</v>
      </c>
      <c r="C97" s="21" t="s">
        <v>227</v>
      </c>
      <c r="D97" s="37" t="n">
        <f aca="false">ROUND(Q97*R97,0)</f>
        <v>488</v>
      </c>
      <c r="E97" s="37" t="n">
        <f aca="false">ROUND(Q97,0)-D97</f>
        <v>297</v>
      </c>
      <c r="F97" s="37" t="n">
        <f aca="false">IF(COUNTA(D97:E97)=0,"",SUM(D97:E97))</f>
        <v>785</v>
      </c>
      <c r="G97" s="52" t="n">
        <f aca="false">IF(OR(F97="",F97=0),"",D97/F97)</f>
        <v>0.621656050955414</v>
      </c>
      <c r="H97" s="52" t="n">
        <f aca="false">IF(OR(F97="",F97=0),"",E97/F97)</f>
        <v>0.378343949044586</v>
      </c>
      <c r="I97" s="21" t="s">
        <v>122</v>
      </c>
      <c r="J97" s="53" t="n">
        <v>1.80877416096373</v>
      </c>
      <c r="K97" s="52" t="n">
        <f aca="false">IF(G97="","",MAX(0,G97-J97/100))</f>
        <v>0.603568309345777</v>
      </c>
      <c r="L97" s="52" t="n">
        <f aca="false">IF(G97="","",MIN(1,G97+J97/100))</f>
        <v>0.639743792565051</v>
      </c>
      <c r="M97" s="37" t="n">
        <f aca="false">IF(F97="","",ROUND(F97*J97/100,0))</f>
        <v>14</v>
      </c>
      <c r="P97" s="54" t="n">
        <v>12.8224507422024</v>
      </c>
      <c r="Q97" s="55" t="n">
        <f aca="false">T97*$H$5</f>
        <v>785.366995073891</v>
      </c>
      <c r="R97" s="56" t="n">
        <f aca="false">MAX(0,MIN(1,P97/100+$D$5))</f>
        <v>0.621727742310912</v>
      </c>
      <c r="S97" s="57" t="s">
        <v>132</v>
      </c>
      <c r="T97" s="55" t="n">
        <v>785.366995073891</v>
      </c>
    </row>
    <row r="98" customFormat="false" ht="15" hidden="false" customHeight="false" outlineLevel="0" collapsed="false">
      <c r="A98" s="21" t="s">
        <v>189</v>
      </c>
      <c r="B98" s="21" t="s">
        <v>191</v>
      </c>
      <c r="C98" s="21" t="s">
        <v>228</v>
      </c>
      <c r="D98" s="37" t="n">
        <f aca="false">ROUND(Q98*R98,0)</f>
        <v>12</v>
      </c>
      <c r="E98" s="37" t="n">
        <f aca="false">ROUND(Q98,0)-D98</f>
        <v>10</v>
      </c>
      <c r="F98" s="37" t="n">
        <f aca="false">IF(COUNTA(D98:E98)=0,"",SUM(D98:E98))</f>
        <v>22</v>
      </c>
      <c r="G98" s="52" t="n">
        <f aca="false">IF(OR(F98="",F98=0),"",D98/F98)</f>
        <v>0.545454545454545</v>
      </c>
      <c r="H98" s="52" t="n">
        <f aca="false">IF(OR(F98="",F98=0),"",E98/F98)</f>
        <v>0.454545454545455</v>
      </c>
      <c r="I98" s="21" t="s">
        <v>223</v>
      </c>
      <c r="J98" s="53" t="n">
        <v>3.02363014511423</v>
      </c>
      <c r="K98" s="52" t="n">
        <f aca="false">IF(G98="","",MAX(0,G98-J98/100))</f>
        <v>0.515218244003403</v>
      </c>
      <c r="L98" s="52" t="n">
        <f aca="false">IF(G98="","",MIN(1,G98+J98/100))</f>
        <v>0.575690846905688</v>
      </c>
      <c r="M98" s="37" t="n">
        <f aca="false">IF(F98="","",ROUND(F98*J98/100,0))</f>
        <v>1</v>
      </c>
      <c r="P98" s="54" t="n">
        <v>3.36434653124624</v>
      </c>
      <c r="Q98" s="55" t="n">
        <f aca="false">T98*$H$5</f>
        <v>22.339451542408</v>
      </c>
      <c r="R98" s="56" t="n">
        <f aca="false">MAX(0,MIN(1,P98/100+$D$5))</f>
        <v>0.527146700201351</v>
      </c>
      <c r="S98" s="57" t="s">
        <v>123</v>
      </c>
      <c r="T98" s="55" t="n">
        <v>22.339451542408</v>
      </c>
    </row>
    <row r="99" customFormat="false" ht="15" hidden="false" customHeight="false" outlineLevel="0" collapsed="false">
      <c r="A99" s="21" t="s">
        <v>189</v>
      </c>
      <c r="B99" s="21" t="s">
        <v>191</v>
      </c>
      <c r="C99" s="21" t="s">
        <v>229</v>
      </c>
      <c r="D99" s="37" t="n">
        <f aca="false">ROUND(Q99*R99,0)</f>
        <v>218</v>
      </c>
      <c r="E99" s="37" t="n">
        <f aca="false">ROUND(Q99,0)-D99</f>
        <v>163</v>
      </c>
      <c r="F99" s="37" t="n">
        <f aca="false">IF(COUNTA(D99:E99)=0,"",SUM(D99:E99))</f>
        <v>381</v>
      </c>
      <c r="G99" s="52" t="n">
        <f aca="false">IF(OR(F99="",F99=0),"",D99/F99)</f>
        <v>0.572178477690289</v>
      </c>
      <c r="H99" s="52" t="n">
        <f aca="false">IF(OR(F99="",F99=0),"",E99/F99)</f>
        <v>0.427821522309711</v>
      </c>
      <c r="I99" s="21" t="s">
        <v>122</v>
      </c>
      <c r="J99" s="53" t="n">
        <v>3.02363014511423</v>
      </c>
      <c r="K99" s="52" t="n">
        <f aca="false">IF(G99="","",MAX(0,G99-J99/100))</f>
        <v>0.541942176239146</v>
      </c>
      <c r="L99" s="52" t="n">
        <f aca="false">IF(G99="","",MIN(1,G99+J99/100))</f>
        <v>0.602414779141431</v>
      </c>
      <c r="M99" s="37" t="n">
        <f aca="false">IF(F99="","",ROUND(F99*J99/100,0))</f>
        <v>12</v>
      </c>
      <c r="P99" s="54" t="n">
        <v>7.82631422499354</v>
      </c>
      <c r="Q99" s="55" t="n">
        <f aca="false">T99*$H$5</f>
        <v>381.16646562123</v>
      </c>
      <c r="R99" s="56" t="n">
        <f aca="false">MAX(0,MIN(1,P99/100+$D$5))</f>
        <v>0.571766377138824</v>
      </c>
      <c r="S99" s="57" t="s">
        <v>123</v>
      </c>
      <c r="T99" s="55" t="n">
        <v>381.16646562123</v>
      </c>
    </row>
    <row r="100" customFormat="false" ht="15" hidden="false" customHeight="false" outlineLevel="0" collapsed="false">
      <c r="A100" s="21" t="s">
        <v>189</v>
      </c>
      <c r="B100" s="21" t="s">
        <v>191</v>
      </c>
      <c r="C100" s="21" t="s">
        <v>230</v>
      </c>
      <c r="D100" s="37" t="n">
        <f aca="false">ROUND(Q100*R100,0)</f>
        <v>359</v>
      </c>
      <c r="E100" s="37" t="n">
        <f aca="false">ROUND(Q100,0)-D100</f>
        <v>201</v>
      </c>
      <c r="F100" s="37" t="n">
        <f aca="false">IF(COUNTA(D100:E100)=0,"",SUM(D100:E100))</f>
        <v>560</v>
      </c>
      <c r="G100" s="52" t="n">
        <f aca="false">IF(OR(F100="",F100=0),"",D100/F100)</f>
        <v>0.641071428571429</v>
      </c>
      <c r="H100" s="52" t="n">
        <f aca="false">IF(OR(F100="",F100=0),"",E100/F100)</f>
        <v>0.358928571428571</v>
      </c>
      <c r="I100" s="21" t="s">
        <v>122</v>
      </c>
      <c r="J100" s="53" t="n">
        <v>3.02363014511423</v>
      </c>
      <c r="K100" s="52" t="n">
        <f aca="false">IF(G100="","",MAX(0,G100-J100/100))</f>
        <v>0.610835127120286</v>
      </c>
      <c r="L100" s="52" t="n">
        <f aca="false">IF(G100="","",MIN(1,G100+J100/100))</f>
        <v>0.671307730022571</v>
      </c>
      <c r="M100" s="37" t="n">
        <f aca="false">IF(F100="","",ROUND(F100*J100/100,0))</f>
        <v>17</v>
      </c>
      <c r="P100" s="54" t="n">
        <v>14.8585200458216</v>
      </c>
      <c r="Q100" s="55" t="n">
        <f aca="false">T100*$H$5</f>
        <v>559.617875647668</v>
      </c>
      <c r="R100" s="56" t="n">
        <f aca="false">MAX(0,MIN(1,P100/100+$D$5))</f>
        <v>0.642088435347104</v>
      </c>
      <c r="S100" s="57" t="s">
        <v>123</v>
      </c>
      <c r="T100" s="55" t="n">
        <v>559.617875647668</v>
      </c>
    </row>
    <row r="101" customFormat="false" ht="15" hidden="false" customHeight="false" outlineLevel="0" collapsed="false">
      <c r="A101" s="21" t="s">
        <v>189</v>
      </c>
      <c r="B101" s="21" t="s">
        <v>191</v>
      </c>
      <c r="C101" s="21" t="s">
        <v>231</v>
      </c>
      <c r="D101" s="37" t="n">
        <f aca="false">ROUND(Q101*R101,0)</f>
        <v>263</v>
      </c>
      <c r="E101" s="37" t="n">
        <f aca="false">ROUND(Q101,0)-D101</f>
        <v>176</v>
      </c>
      <c r="F101" s="37" t="n">
        <f aca="false">IF(COUNTA(D101:E101)=0,"",SUM(D101:E101))</f>
        <v>439</v>
      </c>
      <c r="G101" s="52" t="n">
        <f aca="false">IF(OR(F101="",F101=0),"",D101/F101)</f>
        <v>0.599088838268793</v>
      </c>
      <c r="H101" s="52" t="n">
        <f aca="false">IF(OR(F101="",F101=0),"",E101/F101)</f>
        <v>0.400911161731207</v>
      </c>
      <c r="I101" s="21" t="s">
        <v>122</v>
      </c>
      <c r="J101" s="53" t="n">
        <v>3.02363014511423</v>
      </c>
      <c r="K101" s="52" t="n">
        <f aca="false">IF(G101="","",MAX(0,G101-J101/100))</f>
        <v>0.56885253681765</v>
      </c>
      <c r="L101" s="52" t="n">
        <f aca="false">IF(G101="","",MIN(1,G101+J101/100))</f>
        <v>0.629325139719935</v>
      </c>
      <c r="M101" s="37" t="n">
        <f aca="false">IF(F101="","",ROUND(F101*J101/100,0))</f>
        <v>13</v>
      </c>
      <c r="P101" s="54" t="n">
        <v>10.6001332006283</v>
      </c>
      <c r="Q101" s="55" t="n">
        <f aca="false">T101*$H$5</f>
        <v>439.019455252919</v>
      </c>
      <c r="R101" s="56" t="n">
        <f aca="false">MAX(0,MIN(1,P101/100+$D$5))</f>
        <v>0.599504566895171</v>
      </c>
      <c r="S101" s="57" t="s">
        <v>123</v>
      </c>
      <c r="T101" s="55" t="n">
        <v>439.019455252919</v>
      </c>
    </row>
    <row r="102" customFormat="false" ht="15" hidden="false" customHeight="false" outlineLevel="0" collapsed="false">
      <c r="A102" s="21" t="s">
        <v>189</v>
      </c>
      <c r="B102" s="21" t="s">
        <v>191</v>
      </c>
      <c r="C102" s="21" t="s">
        <v>232</v>
      </c>
      <c r="D102" s="37" t="n">
        <f aca="false">ROUND(Q102*R102,0)</f>
        <v>238</v>
      </c>
      <c r="E102" s="37" t="n">
        <f aca="false">ROUND(Q102,0)-D102</f>
        <v>137</v>
      </c>
      <c r="F102" s="37" t="n">
        <f aca="false">IF(COUNTA(D102:E102)=0,"",SUM(D102:E102))</f>
        <v>375</v>
      </c>
      <c r="G102" s="52" t="n">
        <f aca="false">IF(OR(F102="",F102=0),"",D102/F102)</f>
        <v>0.634666666666667</v>
      </c>
      <c r="H102" s="52" t="n">
        <f aca="false">IF(OR(F102="",F102=0),"",E102/F102)</f>
        <v>0.365333333333333</v>
      </c>
      <c r="I102" s="21" t="s">
        <v>122</v>
      </c>
      <c r="J102" s="53" t="n">
        <v>3.02363014511423</v>
      </c>
      <c r="K102" s="52" t="n">
        <f aca="false">IF(G102="","",MAX(0,G102-J102/100))</f>
        <v>0.604430365215524</v>
      </c>
      <c r="L102" s="52" t="n">
        <f aca="false">IF(G102="","",MIN(1,G102+J102/100))</f>
        <v>0.664902968117809</v>
      </c>
      <c r="M102" s="37" t="n">
        <f aca="false">IF(F102="","",ROUND(F102*J102/100,0))</f>
        <v>11</v>
      </c>
      <c r="P102" s="54" t="n">
        <v>14.0944750986042</v>
      </c>
      <c r="Q102" s="55" t="n">
        <f aca="false">T102*$H$5</f>
        <v>374.938159879337</v>
      </c>
      <c r="R102" s="56" t="n">
        <f aca="false">MAX(0,MIN(1,P102/100+$D$5))</f>
        <v>0.634447985874931</v>
      </c>
      <c r="S102" s="57" t="s">
        <v>123</v>
      </c>
      <c r="T102" s="55" t="n">
        <v>374.938159879337</v>
      </c>
    </row>
    <row r="103" customFormat="false" ht="15" hidden="false" customHeight="false" outlineLevel="0" collapsed="false">
      <c r="A103" s="21" t="s">
        <v>189</v>
      </c>
      <c r="B103" s="21" t="s">
        <v>191</v>
      </c>
      <c r="C103" s="21" t="s">
        <v>233</v>
      </c>
      <c r="D103" s="37" t="n">
        <f aca="false">ROUND(Q103*R103,0)</f>
        <v>364</v>
      </c>
      <c r="E103" s="37" t="n">
        <f aca="false">ROUND(Q103,0)-D103</f>
        <v>237</v>
      </c>
      <c r="F103" s="37" t="n">
        <f aca="false">IF(COUNTA(D103:E103)=0,"",SUM(D103:E103))</f>
        <v>601</v>
      </c>
      <c r="G103" s="52" t="n">
        <f aca="false">IF(OR(F103="",F103=0),"",D103/F103)</f>
        <v>0.605657237936772</v>
      </c>
      <c r="H103" s="52" t="n">
        <f aca="false">IF(OR(F103="",F103=0),"",E103/F103)</f>
        <v>0.394342762063228</v>
      </c>
      <c r="I103" s="21" t="s">
        <v>122</v>
      </c>
      <c r="J103" s="53" t="n">
        <v>3.02363014511423</v>
      </c>
      <c r="K103" s="52" t="n">
        <f aca="false">IF(G103="","",MAX(0,G103-J103/100))</f>
        <v>0.57542093648563</v>
      </c>
      <c r="L103" s="52" t="n">
        <f aca="false">IF(G103="","",MIN(1,G103+J103/100))</f>
        <v>0.635893539387914</v>
      </c>
      <c r="M103" s="37" t="n">
        <f aca="false">IF(F103="","",ROUND(F103*J103/100,0))</f>
        <v>18</v>
      </c>
      <c r="P103" s="54" t="n">
        <v>11.2220836134468</v>
      </c>
      <c r="Q103" s="55" t="n">
        <f aca="false">T103*$H$5</f>
        <v>600.916119620715</v>
      </c>
      <c r="R103" s="56" t="n">
        <f aca="false">MAX(0,MIN(1,P103/100+$D$5))</f>
        <v>0.605724071023357</v>
      </c>
      <c r="S103" s="57" t="s">
        <v>123</v>
      </c>
      <c r="T103" s="55" t="n">
        <v>600.916119620715</v>
      </c>
    </row>
    <row r="104" customFormat="false" ht="15" hidden="false" customHeight="false" outlineLevel="0" collapsed="false">
      <c r="A104" s="21" t="s">
        <v>189</v>
      </c>
      <c r="B104" s="21" t="s">
        <v>191</v>
      </c>
      <c r="C104" s="21" t="s">
        <v>234</v>
      </c>
      <c r="D104" s="37" t="n">
        <f aca="false">ROUND(Q104*R104,0)</f>
        <v>1</v>
      </c>
      <c r="E104" s="37" t="n">
        <f aca="false">ROUND(Q104,0)-D104</f>
        <v>1</v>
      </c>
      <c r="F104" s="37" t="n">
        <f aca="false">IF(COUNTA(D104:E104)=0,"",SUM(D104:E104))</f>
        <v>2</v>
      </c>
      <c r="G104" s="52" t="n">
        <f aca="false">IF(OR(F104="",F104=0),"",D104/F104)</f>
        <v>0.5</v>
      </c>
      <c r="H104" s="52" t="n">
        <f aca="false">IF(OR(F104="",F104=0),"",E104/F104)</f>
        <v>0.5</v>
      </c>
      <c r="I104" s="21" t="s">
        <v>223</v>
      </c>
      <c r="J104" s="53" t="n">
        <v>3.02363014511423</v>
      </c>
      <c r="K104" s="52" t="n">
        <f aca="false">IF(G104="","",MAX(0,G104-J104/100))</f>
        <v>0.469763698548858</v>
      </c>
      <c r="L104" s="52" t="n">
        <f aca="false">IF(G104="","",MIN(1,G104+J104/100))</f>
        <v>0.530236301451142</v>
      </c>
      <c r="M104" s="37" t="n">
        <f aca="false">IF(F104="","",ROUND(F104*J104/100,0))</f>
        <v>0</v>
      </c>
      <c r="P104" s="54" t="n">
        <v>-0.678609104184326</v>
      </c>
      <c r="Q104" s="55" t="n">
        <f aca="false">T104*$H$5</f>
        <v>2.35152121499031</v>
      </c>
      <c r="R104" s="56" t="n">
        <f aca="false">MAX(0,MIN(1,P104/100+$D$5))</f>
        <v>0.486717143847045</v>
      </c>
      <c r="S104" s="57" t="s">
        <v>123</v>
      </c>
      <c r="T104" s="55" t="n">
        <v>2.35152121499031</v>
      </c>
    </row>
    <row r="105" customFormat="false" ht="15" hidden="false" customHeight="false" outlineLevel="0" collapsed="false">
      <c r="A105" s="21" t="s">
        <v>189</v>
      </c>
      <c r="B105" s="21" t="s">
        <v>191</v>
      </c>
      <c r="C105" s="21" t="s">
        <v>235</v>
      </c>
      <c r="D105" s="37" t="n">
        <f aca="false">ROUND(Q105*R105,0)</f>
        <v>487</v>
      </c>
      <c r="E105" s="37" t="n">
        <f aca="false">ROUND(Q105,0)-D105</f>
        <v>297</v>
      </c>
      <c r="F105" s="37" t="n">
        <f aca="false">IF(COUNTA(D105:E105)=0,"",SUM(D105:E105))</f>
        <v>784</v>
      </c>
      <c r="G105" s="52" t="n">
        <f aca="false">IF(OR(F105="",F105=0),"",D105/F105)</f>
        <v>0.621173469387755</v>
      </c>
      <c r="H105" s="52" t="n">
        <f aca="false">IF(OR(F105="",F105=0),"",E105/F105)</f>
        <v>0.378826530612245</v>
      </c>
      <c r="I105" s="21" t="s">
        <v>122</v>
      </c>
      <c r="J105" s="53" t="n">
        <v>1.80877416096373</v>
      </c>
      <c r="K105" s="52" t="n">
        <f aca="false">IF(G105="","",MAX(0,G105-J105/100))</f>
        <v>0.603085727778118</v>
      </c>
      <c r="L105" s="52" t="n">
        <f aca="false">IF(G105="","",MIN(1,G105+J105/100))</f>
        <v>0.639261210997392</v>
      </c>
      <c r="M105" s="37" t="n">
        <f aca="false">IF(F105="","",ROUND(F105*J105/100,0))</f>
        <v>14</v>
      </c>
      <c r="P105" s="54" t="n">
        <v>12.7320617549059</v>
      </c>
      <c r="Q105" s="55" t="n">
        <f aca="false">T105*$H$5</f>
        <v>784.118962432916</v>
      </c>
      <c r="R105" s="56" t="n">
        <f aca="false">MAX(0,MIN(1,P105/100+$D$5))</f>
        <v>0.620823852437948</v>
      </c>
      <c r="S105" s="57" t="s">
        <v>132</v>
      </c>
      <c r="T105" s="55" t="n">
        <v>784.118962432916</v>
      </c>
    </row>
    <row r="106" customFormat="false" ht="15" hidden="false" customHeight="false" outlineLevel="0" collapsed="false">
      <c r="A106" s="21" t="s">
        <v>189</v>
      </c>
      <c r="B106" s="21" t="s">
        <v>191</v>
      </c>
      <c r="C106" s="21" t="s">
        <v>236</v>
      </c>
      <c r="D106" s="37" t="n">
        <f aca="false">ROUND(Q106*R106,0)</f>
        <v>225</v>
      </c>
      <c r="E106" s="37" t="n">
        <f aca="false">ROUND(Q106,0)-D106</f>
        <v>83</v>
      </c>
      <c r="F106" s="37" t="n">
        <f aca="false">IF(COUNTA(D106:E106)=0,"",SUM(D106:E106))</f>
        <v>308</v>
      </c>
      <c r="G106" s="52" t="n">
        <f aca="false">IF(OR(F106="",F106=0),"",D106/F106)</f>
        <v>0.730519480519481</v>
      </c>
      <c r="H106" s="52" t="n">
        <f aca="false">IF(OR(F106="",F106=0),"",E106/F106)</f>
        <v>0.26948051948052</v>
      </c>
      <c r="I106" s="21" t="s">
        <v>122</v>
      </c>
      <c r="J106" s="53" t="n">
        <v>3.02363014511423</v>
      </c>
      <c r="K106" s="52" t="n">
        <f aca="false">IF(G106="","",MAX(0,G106-J106/100))</f>
        <v>0.700283179068338</v>
      </c>
      <c r="L106" s="52" t="n">
        <f aca="false">IF(G106="","",MIN(1,G106+J106/100))</f>
        <v>0.760755781970623</v>
      </c>
      <c r="M106" s="37" t="n">
        <f aca="false">IF(F106="","",ROUND(F106*J106/100,0))</f>
        <v>9</v>
      </c>
      <c r="P106" s="54" t="n">
        <v>23.7484071919803</v>
      </c>
      <c r="Q106" s="55" t="n">
        <f aca="false">T106*$H$5</f>
        <v>307.670520231214</v>
      </c>
      <c r="R106" s="56" t="n">
        <f aca="false">MAX(0,MIN(1,P106/100+$D$5))</f>
        <v>0.730987306808691</v>
      </c>
      <c r="S106" s="57" t="s">
        <v>123</v>
      </c>
      <c r="T106" s="55" t="n">
        <v>307.670520231214</v>
      </c>
    </row>
    <row r="107" customFormat="false" ht="15" hidden="false" customHeight="false" outlineLevel="0" collapsed="false">
      <c r="A107" s="21" t="s">
        <v>189</v>
      </c>
      <c r="B107" s="21" t="s">
        <v>191</v>
      </c>
      <c r="C107" s="21" t="s">
        <v>237</v>
      </c>
      <c r="D107" s="37" t="n">
        <f aca="false">ROUND(Q107*R107,0)</f>
        <v>190</v>
      </c>
      <c r="E107" s="37" t="n">
        <f aca="false">ROUND(Q107,0)-D107</f>
        <v>82</v>
      </c>
      <c r="F107" s="37" t="n">
        <f aca="false">IF(COUNTA(D107:E107)=0,"",SUM(D107:E107))</f>
        <v>272</v>
      </c>
      <c r="G107" s="52" t="n">
        <f aca="false">IF(OR(F107="",F107=0),"",D107/F107)</f>
        <v>0.698529411764706</v>
      </c>
      <c r="H107" s="52" t="n">
        <f aca="false">IF(OR(F107="",F107=0),"",E107/F107)</f>
        <v>0.301470588235294</v>
      </c>
      <c r="I107" s="21" t="s">
        <v>122</v>
      </c>
      <c r="J107" s="53" t="n">
        <v>3.02363014511423</v>
      </c>
      <c r="K107" s="52" t="n">
        <f aca="false">IF(G107="","",MAX(0,G107-J107/100))</f>
        <v>0.668293110313564</v>
      </c>
      <c r="L107" s="52" t="n">
        <f aca="false">IF(G107="","",MIN(1,G107+J107/100))</f>
        <v>0.728765713215848</v>
      </c>
      <c r="M107" s="37" t="n">
        <f aca="false">IF(F107="","",ROUND(F107*J107/100,0))</f>
        <v>8</v>
      </c>
      <c r="P107" s="54" t="n">
        <v>20.5873177389921</v>
      </c>
      <c r="Q107" s="55" t="n">
        <f aca="false">T107*$H$5</f>
        <v>271.509527754764</v>
      </c>
      <c r="R107" s="56" t="n">
        <f aca="false">MAX(0,MIN(1,P107/100+$D$5))</f>
        <v>0.699376412278809</v>
      </c>
      <c r="S107" s="57" t="s">
        <v>123</v>
      </c>
      <c r="T107" s="55" t="n">
        <v>271.509527754764</v>
      </c>
    </row>
    <row r="108" customFormat="false" ht="15" hidden="false" customHeight="false" outlineLevel="0" collapsed="false">
      <c r="A108" s="21" t="s">
        <v>189</v>
      </c>
      <c r="B108" s="21" t="s">
        <v>191</v>
      </c>
      <c r="C108" s="21" t="s">
        <v>238</v>
      </c>
      <c r="D108" s="37" t="n">
        <f aca="false">ROUND(Q108*R108,0)</f>
        <v>398</v>
      </c>
      <c r="E108" s="37" t="n">
        <f aca="false">ROUND(Q108,0)-D108</f>
        <v>152</v>
      </c>
      <c r="F108" s="37" t="n">
        <f aca="false">IF(COUNTA(D108:E108)=0,"",SUM(D108:E108))</f>
        <v>550</v>
      </c>
      <c r="G108" s="52" t="n">
        <f aca="false">IF(OR(F108="",F108=0),"",D108/F108)</f>
        <v>0.723636363636364</v>
      </c>
      <c r="H108" s="52" t="n">
        <f aca="false">IF(OR(F108="",F108=0),"",E108/F108)</f>
        <v>0.276363636363636</v>
      </c>
      <c r="I108" s="21" t="s">
        <v>122</v>
      </c>
      <c r="J108" s="53" t="n">
        <v>3.02363014511423</v>
      </c>
      <c r="K108" s="52" t="n">
        <f aca="false">IF(G108="","",MAX(0,G108-J108/100))</f>
        <v>0.693400062185221</v>
      </c>
      <c r="L108" s="52" t="n">
        <f aca="false">IF(G108="","",MIN(1,G108+J108/100))</f>
        <v>0.753872665087506</v>
      </c>
      <c r="M108" s="37" t="n">
        <f aca="false">IF(F108="","",ROUND(F108*J108/100,0))</f>
        <v>17</v>
      </c>
      <c r="P108" s="54" t="n">
        <v>22.9126609424909</v>
      </c>
      <c r="Q108" s="55" t="n">
        <f aca="false">T108*$H$5</f>
        <v>550.335990190067</v>
      </c>
      <c r="R108" s="56" t="n">
        <f aca="false">MAX(0,MIN(1,P108/100+$D$5))</f>
        <v>0.722629844313797</v>
      </c>
      <c r="S108" s="57" t="s">
        <v>123</v>
      </c>
      <c r="T108" s="55" t="n">
        <v>550.335990190067</v>
      </c>
    </row>
    <row r="109" customFormat="false" ht="15" hidden="false" customHeight="false" outlineLevel="0" collapsed="false">
      <c r="A109" s="21" t="s">
        <v>189</v>
      </c>
      <c r="B109" s="21" t="s">
        <v>191</v>
      </c>
      <c r="C109" s="21" t="s">
        <v>239</v>
      </c>
      <c r="D109" s="37" t="n">
        <f aca="false">ROUND(Q109*R109,0)</f>
        <v>160</v>
      </c>
      <c r="E109" s="37" t="n">
        <f aca="false">ROUND(Q109,0)-D109</f>
        <v>73</v>
      </c>
      <c r="F109" s="37" t="n">
        <f aca="false">IF(COUNTA(D109:E109)=0,"",SUM(D109:E109))</f>
        <v>233</v>
      </c>
      <c r="G109" s="52" t="n">
        <f aca="false">IF(OR(F109="",F109=0),"",D109/F109)</f>
        <v>0.686695278969957</v>
      </c>
      <c r="H109" s="52" t="n">
        <f aca="false">IF(OR(F109="",F109=0),"",E109/F109)</f>
        <v>0.313304721030043</v>
      </c>
      <c r="I109" s="21" t="s">
        <v>122</v>
      </c>
      <c r="J109" s="53" t="n">
        <v>3.02363014511423</v>
      </c>
      <c r="K109" s="52" t="n">
        <f aca="false">IF(G109="","",MAX(0,G109-J109/100))</f>
        <v>0.656458977518815</v>
      </c>
      <c r="L109" s="52" t="n">
        <f aca="false">IF(G109="","",MIN(1,G109+J109/100))</f>
        <v>0.716931580421099</v>
      </c>
      <c r="M109" s="37" t="n">
        <f aca="false">IF(F109="","",ROUND(F109*J109/100,0))</f>
        <v>7</v>
      </c>
      <c r="P109" s="54" t="n">
        <v>19.5998062271024</v>
      </c>
      <c r="Q109" s="55" t="n">
        <f aca="false">T109*$H$5</f>
        <v>232.689791873142</v>
      </c>
      <c r="R109" s="56" t="n">
        <f aca="false">MAX(0,MIN(1,P109/100+$D$5))</f>
        <v>0.689501297159912</v>
      </c>
      <c r="S109" s="57" t="s">
        <v>123</v>
      </c>
      <c r="T109" s="55" t="n">
        <v>232.689791873142</v>
      </c>
    </row>
    <row r="110" customFormat="false" ht="15" hidden="false" customHeight="false" outlineLevel="0" collapsed="false">
      <c r="A110" s="21" t="s">
        <v>189</v>
      </c>
      <c r="B110" s="21" t="s">
        <v>191</v>
      </c>
      <c r="C110" s="21" t="s">
        <v>240</v>
      </c>
      <c r="D110" s="37" t="n">
        <f aca="false">ROUND(Q110*R110,0)</f>
        <v>230</v>
      </c>
      <c r="E110" s="37" t="n">
        <f aca="false">ROUND(Q110,0)-D110</f>
        <v>77</v>
      </c>
      <c r="F110" s="37" t="n">
        <f aca="false">IF(COUNTA(D110:E110)=0,"",SUM(D110:E110))</f>
        <v>307</v>
      </c>
      <c r="G110" s="52" t="n">
        <f aca="false">IF(OR(F110="",F110=0),"",D110/F110)</f>
        <v>0.749185667752443</v>
      </c>
      <c r="H110" s="52" t="n">
        <f aca="false">IF(OR(F110="",F110=0),"",E110/F110)</f>
        <v>0.250814332247557</v>
      </c>
      <c r="I110" s="21" t="s">
        <v>122</v>
      </c>
      <c r="J110" s="53" t="n">
        <v>3.02363014511423</v>
      </c>
      <c r="K110" s="52" t="n">
        <f aca="false">IF(G110="","",MAX(0,G110-J110/100))</f>
        <v>0.718949366301301</v>
      </c>
      <c r="L110" s="52" t="n">
        <f aca="false">IF(G110="","",MIN(1,G110+J110/100))</f>
        <v>0.779421969203585</v>
      </c>
      <c r="M110" s="37" t="n">
        <f aca="false">IF(F110="","",ROUND(F110*J110/100,0))</f>
        <v>9</v>
      </c>
      <c r="P110" s="54" t="n">
        <v>25.6208097991297</v>
      </c>
      <c r="Q110" s="55" t="n">
        <f aca="false">T110*$H$5</f>
        <v>306.767588932806</v>
      </c>
      <c r="R110" s="56" t="n">
        <f aca="false">MAX(0,MIN(1,P110/100+$D$5))</f>
        <v>0.749711332880185</v>
      </c>
      <c r="S110" s="57" t="s">
        <v>123</v>
      </c>
      <c r="T110" s="55" t="n">
        <v>306.767588932806</v>
      </c>
    </row>
    <row r="111" customFormat="false" ht="15" hidden="false" customHeight="false" outlineLevel="0" collapsed="false">
      <c r="A111" s="21" t="s">
        <v>189</v>
      </c>
      <c r="B111" s="21" t="s">
        <v>191</v>
      </c>
      <c r="C111" s="21" t="s">
        <v>241</v>
      </c>
      <c r="D111" s="37" t="n">
        <f aca="false">ROUND(Q111*R111,0)</f>
        <v>77</v>
      </c>
      <c r="E111" s="37" t="n">
        <f aca="false">ROUND(Q111,0)-D111</f>
        <v>42</v>
      </c>
      <c r="F111" s="37" t="n">
        <f aca="false">IF(COUNTA(D111:E111)=0,"",SUM(D111:E111))</f>
        <v>119</v>
      </c>
      <c r="G111" s="52" t="n">
        <f aca="false">IF(OR(F111="",F111=0),"",D111/F111)</f>
        <v>0.647058823529412</v>
      </c>
      <c r="H111" s="52" t="n">
        <f aca="false">IF(OR(F111="",F111=0),"",E111/F111)</f>
        <v>0.352941176470588</v>
      </c>
      <c r="I111" s="21" t="s">
        <v>122</v>
      </c>
      <c r="J111" s="53" t="n">
        <v>3.02363014511423</v>
      </c>
      <c r="K111" s="52" t="n">
        <f aca="false">IF(G111="","",MAX(0,G111-J111/100))</f>
        <v>0.61682252207827</v>
      </c>
      <c r="L111" s="52" t="n">
        <f aca="false">IF(G111="","",MIN(1,G111+J111/100))</f>
        <v>0.677295124980554</v>
      </c>
      <c r="M111" s="37" t="n">
        <f aca="false">IF(F111="","",ROUND(F111*J111/100,0))</f>
        <v>4</v>
      </c>
      <c r="P111" s="54" t="n">
        <v>15.3334924353977</v>
      </c>
      <c r="Q111" s="55" t="n">
        <f aca="false">T111*$H$5</f>
        <v>119.188732394366</v>
      </c>
      <c r="R111" s="56" t="n">
        <f aca="false">MAX(0,MIN(1,P111/100+$D$5))</f>
        <v>0.646838159242865</v>
      </c>
      <c r="S111" s="57" t="s">
        <v>123</v>
      </c>
      <c r="T111" s="55" t="n">
        <v>119.188732394366</v>
      </c>
    </row>
    <row r="112" customFormat="false" ht="15" hidden="false" customHeight="false" outlineLevel="0" collapsed="false">
      <c r="A112" s="21" t="s">
        <v>189</v>
      </c>
      <c r="B112" s="21" t="s">
        <v>191</v>
      </c>
      <c r="C112" s="21" t="s">
        <v>242</v>
      </c>
      <c r="D112" s="37" t="n">
        <f aca="false">ROUND(Q112*R112,0)</f>
        <v>184</v>
      </c>
      <c r="E112" s="37" t="n">
        <f aca="false">ROUND(Q112,0)-D112</f>
        <v>107</v>
      </c>
      <c r="F112" s="37" t="n">
        <f aca="false">IF(COUNTA(D112:E112)=0,"",SUM(D112:E112))</f>
        <v>291</v>
      </c>
      <c r="G112" s="52" t="n">
        <f aca="false">IF(OR(F112="",F112=0),"",D112/F112)</f>
        <v>0.632302405498282</v>
      </c>
      <c r="H112" s="52" t="n">
        <f aca="false">IF(OR(F112="",F112=0),"",E112/F112)</f>
        <v>0.367697594501718</v>
      </c>
      <c r="I112" s="21" t="s">
        <v>122</v>
      </c>
      <c r="J112" s="53" t="n">
        <v>3.02363014511423</v>
      </c>
      <c r="K112" s="52" t="n">
        <f aca="false">IF(G112="","",MAX(0,G112-J112/100))</f>
        <v>0.602066104047139</v>
      </c>
      <c r="L112" s="52" t="n">
        <f aca="false">IF(G112="","",MIN(1,G112+J112/100))</f>
        <v>0.662538706949424</v>
      </c>
      <c r="M112" s="37" t="n">
        <f aca="false">IF(F112="","",ROUND(F112*J112/100,0))</f>
        <v>9</v>
      </c>
      <c r="P112" s="54" t="n">
        <v>13.8501441976774</v>
      </c>
      <c r="Q112" s="55" t="n">
        <f aca="false">T112*$H$5</f>
        <v>291.248923341947</v>
      </c>
      <c r="R112" s="56" t="n">
        <f aca="false">MAX(0,MIN(1,P112/100+$D$5))</f>
        <v>0.632004676865663</v>
      </c>
      <c r="S112" s="57" t="s">
        <v>123</v>
      </c>
      <c r="T112" s="55" t="n">
        <v>291.248923341947</v>
      </c>
    </row>
    <row r="113" customFormat="false" ht="15" hidden="false" customHeight="false" outlineLevel="0" collapsed="false">
      <c r="A113" s="21" t="s">
        <v>189</v>
      </c>
      <c r="B113" s="21" t="s">
        <v>191</v>
      </c>
      <c r="C113" s="21" t="s">
        <v>243</v>
      </c>
      <c r="D113" s="37" t="n">
        <f aca="false">ROUND(Q113*R113,0)</f>
        <v>274</v>
      </c>
      <c r="E113" s="37" t="n">
        <f aca="false">ROUND(Q113,0)-D113</f>
        <v>101</v>
      </c>
      <c r="F113" s="37" t="n">
        <f aca="false">IF(COUNTA(D113:E113)=0,"",SUM(D113:E113))</f>
        <v>375</v>
      </c>
      <c r="G113" s="52" t="n">
        <f aca="false">IF(OR(F113="",F113=0),"",D113/F113)</f>
        <v>0.730666666666667</v>
      </c>
      <c r="H113" s="52" t="n">
        <f aca="false">IF(OR(F113="",F113=0),"",E113/F113)</f>
        <v>0.269333333333333</v>
      </c>
      <c r="I113" s="21" t="s">
        <v>122</v>
      </c>
      <c r="J113" s="53" t="n">
        <v>3.02363014511423</v>
      </c>
      <c r="K113" s="52" t="n">
        <f aca="false">IF(G113="","",MAX(0,G113-J113/100))</f>
        <v>0.700430365215524</v>
      </c>
      <c r="L113" s="52" t="n">
        <f aca="false">IF(G113="","",MIN(1,G113+J113/100))</f>
        <v>0.760902968117809</v>
      </c>
      <c r="M113" s="37" t="n">
        <f aca="false">IF(F113="","",ROUND(F113*J113/100,0))</f>
        <v>11</v>
      </c>
      <c r="P113" s="54" t="n">
        <v>23.7011730792</v>
      </c>
      <c r="Q113" s="55" t="n">
        <f aca="false">T113*$H$5</f>
        <v>375.212598425197</v>
      </c>
      <c r="R113" s="56" t="n">
        <f aca="false">MAX(0,MIN(1,P113/100+$D$5))</f>
        <v>0.730514965680889</v>
      </c>
      <c r="S113" s="57" t="s">
        <v>123</v>
      </c>
      <c r="T113" s="55" t="n">
        <v>375.212598425197</v>
      </c>
    </row>
    <row r="114" customFormat="false" ht="15" hidden="false" customHeight="false" outlineLevel="0" collapsed="false">
      <c r="A114" s="21" t="s">
        <v>189</v>
      </c>
      <c r="B114" s="21" t="s">
        <v>191</v>
      </c>
      <c r="C114" s="21" t="s">
        <v>244</v>
      </c>
      <c r="D114" s="37" t="n">
        <f aca="false">ROUND(Q114*R114,0)</f>
        <v>106</v>
      </c>
      <c r="E114" s="37" t="n">
        <f aca="false">ROUND(Q114,0)-D114</f>
        <v>38</v>
      </c>
      <c r="F114" s="37" t="n">
        <f aca="false">IF(COUNTA(D114:E114)=0,"",SUM(D114:E114))</f>
        <v>144</v>
      </c>
      <c r="G114" s="52" t="n">
        <f aca="false">IF(OR(F114="",F114=0),"",D114/F114)</f>
        <v>0.736111111111111</v>
      </c>
      <c r="H114" s="52" t="n">
        <f aca="false">IF(OR(F114="",F114=0),"",E114/F114)</f>
        <v>0.263888888888889</v>
      </c>
      <c r="I114" s="21" t="s">
        <v>122</v>
      </c>
      <c r="J114" s="53" t="n">
        <v>3.02363014511423</v>
      </c>
      <c r="K114" s="52" t="n">
        <f aca="false">IF(G114="","",MAX(0,G114-J114/100))</f>
        <v>0.705874809659969</v>
      </c>
      <c r="L114" s="52" t="n">
        <f aca="false">IF(G114="","",MIN(1,G114+J114/100))</f>
        <v>0.766347412562254</v>
      </c>
      <c r="M114" s="37" t="n">
        <f aca="false">IF(F114="","",ROUND(F114*J114/100,0))</f>
        <v>4</v>
      </c>
      <c r="P114" s="54" t="n">
        <v>24.1276838163281</v>
      </c>
      <c r="Q114" s="55" t="n">
        <f aca="false">T114*$H$5</f>
        <v>143.58320610687</v>
      </c>
      <c r="R114" s="56" t="n">
        <f aca="false">MAX(0,MIN(1,P114/100+$D$5))</f>
        <v>0.734780073052169</v>
      </c>
      <c r="S114" s="57" t="s">
        <v>123</v>
      </c>
      <c r="T114" s="55" t="n">
        <v>143.58320610687</v>
      </c>
    </row>
    <row r="115" customFormat="false" ht="15" hidden="false" customHeight="false" outlineLevel="0" collapsed="false">
      <c r="A115" s="21" t="s">
        <v>189</v>
      </c>
      <c r="B115" s="21" t="s">
        <v>191</v>
      </c>
      <c r="C115" s="21" t="s">
        <v>245</v>
      </c>
      <c r="D115" s="37" t="n">
        <f aca="false">ROUND(Q115*R115,0)</f>
        <v>127</v>
      </c>
      <c r="E115" s="37" t="n">
        <f aca="false">ROUND(Q115,0)-D115</f>
        <v>48</v>
      </c>
      <c r="F115" s="37" t="n">
        <f aca="false">IF(COUNTA(D115:E115)=0,"",SUM(D115:E115))</f>
        <v>175</v>
      </c>
      <c r="G115" s="52" t="n">
        <f aca="false">IF(OR(F115="",F115=0),"",D115/F115)</f>
        <v>0.725714285714286</v>
      </c>
      <c r="H115" s="52" t="n">
        <f aca="false">IF(OR(F115="",F115=0),"",E115/F115)</f>
        <v>0.274285714285714</v>
      </c>
      <c r="I115" s="21" t="s">
        <v>122</v>
      </c>
      <c r="J115" s="53" t="n">
        <v>3.02363014511423</v>
      </c>
      <c r="K115" s="52" t="n">
        <f aca="false">IF(G115="","",MAX(0,G115-J115/100))</f>
        <v>0.695477984263143</v>
      </c>
      <c r="L115" s="52" t="n">
        <f aca="false">IF(G115="","",MIN(1,G115+J115/100))</f>
        <v>0.755950587165428</v>
      </c>
      <c r="M115" s="37" t="n">
        <f aca="false">IF(F115="","",ROUND(F115*J115/100,0))</f>
        <v>5</v>
      </c>
      <c r="P115" s="54" t="n">
        <v>23.2813834948956</v>
      </c>
      <c r="Q115" s="55" t="n">
        <f aca="false">T115*$H$5</f>
        <v>174.69400244798</v>
      </c>
      <c r="R115" s="56" t="n">
        <f aca="false">MAX(0,MIN(1,P115/100+$D$5))</f>
        <v>0.726317069837844</v>
      </c>
      <c r="S115" s="57" t="s">
        <v>123</v>
      </c>
      <c r="T115" s="55" t="n">
        <v>174.69400244798</v>
      </c>
    </row>
    <row r="116" customFormat="false" ht="15" hidden="false" customHeight="false" outlineLevel="0" collapsed="false">
      <c r="A116" s="21" t="s">
        <v>189</v>
      </c>
      <c r="B116" s="21" t="s">
        <v>191</v>
      </c>
      <c r="C116" s="21" t="s">
        <v>246</v>
      </c>
      <c r="D116" s="37" t="n">
        <f aca="false">ROUND(Q116*R116,0)</f>
        <v>192</v>
      </c>
      <c r="E116" s="37" t="n">
        <f aca="false">ROUND(Q116,0)-D116</f>
        <v>71</v>
      </c>
      <c r="F116" s="37" t="n">
        <f aca="false">IF(COUNTA(D116:E116)=0,"",SUM(D116:E116))</f>
        <v>263</v>
      </c>
      <c r="G116" s="52" t="n">
        <f aca="false">IF(OR(F116="",F116=0),"",D116/F116)</f>
        <v>0.730038022813688</v>
      </c>
      <c r="H116" s="52" t="n">
        <f aca="false">IF(OR(F116="",F116=0),"",E116/F116)</f>
        <v>0.269961977186312</v>
      </c>
      <c r="I116" s="21" t="s">
        <v>122</v>
      </c>
      <c r="J116" s="53" t="n">
        <v>3.02363014511423</v>
      </c>
      <c r="K116" s="52" t="n">
        <f aca="false">IF(G116="","",MAX(0,G116-J116/100))</f>
        <v>0.699801721362546</v>
      </c>
      <c r="L116" s="52" t="n">
        <f aca="false">IF(G116="","",MIN(1,G116+J116/100))</f>
        <v>0.760274324264831</v>
      </c>
      <c r="M116" s="37" t="n">
        <f aca="false">IF(F116="","",ROUND(F116*J116/100,0))</f>
        <v>8</v>
      </c>
      <c r="P116" s="54" t="n">
        <v>23.6089067590787</v>
      </c>
      <c r="Q116" s="55" t="n">
        <f aca="false">T116*$H$5</f>
        <v>263.436544342508</v>
      </c>
      <c r="R116" s="56" t="n">
        <f aca="false">MAX(0,MIN(1,P116/100+$D$5))</f>
        <v>0.729592302479675</v>
      </c>
      <c r="S116" s="57" t="s">
        <v>123</v>
      </c>
      <c r="T116" s="55" t="n">
        <v>263.436544342508</v>
      </c>
    </row>
    <row r="117" customFormat="false" ht="15" hidden="false" customHeight="false" outlineLevel="0" collapsed="false">
      <c r="A117" s="21" t="s">
        <v>189</v>
      </c>
      <c r="B117" s="21" t="s">
        <v>191</v>
      </c>
      <c r="C117" s="21" t="s">
        <v>247</v>
      </c>
      <c r="D117" s="37" t="n">
        <f aca="false">ROUND(Q117*R117,0)</f>
        <v>327</v>
      </c>
      <c r="E117" s="37" t="n">
        <f aca="false">ROUND(Q117,0)-D117</f>
        <v>166</v>
      </c>
      <c r="F117" s="37" t="n">
        <f aca="false">IF(COUNTA(D117:E117)=0,"",SUM(D117:E117))</f>
        <v>493</v>
      </c>
      <c r="G117" s="52" t="n">
        <f aca="false">IF(OR(F117="",F117=0),"",D117/F117)</f>
        <v>0.663286004056795</v>
      </c>
      <c r="H117" s="52" t="n">
        <f aca="false">IF(OR(F117="",F117=0),"",E117/F117)</f>
        <v>0.336713995943205</v>
      </c>
      <c r="I117" s="21" t="s">
        <v>122</v>
      </c>
      <c r="J117" s="53" t="n">
        <v>3.02363014511423</v>
      </c>
      <c r="K117" s="52" t="n">
        <f aca="false">IF(G117="","",MAX(0,G117-J117/100))</f>
        <v>0.633049702605653</v>
      </c>
      <c r="L117" s="52" t="n">
        <f aca="false">IF(G117="","",MIN(1,G117+J117/100))</f>
        <v>0.693522305507938</v>
      </c>
      <c r="M117" s="37" t="n">
        <f aca="false">IF(F117="","",ROUND(F117*J117/100,0))</f>
        <v>15</v>
      </c>
      <c r="P117" s="54" t="n">
        <v>16.9831563543597</v>
      </c>
      <c r="Q117" s="55" t="n">
        <f aca="false">T117*$H$5</f>
        <v>493.360186418109</v>
      </c>
      <c r="R117" s="56" t="n">
        <f aca="false">MAX(0,MIN(1,P117/100+$D$5))</f>
        <v>0.663334798432486</v>
      </c>
      <c r="S117" s="57" t="s">
        <v>123</v>
      </c>
      <c r="T117" s="55" t="n">
        <v>493.360186418109</v>
      </c>
    </row>
    <row r="118" customFormat="false" ht="15" hidden="false" customHeight="false" outlineLevel="0" collapsed="false">
      <c r="A118" s="21" t="s">
        <v>189</v>
      </c>
      <c r="B118" s="21" t="s">
        <v>191</v>
      </c>
      <c r="C118" s="21" t="s">
        <v>248</v>
      </c>
      <c r="D118" s="37" t="n">
        <f aca="false">ROUND(Q118*R118,0)</f>
        <v>152</v>
      </c>
      <c r="E118" s="37" t="n">
        <f aca="false">ROUND(Q118,0)-D118</f>
        <v>72</v>
      </c>
      <c r="F118" s="37" t="n">
        <f aca="false">IF(COUNTA(D118:E118)=0,"",SUM(D118:E118))</f>
        <v>224</v>
      </c>
      <c r="G118" s="52" t="n">
        <f aca="false">IF(OR(F118="",F118=0),"",D118/F118)</f>
        <v>0.678571428571429</v>
      </c>
      <c r="H118" s="52" t="n">
        <f aca="false">IF(OR(F118="",F118=0),"",E118/F118)</f>
        <v>0.321428571428571</v>
      </c>
      <c r="I118" s="21" t="s">
        <v>122</v>
      </c>
      <c r="J118" s="53" t="n">
        <v>3.02363014511423</v>
      </c>
      <c r="K118" s="52" t="n">
        <f aca="false">IF(G118="","",MAX(0,G118-J118/100))</f>
        <v>0.648335127120286</v>
      </c>
      <c r="L118" s="52" t="n">
        <f aca="false">IF(G118="","",MIN(1,G118+J118/100))</f>
        <v>0.708807730022571</v>
      </c>
      <c r="M118" s="37" t="n">
        <f aca="false">IF(F118="","",ROUND(F118*J118/100,0))</f>
        <v>7</v>
      </c>
      <c r="P118" s="54" t="n">
        <v>18.5550979488938</v>
      </c>
      <c r="Q118" s="55" t="n">
        <f aca="false">T118*$H$5</f>
        <v>223.817896389325</v>
      </c>
      <c r="R118" s="56" t="n">
        <f aca="false">MAX(0,MIN(1,P118/100+$D$5))</f>
        <v>0.679054214377827</v>
      </c>
      <c r="S118" s="57" t="s">
        <v>123</v>
      </c>
      <c r="T118" s="55" t="n">
        <v>223.817896389325</v>
      </c>
    </row>
    <row r="119" customFormat="false" ht="15" hidden="false" customHeight="false" outlineLevel="0" collapsed="false">
      <c r="A119" s="21" t="s">
        <v>189</v>
      </c>
      <c r="B119" s="21" t="s">
        <v>191</v>
      </c>
      <c r="C119" s="21" t="s">
        <v>249</v>
      </c>
      <c r="D119" s="37" t="n">
        <f aca="false">ROUND(Q119*R119,0)</f>
        <v>167</v>
      </c>
      <c r="E119" s="37" t="n">
        <f aca="false">ROUND(Q119,0)-D119</f>
        <v>75</v>
      </c>
      <c r="F119" s="37" t="n">
        <f aca="false">IF(COUNTA(D119:E119)=0,"",SUM(D119:E119))</f>
        <v>242</v>
      </c>
      <c r="G119" s="52" t="n">
        <f aca="false">IF(OR(F119="",F119=0),"",D119/F119)</f>
        <v>0.690082644628099</v>
      </c>
      <c r="H119" s="52" t="n">
        <f aca="false">IF(OR(F119="",F119=0),"",E119/F119)</f>
        <v>0.309917355371901</v>
      </c>
      <c r="I119" s="21" t="s">
        <v>122</v>
      </c>
      <c r="J119" s="53" t="n">
        <v>3.02363014511423</v>
      </c>
      <c r="K119" s="52" t="n">
        <f aca="false">IF(G119="","",MAX(0,G119-J119/100))</f>
        <v>0.659846343176957</v>
      </c>
      <c r="L119" s="52" t="n">
        <f aca="false">IF(G119="","",MIN(1,G119+J119/100))</f>
        <v>0.720318946079242</v>
      </c>
      <c r="M119" s="37" t="n">
        <f aca="false">IF(F119="","",ROUND(F119*J119/100,0))</f>
        <v>7</v>
      </c>
      <c r="P119" s="54" t="n">
        <v>19.4292233087307</v>
      </c>
      <c r="Q119" s="55" t="n">
        <f aca="false">T119*$H$5</f>
        <v>242.481171548117</v>
      </c>
      <c r="R119" s="56" t="n">
        <f aca="false">MAX(0,MIN(1,P119/100+$D$5))</f>
        <v>0.687795467976195</v>
      </c>
      <c r="S119" s="57" t="s">
        <v>123</v>
      </c>
      <c r="T119" s="55" t="n">
        <v>242.481171548117</v>
      </c>
    </row>
    <row r="120" customFormat="false" ht="15" hidden="false" customHeight="false" outlineLevel="0" collapsed="false">
      <c r="A120" s="21" t="s">
        <v>189</v>
      </c>
      <c r="B120" s="21" t="s">
        <v>191</v>
      </c>
      <c r="C120" s="21" t="s">
        <v>250</v>
      </c>
      <c r="D120" s="37" t="n">
        <f aca="false">ROUND(Q120*R120,0)</f>
        <v>280</v>
      </c>
      <c r="E120" s="37" t="n">
        <f aca="false">ROUND(Q120,0)-D120</f>
        <v>169</v>
      </c>
      <c r="F120" s="37" t="n">
        <f aca="false">IF(COUNTA(D120:E120)=0,"",SUM(D120:E120))</f>
        <v>449</v>
      </c>
      <c r="G120" s="52" t="n">
        <f aca="false">IF(OR(F120="",F120=0),"",D120/F120)</f>
        <v>0.623608017817372</v>
      </c>
      <c r="H120" s="52" t="n">
        <f aca="false">IF(OR(F120="",F120=0),"",E120/F120)</f>
        <v>0.376391982182628</v>
      </c>
      <c r="I120" s="21" t="s">
        <v>122</v>
      </c>
      <c r="J120" s="53" t="n">
        <v>3.02363014511423</v>
      </c>
      <c r="K120" s="52" t="n">
        <f aca="false">IF(G120="","",MAX(0,G120-J120/100))</f>
        <v>0.59337171636623</v>
      </c>
      <c r="L120" s="52" t="n">
        <f aca="false">IF(G120="","",MIN(1,G120+J120/100))</f>
        <v>0.653844319268514</v>
      </c>
      <c r="M120" s="37" t="n">
        <f aca="false">IF(F120="","",ROUND(F120*J120/100,0))</f>
        <v>14</v>
      </c>
      <c r="P120" s="54" t="n">
        <v>13.1110919091713</v>
      </c>
      <c r="Q120" s="55" t="n">
        <f aca="false">T120*$H$5</f>
        <v>448.675647668394</v>
      </c>
      <c r="R120" s="56" t="n">
        <f aca="false">MAX(0,MIN(1,P120/100+$D$5))</f>
        <v>0.624614153980601</v>
      </c>
      <c r="S120" s="57" t="s">
        <v>123</v>
      </c>
      <c r="T120" s="55" t="n">
        <v>448.675647668394</v>
      </c>
    </row>
    <row r="121" customFormat="false" ht="15" hidden="false" customHeight="false" outlineLevel="0" collapsed="false">
      <c r="A121" s="21" t="s">
        <v>189</v>
      </c>
      <c r="B121" s="21" t="s">
        <v>191</v>
      </c>
      <c r="C121" s="21" t="s">
        <v>251</v>
      </c>
      <c r="D121" s="37" t="n">
        <f aca="false">ROUND(Q121*R121,0)</f>
        <v>219</v>
      </c>
      <c r="E121" s="37" t="n">
        <f aca="false">ROUND(Q121,0)-D121</f>
        <v>91</v>
      </c>
      <c r="F121" s="37" t="n">
        <f aca="false">IF(COUNTA(D121:E121)=0,"",SUM(D121:E121))</f>
        <v>310</v>
      </c>
      <c r="G121" s="52" t="n">
        <f aca="false">IF(OR(F121="",F121=0),"",D121/F121)</f>
        <v>0.706451612903226</v>
      </c>
      <c r="H121" s="52" t="n">
        <f aca="false">IF(OR(F121="",F121=0),"",E121/F121)</f>
        <v>0.293548387096774</v>
      </c>
      <c r="I121" s="21" t="s">
        <v>122</v>
      </c>
      <c r="J121" s="53" t="n">
        <v>3.02363014511423</v>
      </c>
      <c r="K121" s="52" t="n">
        <f aca="false">IF(G121="","",MAX(0,G121-J121/100))</f>
        <v>0.676215311452084</v>
      </c>
      <c r="L121" s="52" t="n">
        <f aca="false">IF(G121="","",MIN(1,G121+J121/100))</f>
        <v>0.736687914354368</v>
      </c>
      <c r="M121" s="37" t="n">
        <f aca="false">IF(F121="","",ROUND(F121*J121/100,0))</f>
        <v>9</v>
      </c>
      <c r="P121" s="54" t="n">
        <v>21.0989024280885</v>
      </c>
      <c r="Q121" s="55" t="n">
        <f aca="false">T121*$H$5</f>
        <v>310.16656308266</v>
      </c>
      <c r="R121" s="56" t="n">
        <f aca="false">MAX(0,MIN(1,P121/100+$D$5))</f>
        <v>0.704492259169774</v>
      </c>
      <c r="S121" s="57" t="s">
        <v>123</v>
      </c>
      <c r="T121" s="55" t="n">
        <v>310.16656308266</v>
      </c>
    </row>
    <row r="122" customFormat="false" ht="15" hidden="false" customHeight="false" outlineLevel="0" collapsed="false">
      <c r="A122" s="21" t="s">
        <v>189</v>
      </c>
      <c r="B122" s="21" t="s">
        <v>252</v>
      </c>
      <c r="C122" s="21" t="s">
        <v>253</v>
      </c>
      <c r="D122" s="37" t="n">
        <f aca="false">ROUND(Q122*R122,0)</f>
        <v>463</v>
      </c>
      <c r="E122" s="37" t="n">
        <f aca="false">ROUND(Q122,0)-D122</f>
        <v>194</v>
      </c>
      <c r="F122" s="37" t="n">
        <f aca="false">IF(COUNTA(D122:E122)=0,"",SUM(D122:E122))</f>
        <v>657</v>
      </c>
      <c r="G122" s="52" t="n">
        <f aca="false">IF(OR(F122="",F122=0),"",D122/F122)</f>
        <v>0.704718417047184</v>
      </c>
      <c r="H122" s="52" t="n">
        <f aca="false">IF(OR(F122="",F122=0),"",E122/F122)</f>
        <v>0.295281582952816</v>
      </c>
      <c r="I122" s="21" t="s">
        <v>122</v>
      </c>
      <c r="J122" s="53" t="n">
        <v>3.02363014511423</v>
      </c>
      <c r="K122" s="52" t="n">
        <f aca="false">IF(G122="","",MAX(0,G122-J122/100))</f>
        <v>0.674482115596042</v>
      </c>
      <c r="L122" s="52" t="n">
        <f aca="false">IF(G122="","",MIN(1,G122+J122/100))</f>
        <v>0.734954718498327</v>
      </c>
      <c r="M122" s="37" t="n">
        <f aca="false">IF(F122="","",ROUND(F122*J122/100,0))</f>
        <v>20</v>
      </c>
      <c r="P122" s="54" t="n">
        <v>21.0310354389487</v>
      </c>
      <c r="Q122" s="55" t="n">
        <f aca="false">T122*$H$5</f>
        <v>657.496995708155</v>
      </c>
      <c r="R122" s="56" t="n">
        <f aca="false">MAX(0,MIN(1,P122/100+$D$5))</f>
        <v>0.703813589278376</v>
      </c>
      <c r="S122" s="57" t="s">
        <v>123</v>
      </c>
      <c r="T122" s="55" t="n">
        <v>657.496995708155</v>
      </c>
    </row>
    <row r="123" customFormat="false" ht="15" hidden="false" customHeight="false" outlineLevel="0" collapsed="false">
      <c r="A123" s="21" t="s">
        <v>189</v>
      </c>
      <c r="B123" s="21" t="s">
        <v>252</v>
      </c>
      <c r="C123" s="21" t="s">
        <v>254</v>
      </c>
      <c r="D123" s="37" t="n">
        <f aca="false">ROUND(Q123*R123,0)</f>
        <v>314</v>
      </c>
      <c r="E123" s="37" t="n">
        <f aca="false">ROUND(Q123,0)-D123</f>
        <v>152</v>
      </c>
      <c r="F123" s="37" t="n">
        <f aca="false">IF(COUNTA(D123:E123)=0,"",SUM(D123:E123))</f>
        <v>466</v>
      </c>
      <c r="G123" s="52" t="n">
        <f aca="false">IF(OR(F123="",F123=0),"",D123/F123)</f>
        <v>0.67381974248927</v>
      </c>
      <c r="H123" s="52" t="n">
        <f aca="false">IF(OR(F123="",F123=0),"",E123/F123)</f>
        <v>0.32618025751073</v>
      </c>
      <c r="I123" s="21" t="s">
        <v>122</v>
      </c>
      <c r="J123" s="53" t="n">
        <v>3.02363014511423</v>
      </c>
      <c r="K123" s="52" t="n">
        <f aca="false">IF(G123="","",MAX(0,G123-J123/100))</f>
        <v>0.643583441038128</v>
      </c>
      <c r="L123" s="52" t="n">
        <f aca="false">IF(G123="","",MIN(1,G123+J123/100))</f>
        <v>0.704056043940413</v>
      </c>
      <c r="M123" s="37" t="n">
        <f aca="false">IF(F123="","",ROUND(F123*J123/100,0))</f>
        <v>14</v>
      </c>
      <c r="P123" s="54" t="n">
        <v>18.1656530463897</v>
      </c>
      <c r="Q123" s="55" t="n">
        <f aca="false">T123*$H$5</f>
        <v>465.633707865168</v>
      </c>
      <c r="R123" s="56" t="n">
        <f aca="false">MAX(0,MIN(1,P123/100+$D$5))</f>
        <v>0.675159765352785</v>
      </c>
      <c r="S123" s="57" t="s">
        <v>123</v>
      </c>
      <c r="T123" s="55" t="n">
        <v>465.633707865168</v>
      </c>
    </row>
    <row r="124" customFormat="false" ht="15" hidden="false" customHeight="false" outlineLevel="0" collapsed="false">
      <c r="A124" s="21" t="s">
        <v>189</v>
      </c>
      <c r="B124" s="21" t="s">
        <v>252</v>
      </c>
      <c r="C124" s="21" t="s">
        <v>255</v>
      </c>
      <c r="D124" s="37" t="n">
        <f aca="false">ROUND(Q124*R124,0)</f>
        <v>345</v>
      </c>
      <c r="E124" s="37" t="n">
        <f aca="false">ROUND(Q124,0)-D124</f>
        <v>142</v>
      </c>
      <c r="F124" s="37" t="n">
        <f aca="false">IF(COUNTA(D124:E124)=0,"",SUM(D124:E124))</f>
        <v>487</v>
      </c>
      <c r="G124" s="52" t="n">
        <f aca="false">IF(OR(F124="",F124=0),"",D124/F124)</f>
        <v>0.708418891170431</v>
      </c>
      <c r="H124" s="52" t="n">
        <f aca="false">IF(OR(F124="",F124=0),"",E124/F124)</f>
        <v>0.291581108829569</v>
      </c>
      <c r="I124" s="21" t="s">
        <v>122</v>
      </c>
      <c r="J124" s="53" t="n">
        <v>3.02363014511423</v>
      </c>
      <c r="K124" s="52" t="n">
        <f aca="false">IF(G124="","",MAX(0,G124-J124/100))</f>
        <v>0.678182589719289</v>
      </c>
      <c r="L124" s="52" t="n">
        <f aca="false">IF(G124="","",MIN(1,G124+J124/100))</f>
        <v>0.738655192621574</v>
      </c>
      <c r="M124" s="37" t="n">
        <f aca="false">IF(F124="","",ROUND(F124*J124/100,0))</f>
        <v>15</v>
      </c>
      <c r="P124" s="54" t="n">
        <v>21.6452874921316</v>
      </c>
      <c r="Q124" s="55" t="n">
        <f aca="false">T124*$H$5</f>
        <v>486.64</v>
      </c>
      <c r="R124" s="56" t="n">
        <f aca="false">MAX(0,MIN(1,P124/100+$D$5))</f>
        <v>0.709956109810204</v>
      </c>
      <c r="S124" s="57" t="s">
        <v>123</v>
      </c>
      <c r="T124" s="55" t="n">
        <v>486.64</v>
      </c>
    </row>
    <row r="125" customFormat="false" ht="15" hidden="false" customHeight="false" outlineLevel="0" collapsed="false">
      <c r="A125" s="21" t="s">
        <v>189</v>
      </c>
      <c r="B125" s="21" t="s">
        <v>252</v>
      </c>
      <c r="C125" s="21" t="s">
        <v>256</v>
      </c>
      <c r="D125" s="37" t="n">
        <f aca="false">ROUND(Q125*R125,0)</f>
        <v>377</v>
      </c>
      <c r="E125" s="37" t="n">
        <f aca="false">ROUND(Q125,0)-D125</f>
        <v>170</v>
      </c>
      <c r="F125" s="37" t="n">
        <f aca="false">IF(COUNTA(D125:E125)=0,"",SUM(D125:E125))</f>
        <v>547</v>
      </c>
      <c r="G125" s="52" t="n">
        <f aca="false">IF(OR(F125="",F125=0),"",D125/F125)</f>
        <v>0.689213893967093</v>
      </c>
      <c r="H125" s="52" t="n">
        <f aca="false">IF(OR(F125="",F125=0),"",E125/F125)</f>
        <v>0.310786106032907</v>
      </c>
      <c r="I125" s="21" t="s">
        <v>122</v>
      </c>
      <c r="J125" s="53" t="n">
        <v>3.02363014511423</v>
      </c>
      <c r="K125" s="52" t="n">
        <f aca="false">IF(G125="","",MAX(0,G125-J125/100))</f>
        <v>0.658977592515951</v>
      </c>
      <c r="L125" s="52" t="n">
        <f aca="false">IF(G125="","",MIN(1,G125+J125/100))</f>
        <v>0.719450195418236</v>
      </c>
      <c r="M125" s="37" t="n">
        <f aca="false">IF(F125="","",ROUND(F125*J125/100,0))</f>
        <v>17</v>
      </c>
      <c r="P125" s="54" t="n">
        <v>19.5581497993791</v>
      </c>
      <c r="Q125" s="55" t="n">
        <f aca="false">T125*$H$5</f>
        <v>547.019495412844</v>
      </c>
      <c r="R125" s="56" t="n">
        <f aca="false">MAX(0,MIN(1,P125/100+$D$5))</f>
        <v>0.689084732882679</v>
      </c>
      <c r="S125" s="57" t="s">
        <v>123</v>
      </c>
      <c r="T125" s="55" t="n">
        <v>547.019495412844</v>
      </c>
    </row>
    <row r="126" customFormat="false" ht="15" hidden="false" customHeight="false" outlineLevel="0" collapsed="false">
      <c r="A126" s="21" t="s">
        <v>189</v>
      </c>
      <c r="B126" s="21" t="s">
        <v>252</v>
      </c>
      <c r="C126" s="21" t="s">
        <v>257</v>
      </c>
      <c r="D126" s="37" t="n">
        <f aca="false">ROUND(Q126*R126,0)</f>
        <v>585</v>
      </c>
      <c r="E126" s="37" t="n">
        <f aca="false">ROUND(Q126,0)-D126</f>
        <v>313</v>
      </c>
      <c r="F126" s="37" t="n">
        <f aca="false">IF(COUNTA(D126:E126)=0,"",SUM(D126:E126))</f>
        <v>898</v>
      </c>
      <c r="G126" s="52" t="n">
        <f aca="false">IF(OR(F126="",F126=0),"",D126/F126)</f>
        <v>0.651447661469933</v>
      </c>
      <c r="H126" s="52" t="n">
        <f aca="false">IF(OR(F126="",F126=0),"",E126/F126)</f>
        <v>0.348552338530067</v>
      </c>
      <c r="I126" s="21" t="s">
        <v>122</v>
      </c>
      <c r="J126" s="53" t="n">
        <v>1.80877416096373</v>
      </c>
      <c r="K126" s="52" t="n">
        <f aca="false">IF(G126="","",MAX(0,G126-J126/100))</f>
        <v>0.633359919860296</v>
      </c>
      <c r="L126" s="52" t="n">
        <f aca="false">IF(G126="","",MIN(1,G126+J126/100))</f>
        <v>0.669535403079571</v>
      </c>
      <c r="M126" s="37" t="n">
        <f aca="false">IF(F126="","",ROUND(F126*J126/100,0))</f>
        <v>16</v>
      </c>
      <c r="P126" s="54" t="n">
        <v>15.7526621065666</v>
      </c>
      <c r="Q126" s="55" t="n">
        <f aca="false">T126*$H$5</f>
        <v>898.212765957447</v>
      </c>
      <c r="R126" s="56" t="n">
        <f aca="false">MAX(0,MIN(1,P126/100+$D$5))</f>
        <v>0.651029855954554</v>
      </c>
      <c r="S126" s="57" t="s">
        <v>132</v>
      </c>
      <c r="T126" s="55" t="n">
        <v>898.212765957447</v>
      </c>
    </row>
    <row r="127" customFormat="false" ht="15" hidden="false" customHeight="false" outlineLevel="0" collapsed="false">
      <c r="A127" s="21" t="s">
        <v>189</v>
      </c>
      <c r="B127" s="21" t="s">
        <v>252</v>
      </c>
      <c r="C127" s="21" t="s">
        <v>258</v>
      </c>
      <c r="D127" s="37" t="n">
        <f aca="false">ROUND(Q127*R127,0)</f>
        <v>395</v>
      </c>
      <c r="E127" s="37" t="n">
        <f aca="false">ROUND(Q127,0)-D127</f>
        <v>239</v>
      </c>
      <c r="F127" s="37" t="n">
        <f aca="false">IF(COUNTA(D127:E127)=0,"",SUM(D127:E127))</f>
        <v>634</v>
      </c>
      <c r="G127" s="52" t="n">
        <f aca="false">IF(OR(F127="",F127=0),"",D127/F127)</f>
        <v>0.623028391167192</v>
      </c>
      <c r="H127" s="52" t="n">
        <f aca="false">IF(OR(F127="",F127=0),"",E127/F127)</f>
        <v>0.376971608832808</v>
      </c>
      <c r="I127" s="21" t="s">
        <v>122</v>
      </c>
      <c r="J127" s="53" t="n">
        <v>3.02363014511423</v>
      </c>
      <c r="K127" s="52" t="n">
        <f aca="false">IF(G127="","",MAX(0,G127-J127/100))</f>
        <v>0.59279208971605</v>
      </c>
      <c r="L127" s="52" t="n">
        <f aca="false">IF(G127="","",MIN(1,G127+J127/100))</f>
        <v>0.653264692618335</v>
      </c>
      <c r="M127" s="37" t="n">
        <f aca="false">IF(F127="","",ROUND(F127*J127/100,0))</f>
        <v>19</v>
      </c>
      <c r="P127" s="54" t="n">
        <v>13.0300246273148</v>
      </c>
      <c r="Q127" s="55" t="n">
        <f aca="false">T127*$H$5</f>
        <v>634.007858546169</v>
      </c>
      <c r="R127" s="56" t="n">
        <f aca="false">MAX(0,MIN(1,P127/100+$D$5))</f>
        <v>0.623803481162036</v>
      </c>
      <c r="S127" s="57" t="s">
        <v>123</v>
      </c>
      <c r="T127" s="55" t="n">
        <v>634.007858546169</v>
      </c>
    </row>
    <row r="128" customFormat="false" ht="15" hidden="false" customHeight="false" outlineLevel="0" collapsed="false">
      <c r="A128" s="21" t="s">
        <v>189</v>
      </c>
      <c r="B128" s="21" t="s">
        <v>252</v>
      </c>
      <c r="C128" s="21" t="s">
        <v>259</v>
      </c>
      <c r="D128" s="37" t="n">
        <f aca="false">ROUND(Q128*R128,0)</f>
        <v>440</v>
      </c>
      <c r="E128" s="37" t="n">
        <f aca="false">ROUND(Q128,0)-D128</f>
        <v>287</v>
      </c>
      <c r="F128" s="37" t="n">
        <f aca="false">IF(COUNTA(D128:E128)=0,"",SUM(D128:E128))</f>
        <v>727</v>
      </c>
      <c r="G128" s="52" t="n">
        <f aca="false">IF(OR(F128="",F128=0),"",D128/F128)</f>
        <v>0.605226960110041</v>
      </c>
      <c r="H128" s="52" t="n">
        <f aca="false">IF(OR(F128="",F128=0),"",E128/F128)</f>
        <v>0.394773039889959</v>
      </c>
      <c r="I128" s="21" t="s">
        <v>122</v>
      </c>
      <c r="J128" s="53" t="n">
        <v>3.02363014511423</v>
      </c>
      <c r="K128" s="52" t="n">
        <f aca="false">IF(G128="","",MAX(0,G128-J128/100))</f>
        <v>0.574990658658899</v>
      </c>
      <c r="L128" s="52" t="n">
        <f aca="false">IF(G128="","",MIN(1,G128+J128/100))</f>
        <v>0.635463261561184</v>
      </c>
      <c r="M128" s="37" t="n">
        <f aca="false">IF(F128="","",ROUND(F128*J128/100,0))</f>
        <v>22</v>
      </c>
      <c r="P128" s="54" t="n">
        <v>11.0988819329054</v>
      </c>
      <c r="Q128" s="55" t="n">
        <f aca="false">T128*$H$5</f>
        <v>727.46884272997</v>
      </c>
      <c r="R128" s="56" t="n">
        <f aca="false">MAX(0,MIN(1,P128/100+$D$5))</f>
        <v>0.604492054217942</v>
      </c>
      <c r="S128" s="57" t="s">
        <v>123</v>
      </c>
      <c r="T128" s="55" t="n">
        <v>727.46884272997</v>
      </c>
    </row>
    <row r="129" customFormat="false" ht="15" hidden="false" customHeight="false" outlineLevel="0" collapsed="false">
      <c r="A129" s="21" t="s">
        <v>189</v>
      </c>
      <c r="B129" s="21" t="s">
        <v>252</v>
      </c>
      <c r="C129" s="21" t="s">
        <v>260</v>
      </c>
      <c r="D129" s="37" t="n">
        <f aca="false">ROUND(Q129*R129,0)</f>
        <v>551</v>
      </c>
      <c r="E129" s="37" t="n">
        <f aca="false">ROUND(Q129,0)-D129</f>
        <v>347</v>
      </c>
      <c r="F129" s="37" t="n">
        <f aca="false">IF(COUNTA(D129:E129)=0,"",SUM(D129:E129))</f>
        <v>898</v>
      </c>
      <c r="G129" s="52" t="n">
        <f aca="false">IF(OR(F129="",F129=0),"",D129/F129)</f>
        <v>0.61358574610245</v>
      </c>
      <c r="H129" s="52" t="n">
        <f aca="false">IF(OR(F129="",F129=0),"",E129/F129)</f>
        <v>0.38641425389755</v>
      </c>
      <c r="I129" s="21" t="s">
        <v>122</v>
      </c>
      <c r="J129" s="53" t="n">
        <v>1.80877416096373</v>
      </c>
      <c r="K129" s="52" t="n">
        <f aca="false">IF(G129="","",MAX(0,G129-J129/100))</f>
        <v>0.595498004492813</v>
      </c>
      <c r="L129" s="52" t="n">
        <f aca="false">IF(G129="","",MIN(1,G129+J129/100))</f>
        <v>0.631673487712087</v>
      </c>
      <c r="M129" s="37" t="n">
        <f aca="false">IF(F129="","",ROUND(F129*J129/100,0))</f>
        <v>16</v>
      </c>
      <c r="P129" s="54" t="n">
        <v>12.0426491514316</v>
      </c>
      <c r="Q129" s="55" t="n">
        <f aca="false">T129*$H$5</f>
        <v>898.28</v>
      </c>
      <c r="R129" s="56" t="n">
        <f aca="false">MAX(0,MIN(1,P129/100+$D$5))</f>
        <v>0.613929726403204</v>
      </c>
      <c r="S129" s="57" t="s">
        <v>132</v>
      </c>
      <c r="T129" s="55" t="n">
        <v>898.28</v>
      </c>
    </row>
    <row r="130" customFormat="false" ht="15" hidden="false" customHeight="false" outlineLevel="0" collapsed="false">
      <c r="A130" s="21" t="s">
        <v>189</v>
      </c>
      <c r="B130" s="21" t="s">
        <v>252</v>
      </c>
      <c r="C130" s="21" t="s">
        <v>261</v>
      </c>
      <c r="D130" s="37" t="n">
        <f aca="false">ROUND(Q130*R130,0)</f>
        <v>411</v>
      </c>
      <c r="E130" s="37" t="n">
        <f aca="false">ROUND(Q130,0)-D130</f>
        <v>254</v>
      </c>
      <c r="F130" s="37" t="n">
        <f aca="false">IF(COUNTA(D130:E130)=0,"",SUM(D130:E130))</f>
        <v>665</v>
      </c>
      <c r="G130" s="52" t="n">
        <f aca="false">IF(OR(F130="",F130=0),"",D130/F130)</f>
        <v>0.618045112781955</v>
      </c>
      <c r="H130" s="52" t="n">
        <f aca="false">IF(OR(F130="",F130=0),"",E130/F130)</f>
        <v>0.381954887218045</v>
      </c>
      <c r="I130" s="21" t="s">
        <v>122</v>
      </c>
      <c r="J130" s="53" t="n">
        <v>3.02363014511423</v>
      </c>
      <c r="K130" s="52" t="n">
        <f aca="false">IF(G130="","",MAX(0,G130-J130/100))</f>
        <v>0.587808811330813</v>
      </c>
      <c r="L130" s="52" t="n">
        <f aca="false">IF(G130="","",MIN(1,G130+J130/100))</f>
        <v>0.648281414233097</v>
      </c>
      <c r="M130" s="37" t="n">
        <f aca="false">IF(F130="","",ROUND(F130*J130/100,0))</f>
        <v>20</v>
      </c>
      <c r="P130" s="54" t="n">
        <v>12.4279209392786</v>
      </c>
      <c r="Q130" s="55" t="n">
        <f aca="false">T130*$H$5</f>
        <v>665.309142318567</v>
      </c>
      <c r="R130" s="56" t="n">
        <f aca="false">MAX(0,MIN(1,P130/100+$D$5))</f>
        <v>0.617782444281674</v>
      </c>
      <c r="S130" s="57" t="s">
        <v>123</v>
      </c>
      <c r="T130" s="55" t="n">
        <v>665.309142318567</v>
      </c>
    </row>
    <row r="131" customFormat="false" ht="15" hidden="false" customHeight="false" outlineLevel="0" collapsed="false">
      <c r="A131" s="21" t="s">
        <v>189</v>
      </c>
      <c r="B131" s="21" t="s">
        <v>252</v>
      </c>
      <c r="C131" s="21" t="s">
        <v>262</v>
      </c>
      <c r="D131" s="37" t="n">
        <f aca="false">ROUND(Q131*R131,0)</f>
        <v>333</v>
      </c>
      <c r="E131" s="37" t="n">
        <f aca="false">ROUND(Q131,0)-D131</f>
        <v>247</v>
      </c>
      <c r="F131" s="37" t="n">
        <f aca="false">IF(COUNTA(D131:E131)=0,"",SUM(D131:E131))</f>
        <v>580</v>
      </c>
      <c r="G131" s="52" t="n">
        <f aca="false">IF(OR(F131="",F131=0),"",D131/F131)</f>
        <v>0.574137931034483</v>
      </c>
      <c r="H131" s="52" t="n">
        <f aca="false">IF(OR(F131="",F131=0),"",E131/F131)</f>
        <v>0.425862068965517</v>
      </c>
      <c r="I131" s="21" t="s">
        <v>122</v>
      </c>
      <c r="J131" s="53" t="n">
        <v>3.02363014511423</v>
      </c>
      <c r="K131" s="52" t="n">
        <f aca="false">IF(G131="","",MAX(0,G131-J131/100))</f>
        <v>0.54390162958334</v>
      </c>
      <c r="L131" s="52" t="n">
        <f aca="false">IF(G131="","",MIN(1,G131+J131/100))</f>
        <v>0.604374232485625</v>
      </c>
      <c r="M131" s="37" t="n">
        <f aca="false">IF(F131="","",ROUND(F131*J131/100,0))</f>
        <v>18</v>
      </c>
      <c r="P131" s="54" t="n">
        <v>8.0244849661281</v>
      </c>
      <c r="Q131" s="55" t="n">
        <f aca="false">T131*$H$5</f>
        <v>580.019459459459</v>
      </c>
      <c r="R131" s="56" t="n">
        <f aca="false">MAX(0,MIN(1,P131/100+$D$5))</f>
        <v>0.573748084550169</v>
      </c>
      <c r="S131" s="57" t="s">
        <v>123</v>
      </c>
      <c r="T131" s="55" t="n">
        <v>580.019459459459</v>
      </c>
    </row>
    <row r="132" customFormat="false" ht="15" hidden="false" customHeight="false" outlineLevel="0" collapsed="false">
      <c r="A132" s="21" t="s">
        <v>189</v>
      </c>
      <c r="B132" s="21" t="s">
        <v>252</v>
      </c>
      <c r="C132" s="21" t="s">
        <v>263</v>
      </c>
      <c r="D132" s="37" t="n">
        <f aca="false">ROUND(Q132*R132,0)</f>
        <v>418</v>
      </c>
      <c r="E132" s="37" t="n">
        <f aca="false">ROUND(Q132,0)-D132</f>
        <v>244</v>
      </c>
      <c r="F132" s="37" t="n">
        <f aca="false">IF(COUNTA(D132:E132)=0,"",SUM(D132:E132))</f>
        <v>662</v>
      </c>
      <c r="G132" s="52" t="n">
        <f aca="false">IF(OR(F132="",F132=0),"",D132/F132)</f>
        <v>0.631419939577039</v>
      </c>
      <c r="H132" s="52" t="n">
        <f aca="false">IF(OR(F132="",F132=0),"",E132/F132)</f>
        <v>0.368580060422961</v>
      </c>
      <c r="I132" s="21" t="s">
        <v>122</v>
      </c>
      <c r="J132" s="53" t="n">
        <v>3.02363014511423</v>
      </c>
      <c r="K132" s="52" t="n">
        <f aca="false">IF(G132="","",MAX(0,G132-J132/100))</f>
        <v>0.601183638125897</v>
      </c>
      <c r="L132" s="52" t="n">
        <f aca="false">IF(G132="","",MIN(1,G132+J132/100))</f>
        <v>0.661656241028182</v>
      </c>
      <c r="M132" s="37" t="n">
        <f aca="false">IF(F132="","",ROUND(F132*J132/100,0))</f>
        <v>20</v>
      </c>
      <c r="P132" s="54" t="n">
        <v>13.8350314366907</v>
      </c>
      <c r="Q132" s="55" t="n">
        <f aca="false">T132*$H$5</f>
        <v>662.03519510329</v>
      </c>
      <c r="R132" s="56" t="n">
        <f aca="false">MAX(0,MIN(1,P132/100+$D$5))</f>
        <v>0.631853549255796</v>
      </c>
      <c r="S132" s="57" t="s">
        <v>123</v>
      </c>
      <c r="T132" s="55" t="n">
        <v>662.03519510329</v>
      </c>
    </row>
    <row r="133" customFormat="false" ht="15" hidden="false" customHeight="false" outlineLevel="0" collapsed="false">
      <c r="A133" s="21" t="s">
        <v>189</v>
      </c>
      <c r="B133" s="21" t="s">
        <v>252</v>
      </c>
      <c r="C133" s="21" t="s">
        <v>264</v>
      </c>
      <c r="D133" s="37" t="n">
        <f aca="false">ROUND(Q133*R133,0)</f>
        <v>450</v>
      </c>
      <c r="E133" s="37" t="n">
        <f aca="false">ROUND(Q133,0)-D133</f>
        <v>288</v>
      </c>
      <c r="F133" s="37" t="n">
        <f aca="false">IF(COUNTA(D133:E133)=0,"",SUM(D133:E133))</f>
        <v>738</v>
      </c>
      <c r="G133" s="52" t="n">
        <f aca="false">IF(OR(F133="",F133=0),"",D133/F133)</f>
        <v>0.609756097560976</v>
      </c>
      <c r="H133" s="52" t="n">
        <f aca="false">IF(OR(F133="",F133=0),"",E133/F133)</f>
        <v>0.390243902439024</v>
      </c>
      <c r="I133" s="21" t="s">
        <v>122</v>
      </c>
      <c r="J133" s="53" t="n">
        <v>3.02363014511423</v>
      </c>
      <c r="K133" s="52" t="n">
        <f aca="false">IF(G133="","",MAX(0,G133-J133/100))</f>
        <v>0.579519796109833</v>
      </c>
      <c r="L133" s="52" t="n">
        <f aca="false">IF(G133="","",MIN(1,G133+J133/100))</f>
        <v>0.639992399012118</v>
      </c>
      <c r="M133" s="37" t="n">
        <f aca="false">IF(F133="","",ROUND(F133*J133/100,0))</f>
        <v>22</v>
      </c>
      <c r="P133" s="54" t="n">
        <v>11.6803141709003</v>
      </c>
      <c r="Q133" s="55" t="n">
        <f aca="false">T133*$H$5</f>
        <v>737.535483870967</v>
      </c>
      <c r="R133" s="56" t="n">
        <f aca="false">MAX(0,MIN(1,P133/100+$D$5))</f>
        <v>0.610306376597891</v>
      </c>
      <c r="S133" s="57" t="s">
        <v>123</v>
      </c>
      <c r="T133" s="55" t="n">
        <v>737.535483870967</v>
      </c>
    </row>
    <row r="134" customFormat="false" ht="15" hidden="false" customHeight="false" outlineLevel="0" collapsed="false">
      <c r="A134" s="21" t="s">
        <v>189</v>
      </c>
      <c r="B134" s="21" t="s">
        <v>265</v>
      </c>
      <c r="C134" s="21" t="s">
        <v>266</v>
      </c>
      <c r="D134" s="37" t="n">
        <f aca="false">ROUND(Q134*R134,0)</f>
        <v>385</v>
      </c>
      <c r="E134" s="37" t="n">
        <f aca="false">ROUND(Q134,0)-D134</f>
        <v>300</v>
      </c>
      <c r="F134" s="37" t="n">
        <f aca="false">IF(COUNTA(D134:E134)=0,"",SUM(D134:E134))</f>
        <v>685</v>
      </c>
      <c r="G134" s="52" t="n">
        <f aca="false">IF(OR(F134="",F134=0),"",D134/F134)</f>
        <v>0.562043795620438</v>
      </c>
      <c r="H134" s="52" t="n">
        <f aca="false">IF(OR(F134="",F134=0),"",E134/F134)</f>
        <v>0.437956204379562</v>
      </c>
      <c r="I134" s="21" t="s">
        <v>122</v>
      </c>
      <c r="J134" s="53" t="n">
        <v>3.02363014511423</v>
      </c>
      <c r="K134" s="52" t="n">
        <f aca="false">IF(G134="","",MAX(0,G134-J134/100))</f>
        <v>0.531807494169296</v>
      </c>
      <c r="L134" s="52" t="n">
        <f aca="false">IF(G134="","",MIN(1,G134+J134/100))</f>
        <v>0.59228009707158</v>
      </c>
      <c r="M134" s="37" t="n">
        <f aca="false">IF(F134="","",ROUND(F134*J134/100,0))</f>
        <v>21</v>
      </c>
      <c r="P134" s="54" t="n">
        <v>6.82348308691418</v>
      </c>
      <c r="Q134" s="55" t="n">
        <f aca="false">T134*$H$5</f>
        <v>685.017857142857</v>
      </c>
      <c r="R134" s="56" t="n">
        <f aca="false">MAX(0,MIN(1,P134/100+$D$5))</f>
        <v>0.56173806575803</v>
      </c>
      <c r="S134" s="57" t="s">
        <v>123</v>
      </c>
      <c r="T134" s="55" t="n">
        <v>685.017857142857</v>
      </c>
    </row>
    <row r="135" customFormat="false" ht="15" hidden="false" customHeight="false" outlineLevel="0" collapsed="false">
      <c r="A135" s="21" t="s">
        <v>189</v>
      </c>
      <c r="B135" s="21" t="s">
        <v>265</v>
      </c>
      <c r="C135" s="21" t="s">
        <v>267</v>
      </c>
      <c r="D135" s="37" t="n">
        <f aca="false">ROUND(Q135*R135,0)</f>
        <v>357</v>
      </c>
      <c r="E135" s="37" t="n">
        <f aca="false">ROUND(Q135,0)-D135</f>
        <v>356</v>
      </c>
      <c r="F135" s="37" t="n">
        <f aca="false">IF(COUNTA(D135:E135)=0,"",SUM(D135:E135))</f>
        <v>713</v>
      </c>
      <c r="G135" s="52" t="n">
        <f aca="false">IF(OR(F135="",F135=0),"",D135/F135)</f>
        <v>0.50070126227209</v>
      </c>
      <c r="H135" s="52" t="n">
        <f aca="false">IF(OR(F135="",F135=0),"",E135/F135)</f>
        <v>0.49929873772791</v>
      </c>
      <c r="I135" s="21" t="s">
        <v>122</v>
      </c>
      <c r="J135" s="53" t="n">
        <v>3.02363014511423</v>
      </c>
      <c r="K135" s="52" t="n">
        <f aca="false">IF(G135="","",MAX(0,G135-J135/100))</f>
        <v>0.470464960820947</v>
      </c>
      <c r="L135" s="52" t="n">
        <f aca="false">IF(G135="","",MIN(1,G135+J135/100))</f>
        <v>0.530937563723232</v>
      </c>
      <c r="M135" s="37" t="n">
        <f aca="false">IF(F135="","",ROUND(F135*J135/100,0))</f>
        <v>22</v>
      </c>
      <c r="P135" s="54" t="n">
        <v>0.714197133268868</v>
      </c>
      <c r="Q135" s="55" t="n">
        <f aca="false">T135*$H$5</f>
        <v>712.774509803922</v>
      </c>
      <c r="R135" s="56" t="n">
        <f aca="false">MAX(0,MIN(1,P135/100+$D$5))</f>
        <v>0.500645206221577</v>
      </c>
      <c r="S135" s="57" t="s">
        <v>123</v>
      </c>
      <c r="T135" s="55" t="n">
        <v>712.774509803922</v>
      </c>
    </row>
    <row r="136" customFormat="false" ht="15" hidden="false" customHeight="false" outlineLevel="0" collapsed="false">
      <c r="A136" s="21" t="s">
        <v>189</v>
      </c>
      <c r="B136" s="21" t="s">
        <v>265</v>
      </c>
      <c r="C136" s="21" t="s">
        <v>268</v>
      </c>
      <c r="D136" s="37" t="n">
        <f aca="false">ROUND(Q136*R136,0)</f>
        <v>400</v>
      </c>
      <c r="E136" s="37" t="n">
        <f aca="false">ROUND(Q136,0)-D136</f>
        <v>381</v>
      </c>
      <c r="F136" s="37" t="n">
        <f aca="false">IF(COUNTA(D136:E136)=0,"",SUM(D136:E136))</f>
        <v>781</v>
      </c>
      <c r="G136" s="52" t="n">
        <f aca="false">IF(OR(F136="",F136=0),"",D136/F136)</f>
        <v>0.512163892445583</v>
      </c>
      <c r="H136" s="52" t="n">
        <f aca="false">IF(OR(F136="",F136=0),"",E136/F136)</f>
        <v>0.487836107554417</v>
      </c>
      <c r="I136" s="21" t="s">
        <v>122</v>
      </c>
      <c r="J136" s="53" t="n">
        <v>1.80877416096373</v>
      </c>
      <c r="K136" s="52" t="n">
        <f aca="false">IF(G136="","",MAX(0,G136-J136/100))</f>
        <v>0.494076150835945</v>
      </c>
      <c r="L136" s="52" t="n">
        <f aca="false">IF(G136="","",MIN(1,G136+J136/100))</f>
        <v>0.53025163405522</v>
      </c>
      <c r="M136" s="37" t="n">
        <f aca="false">IF(F136="","",ROUND(F136*J136/100,0))</f>
        <v>14</v>
      </c>
      <c r="P136" s="54" t="n">
        <v>1.89035824873031</v>
      </c>
      <c r="Q136" s="55" t="n">
        <f aca="false">T136*$H$5</f>
        <v>780.975243810953</v>
      </c>
      <c r="R136" s="56" t="n">
        <f aca="false">MAX(0,MIN(1,P136/100+$D$5))</f>
        <v>0.512406817376191</v>
      </c>
      <c r="S136" s="57" t="s">
        <v>132</v>
      </c>
      <c r="T136" s="55" t="n">
        <v>780.975243810953</v>
      </c>
    </row>
    <row r="137" customFormat="false" ht="15" hidden="false" customHeight="false" outlineLevel="0" collapsed="false">
      <c r="A137" s="21" t="s">
        <v>189</v>
      </c>
      <c r="B137" s="21" t="s">
        <v>269</v>
      </c>
      <c r="C137" s="21" t="s">
        <v>269</v>
      </c>
      <c r="D137" s="37" t="n">
        <f aca="false">ROUND(Q137*R137,0)</f>
        <v>636</v>
      </c>
      <c r="E137" s="37" t="n">
        <f aca="false">ROUND(Q137,0)-D137</f>
        <v>634</v>
      </c>
      <c r="F137" s="37" t="n">
        <f aca="false">IF(COUNTA(D137:E137)=0,"",SUM(D137:E137))</f>
        <v>1270</v>
      </c>
      <c r="G137" s="52" t="n">
        <f aca="false">IF(OR(F137="",F137=0),"",D137/F137)</f>
        <v>0.500787401574803</v>
      </c>
      <c r="H137" s="52" t="n">
        <f aca="false">IF(OR(F137="",F137=0),"",E137/F137)</f>
        <v>0.499212598425197</v>
      </c>
      <c r="I137" s="21" t="s">
        <v>122</v>
      </c>
      <c r="J137" s="53" t="n">
        <v>1.24981746705324</v>
      </c>
      <c r="K137" s="52" t="n">
        <f aca="false">IF(G137="","",MAX(0,G137-J137/100))</f>
        <v>0.488289226904271</v>
      </c>
      <c r="L137" s="52" t="n">
        <f aca="false">IF(G137="","",MIN(1,G137+J137/100))</f>
        <v>0.513285576245336</v>
      </c>
      <c r="M137" s="37" t="n">
        <f aca="false">IF(F137="","",ROUND(F137*J137/100,0))</f>
        <v>16</v>
      </c>
      <c r="P137" s="54" t="n">
        <v>0.745743058133144</v>
      </c>
      <c r="Q137" s="55" t="n">
        <f aca="false">T137*$H$5</f>
        <v>1270.44031093837</v>
      </c>
      <c r="R137" s="56" t="n">
        <f aca="false">MAX(0,MIN(1,P137/100+$D$5))</f>
        <v>0.50096066547022</v>
      </c>
      <c r="S137" s="57" t="s">
        <v>225</v>
      </c>
      <c r="T137" s="55" t="n">
        <v>1270.44031093837</v>
      </c>
    </row>
    <row r="138" customFormat="false" ht="15" hidden="false" customHeight="false" outlineLevel="0" collapsed="false">
      <c r="A138" s="21" t="s">
        <v>189</v>
      </c>
      <c r="B138" s="21" t="s">
        <v>270</v>
      </c>
      <c r="C138" s="21" t="s">
        <v>271</v>
      </c>
      <c r="D138" s="37" t="n">
        <f aca="false">ROUND(Q138*R138,0)</f>
        <v>295</v>
      </c>
      <c r="E138" s="37" t="n">
        <f aca="false">ROUND(Q138,0)-D138</f>
        <v>280</v>
      </c>
      <c r="F138" s="37" t="n">
        <f aca="false">IF(COUNTA(D138:E138)=0,"",SUM(D138:E138))</f>
        <v>575</v>
      </c>
      <c r="G138" s="52" t="n">
        <f aca="false">IF(OR(F138="",F138=0),"",D138/F138)</f>
        <v>0.51304347826087</v>
      </c>
      <c r="H138" s="52" t="n">
        <f aca="false">IF(OR(F138="",F138=0),"",E138/F138)</f>
        <v>0.48695652173913</v>
      </c>
      <c r="I138" s="21" t="s">
        <v>122</v>
      </c>
      <c r="J138" s="53" t="n">
        <v>3.02363014511423</v>
      </c>
      <c r="K138" s="52" t="n">
        <f aca="false">IF(G138="","",MAX(0,G138-J138/100))</f>
        <v>0.482807176809727</v>
      </c>
      <c r="L138" s="52" t="n">
        <f aca="false">IF(G138="","",MIN(1,G138+J138/100))</f>
        <v>0.543279779712012</v>
      </c>
      <c r="M138" s="37" t="n">
        <f aca="false">IF(F138="","",ROUND(F138*J138/100,0))</f>
        <v>17</v>
      </c>
      <c r="P138" s="54" t="n">
        <v>1.97508686983157</v>
      </c>
      <c r="Q138" s="55" t="n">
        <f aca="false">T138*$H$5</f>
        <v>574.764397905759</v>
      </c>
      <c r="R138" s="56" t="n">
        <f aca="false">MAX(0,MIN(1,P138/100+$D$5))</f>
        <v>0.513254103587204</v>
      </c>
      <c r="S138" s="57" t="s">
        <v>123</v>
      </c>
      <c r="T138" s="55" t="n">
        <v>574.764397905759</v>
      </c>
    </row>
    <row r="139" customFormat="false" ht="15" hidden="false" customHeight="false" outlineLevel="0" collapsed="false">
      <c r="A139" s="21" t="s">
        <v>189</v>
      </c>
      <c r="B139" s="21" t="s">
        <v>270</v>
      </c>
      <c r="C139" s="21" t="s">
        <v>272</v>
      </c>
      <c r="D139" s="37" t="n">
        <f aca="false">ROUND(Q139*R139,0)</f>
        <v>412</v>
      </c>
      <c r="E139" s="37" t="n">
        <f aca="false">ROUND(Q139,0)-D139</f>
        <v>377</v>
      </c>
      <c r="F139" s="37" t="n">
        <f aca="false">IF(COUNTA(D139:E139)=0,"",SUM(D139:E139))</f>
        <v>789</v>
      </c>
      <c r="G139" s="52" t="n">
        <f aca="false">IF(OR(F139="",F139=0),"",D139/F139)</f>
        <v>0.522179974651458</v>
      </c>
      <c r="H139" s="52" t="n">
        <f aca="false">IF(OR(F139="",F139=0),"",E139/F139)</f>
        <v>0.477820025348542</v>
      </c>
      <c r="I139" s="21" t="s">
        <v>122</v>
      </c>
      <c r="J139" s="53" t="n">
        <v>1.80877416096373</v>
      </c>
      <c r="K139" s="52" t="n">
        <f aca="false">IF(G139="","",MAX(0,G139-J139/100))</f>
        <v>0.50409223304182</v>
      </c>
      <c r="L139" s="52" t="n">
        <f aca="false">IF(G139="","",MIN(1,G139+J139/100))</f>
        <v>0.540267716261095</v>
      </c>
      <c r="M139" s="37" t="n">
        <f aca="false">IF(F139="","",ROUND(F139*J139/100,0))</f>
        <v>14</v>
      </c>
      <c r="P139" s="54" t="n">
        <v>2.87046471983077</v>
      </c>
      <c r="Q139" s="55" t="n">
        <f aca="false">T139*$H$5</f>
        <v>789.294258373206</v>
      </c>
      <c r="R139" s="56" t="n">
        <f aca="false">MAX(0,MIN(1,P139/100+$D$5))</f>
        <v>0.522207882087196</v>
      </c>
      <c r="S139" s="57" t="s">
        <v>132</v>
      </c>
      <c r="T139" s="55" t="n">
        <v>789.294258373206</v>
      </c>
    </row>
    <row r="140" customFormat="false" ht="15" hidden="false" customHeight="false" outlineLevel="0" collapsed="false">
      <c r="A140" s="21" t="s">
        <v>189</v>
      </c>
      <c r="B140" s="21" t="s">
        <v>273</v>
      </c>
      <c r="C140" s="21" t="s">
        <v>274</v>
      </c>
      <c r="D140" s="37" t="n">
        <f aca="false">ROUND(Q140*R140,0)</f>
        <v>440</v>
      </c>
      <c r="E140" s="37" t="n">
        <f aca="false">ROUND(Q140,0)-D140</f>
        <v>376</v>
      </c>
      <c r="F140" s="37" t="n">
        <f aca="false">IF(COUNTA(D140:E140)=0,"",SUM(D140:E140))</f>
        <v>816</v>
      </c>
      <c r="G140" s="52" t="n">
        <f aca="false">IF(OR(F140="",F140=0),"",D140/F140)</f>
        <v>0.53921568627451</v>
      </c>
      <c r="H140" s="52" t="n">
        <f aca="false">IF(OR(F140="",F140=0),"",E140/F140)</f>
        <v>0.46078431372549</v>
      </c>
      <c r="I140" s="21" t="s">
        <v>122</v>
      </c>
      <c r="J140" s="53" t="n">
        <v>1.80877416096373</v>
      </c>
      <c r="K140" s="52" t="n">
        <f aca="false">IF(G140="","",MAX(0,G140-J140/100))</f>
        <v>0.521127944664872</v>
      </c>
      <c r="L140" s="52" t="n">
        <f aca="false">IF(G140="","",MIN(1,G140+J140/100))</f>
        <v>0.557303427884147</v>
      </c>
      <c r="M140" s="37" t="n">
        <f aca="false">IF(F140="","",ROUND(F140*J140/100,0))</f>
        <v>15</v>
      </c>
      <c r="P140" s="54" t="n">
        <v>4.50503891332157</v>
      </c>
      <c r="Q140" s="55" t="n">
        <f aca="false">T140*$H$5</f>
        <v>816.283916083916</v>
      </c>
      <c r="R140" s="56" t="n">
        <f aca="false">MAX(0,MIN(1,P140/100+$D$5))</f>
        <v>0.538553624022104</v>
      </c>
      <c r="S140" s="57" t="s">
        <v>132</v>
      </c>
      <c r="T140" s="55" t="n">
        <v>816.283916083916</v>
      </c>
    </row>
    <row r="141" customFormat="false" ht="15" hidden="false" customHeight="false" outlineLevel="0" collapsed="false">
      <c r="A141" s="21" t="s">
        <v>189</v>
      </c>
      <c r="B141" s="21" t="s">
        <v>273</v>
      </c>
      <c r="C141" s="21" t="s">
        <v>275</v>
      </c>
      <c r="D141" s="37" t="n">
        <f aca="false">ROUND(Q141*R141,0)</f>
        <v>437</v>
      </c>
      <c r="E141" s="37" t="n">
        <f aca="false">ROUND(Q141,0)-D141</f>
        <v>386</v>
      </c>
      <c r="F141" s="37" t="n">
        <f aca="false">IF(COUNTA(D141:E141)=0,"",SUM(D141:E141))</f>
        <v>823</v>
      </c>
      <c r="G141" s="52" t="n">
        <f aca="false">IF(OR(F141="",F141=0),"",D141/F141)</f>
        <v>0.530984204131227</v>
      </c>
      <c r="H141" s="52" t="n">
        <f aca="false">IF(OR(F141="",F141=0),"",E141/F141)</f>
        <v>0.469015795868773</v>
      </c>
      <c r="I141" s="21" t="s">
        <v>122</v>
      </c>
      <c r="J141" s="53" t="n">
        <v>1.80877416096373</v>
      </c>
      <c r="K141" s="52" t="n">
        <f aca="false">IF(G141="","",MAX(0,G141-J141/100))</f>
        <v>0.51289646252159</v>
      </c>
      <c r="L141" s="52" t="n">
        <f aca="false">IF(G141="","",MIN(1,G141+J141/100))</f>
        <v>0.549071945740865</v>
      </c>
      <c r="M141" s="37" t="n">
        <f aca="false">IF(F141="","",ROUND(F141*J141/100,0))</f>
        <v>15</v>
      </c>
      <c r="P141" s="54" t="n">
        <v>3.72258452273163</v>
      </c>
      <c r="Q141" s="55" t="n">
        <f aca="false">T141*$H$5</f>
        <v>823.491577335375</v>
      </c>
      <c r="R141" s="56" t="n">
        <f aca="false">MAX(0,MIN(1,P141/100+$D$5))</f>
        <v>0.530729080116205</v>
      </c>
      <c r="S141" s="57" t="s">
        <v>132</v>
      </c>
      <c r="T141" s="55" t="n">
        <v>823.491577335375</v>
      </c>
    </row>
    <row r="142" customFormat="false" ht="15" hidden="false" customHeight="false" outlineLevel="0" collapsed="false">
      <c r="A142" s="21" t="s">
        <v>189</v>
      </c>
      <c r="B142" s="21" t="s">
        <v>273</v>
      </c>
      <c r="C142" s="21" t="s">
        <v>276</v>
      </c>
      <c r="D142" s="37" t="n">
        <f aca="false">ROUND(Q142*R142,0)</f>
        <v>634</v>
      </c>
      <c r="E142" s="37" t="n">
        <f aca="false">ROUND(Q142,0)-D142</f>
        <v>597</v>
      </c>
      <c r="F142" s="37" t="n">
        <f aca="false">IF(COUNTA(D142:E142)=0,"",SUM(D142:E142))</f>
        <v>1231</v>
      </c>
      <c r="G142" s="52" t="n">
        <f aca="false">IF(OR(F142="",F142=0),"",D142/F142)</f>
        <v>0.515028432168968</v>
      </c>
      <c r="H142" s="52" t="n">
        <f aca="false">IF(OR(F142="",F142=0),"",E142/F142)</f>
        <v>0.484971567831032</v>
      </c>
      <c r="I142" s="21" t="s">
        <v>122</v>
      </c>
      <c r="J142" s="53" t="n">
        <v>1.24981746705324</v>
      </c>
      <c r="K142" s="52" t="n">
        <f aca="false">IF(G142="","",MAX(0,G142-J142/100))</f>
        <v>0.502530257498436</v>
      </c>
      <c r="L142" s="52" t="n">
        <f aca="false">IF(G142="","",MIN(1,G142+J142/100))</f>
        <v>0.527526606839501</v>
      </c>
      <c r="M142" s="37" t="n">
        <f aca="false">IF(F142="","",ROUND(F142*J142/100,0))</f>
        <v>15</v>
      </c>
      <c r="P142" s="54" t="n">
        <v>2.15459510062226</v>
      </c>
      <c r="Q142" s="55" t="n">
        <f aca="false">T142*$H$5</f>
        <v>1230.51149425287</v>
      </c>
      <c r="R142" s="56" t="n">
        <f aca="false">MAX(0,MIN(1,P142/100+$D$5))</f>
        <v>0.515049185895111</v>
      </c>
      <c r="S142" s="57" t="s">
        <v>225</v>
      </c>
      <c r="T142" s="55" t="n">
        <v>1230.51149425287</v>
      </c>
    </row>
    <row r="143" customFormat="false" ht="15" hidden="false" customHeight="false" outlineLevel="0" collapsed="false">
      <c r="A143" s="21" t="s">
        <v>189</v>
      </c>
      <c r="B143" s="21" t="s">
        <v>273</v>
      </c>
      <c r="C143" s="21" t="s">
        <v>277</v>
      </c>
      <c r="D143" s="37" t="n">
        <f aca="false">ROUND(Q143*R143,0)</f>
        <v>514</v>
      </c>
      <c r="E143" s="37" t="n">
        <f aca="false">ROUND(Q143,0)-D143</f>
        <v>413</v>
      </c>
      <c r="F143" s="37" t="n">
        <f aca="false">IF(COUNTA(D143:E143)=0,"",SUM(D143:E143))</f>
        <v>927</v>
      </c>
      <c r="G143" s="52" t="n">
        <f aca="false">IF(OR(F143="",F143=0),"",D143/F143)</f>
        <v>0.554476806903991</v>
      </c>
      <c r="H143" s="52" t="n">
        <f aca="false">IF(OR(F143="",F143=0),"",E143/F143)</f>
        <v>0.445523193096009</v>
      </c>
      <c r="I143" s="21" t="s">
        <v>122</v>
      </c>
      <c r="J143" s="53" t="n">
        <v>1.80877416096373</v>
      </c>
      <c r="K143" s="52" t="n">
        <f aca="false">IF(G143="","",MAX(0,G143-J143/100))</f>
        <v>0.536389065294354</v>
      </c>
      <c r="L143" s="52" t="n">
        <f aca="false">IF(G143="","",MIN(1,G143+J143/100))</f>
        <v>0.572564548513629</v>
      </c>
      <c r="M143" s="37" t="n">
        <f aca="false">IF(F143="","",ROUND(F143*J143/100,0))</f>
        <v>17</v>
      </c>
      <c r="P143" s="54" t="n">
        <v>6.04697842205972</v>
      </c>
      <c r="Q143" s="55" t="n">
        <f aca="false">T143*$H$5</f>
        <v>927.10447761194</v>
      </c>
      <c r="R143" s="56" t="n">
        <f aca="false">MAX(0,MIN(1,P143/100+$D$5))</f>
        <v>0.553973019109485</v>
      </c>
      <c r="S143" s="57" t="s">
        <v>132</v>
      </c>
      <c r="T143" s="55" t="n">
        <v>927.10447761194</v>
      </c>
    </row>
    <row r="144" customFormat="false" ht="15" hidden="false" customHeight="false" outlineLevel="0" collapsed="false">
      <c r="A144" s="21" t="s">
        <v>189</v>
      </c>
      <c r="B144" s="21" t="s">
        <v>273</v>
      </c>
      <c r="C144" s="21" t="s">
        <v>278</v>
      </c>
      <c r="D144" s="37" t="n">
        <f aca="false">ROUND(Q144*R144,0)</f>
        <v>291</v>
      </c>
      <c r="E144" s="37" t="n">
        <f aca="false">ROUND(Q144,0)-D144</f>
        <v>280</v>
      </c>
      <c r="F144" s="37" t="n">
        <f aca="false">IF(COUNTA(D144:E144)=0,"",SUM(D144:E144))</f>
        <v>571</v>
      </c>
      <c r="G144" s="52" t="n">
        <f aca="false">IF(OR(F144="",F144=0),"",D144/F144)</f>
        <v>0.509632224168126</v>
      </c>
      <c r="H144" s="52" t="n">
        <f aca="false">IF(OR(F144="",F144=0),"",E144/F144)</f>
        <v>0.490367775831874</v>
      </c>
      <c r="I144" s="21" t="s">
        <v>122</v>
      </c>
      <c r="J144" s="53" t="n">
        <v>3.02363014511423</v>
      </c>
      <c r="K144" s="52" t="n">
        <f aca="false">IF(G144="","",MAX(0,G144-J144/100))</f>
        <v>0.479395922716984</v>
      </c>
      <c r="L144" s="52" t="n">
        <f aca="false">IF(G144="","",MIN(1,G144+J144/100))</f>
        <v>0.539868525619269</v>
      </c>
      <c r="M144" s="37" t="n">
        <f aca="false">IF(F144="","",ROUND(F144*J144/100,0))</f>
        <v>17</v>
      </c>
      <c r="P144" s="54" t="n">
        <v>1.61221420292062</v>
      </c>
      <c r="Q144" s="55" t="n">
        <f aca="false">T144*$H$5</f>
        <v>571.471747700394</v>
      </c>
      <c r="R144" s="56" t="n">
        <f aca="false">MAX(0,MIN(1,P144/100+$D$5))</f>
        <v>0.509625376918094</v>
      </c>
      <c r="S144" s="57" t="s">
        <v>123</v>
      </c>
      <c r="T144" s="55" t="n">
        <v>571.471747700394</v>
      </c>
    </row>
    <row r="145" customFormat="false" ht="15" hidden="false" customHeight="false" outlineLevel="0" collapsed="false">
      <c r="A145" s="21" t="s">
        <v>189</v>
      </c>
      <c r="B145" s="21" t="s">
        <v>273</v>
      </c>
      <c r="C145" s="21" t="s">
        <v>279</v>
      </c>
      <c r="D145" s="37" t="n">
        <f aca="false">ROUND(Q145*R145,0)</f>
        <v>577</v>
      </c>
      <c r="E145" s="37" t="n">
        <f aca="false">ROUND(Q145,0)-D145</f>
        <v>428</v>
      </c>
      <c r="F145" s="37" t="n">
        <f aca="false">IF(COUNTA(D145:E145)=0,"",SUM(D145:E145))</f>
        <v>1005</v>
      </c>
      <c r="G145" s="52" t="n">
        <f aca="false">IF(OR(F145="",F145=0),"",D145/F145)</f>
        <v>0.574129353233831</v>
      </c>
      <c r="H145" s="52" t="n">
        <f aca="false">IF(OR(F145="",F145=0),"",E145/F145)</f>
        <v>0.425870646766169</v>
      </c>
      <c r="I145" s="21" t="s">
        <v>122</v>
      </c>
      <c r="J145" s="53" t="n">
        <v>1.80877416096373</v>
      </c>
      <c r="K145" s="52" t="n">
        <f aca="false">IF(G145="","",MAX(0,G145-J145/100))</f>
        <v>0.556041611624194</v>
      </c>
      <c r="L145" s="52" t="n">
        <f aca="false">IF(G145="","",MIN(1,G145+J145/100))</f>
        <v>0.592217094843468</v>
      </c>
      <c r="M145" s="37" t="n">
        <f aca="false">IF(F145="","",ROUND(F145*J145/100,0))</f>
        <v>18</v>
      </c>
      <c r="P145" s="54" t="n">
        <v>8.06180834384392</v>
      </c>
      <c r="Q145" s="55" t="n">
        <f aca="false">T145*$H$5</f>
        <v>1004.53991291727</v>
      </c>
      <c r="R145" s="56" t="n">
        <f aca="false">MAX(0,MIN(1,P145/100+$D$5))</f>
        <v>0.574121318327327</v>
      </c>
      <c r="S145" s="57" t="s">
        <v>132</v>
      </c>
      <c r="T145" s="55" t="n">
        <v>1004.53991291727</v>
      </c>
    </row>
    <row r="146" customFormat="false" ht="15" hidden="false" customHeight="false" outlineLevel="0" collapsed="false">
      <c r="A146" s="21" t="s">
        <v>189</v>
      </c>
      <c r="B146" s="21" t="s">
        <v>280</v>
      </c>
      <c r="C146" s="21" t="s">
        <v>281</v>
      </c>
      <c r="D146" s="37" t="n">
        <f aca="false">ROUND(Q146*R146,0)</f>
        <v>405</v>
      </c>
      <c r="E146" s="37" t="n">
        <f aca="false">ROUND(Q146,0)-D146</f>
        <v>198</v>
      </c>
      <c r="F146" s="37" t="n">
        <f aca="false">IF(COUNTA(D146:E146)=0,"",SUM(D146:E146))</f>
        <v>603</v>
      </c>
      <c r="G146" s="52" t="n">
        <f aca="false">IF(OR(F146="",F146=0),"",D146/F146)</f>
        <v>0.671641791044776</v>
      </c>
      <c r="H146" s="52" t="n">
        <f aca="false">IF(OR(F146="",F146=0),"",E146/F146)</f>
        <v>0.328358208955224</v>
      </c>
      <c r="I146" s="21" t="s">
        <v>122</v>
      </c>
      <c r="J146" s="53" t="n">
        <v>3.02363014511423</v>
      </c>
      <c r="K146" s="52" t="n">
        <f aca="false">IF(G146="","",MAX(0,G146-J146/100))</f>
        <v>0.641405489593634</v>
      </c>
      <c r="L146" s="52" t="n">
        <f aca="false">IF(G146="","",MIN(1,G146+J146/100))</f>
        <v>0.701878092495919</v>
      </c>
      <c r="M146" s="37" t="n">
        <f aca="false">IF(F146="","",ROUND(F146*J146/100,0))</f>
        <v>18</v>
      </c>
      <c r="P146" s="54" t="n">
        <v>17.8137685883165</v>
      </c>
      <c r="Q146" s="55" t="n">
        <f aca="false">T146*$H$5</f>
        <v>603.200953137411</v>
      </c>
      <c r="R146" s="56" t="n">
        <f aca="false">MAX(0,MIN(1,P146/100+$D$5))</f>
        <v>0.671640920772053</v>
      </c>
      <c r="S146" s="57" t="s">
        <v>123</v>
      </c>
      <c r="T146" s="55" t="n">
        <v>603.200953137411</v>
      </c>
    </row>
    <row r="147" customFormat="false" ht="15" hidden="false" customHeight="false" outlineLevel="0" collapsed="false">
      <c r="A147" s="21" t="s">
        <v>189</v>
      </c>
      <c r="B147" s="21" t="s">
        <v>280</v>
      </c>
      <c r="C147" s="21" t="s">
        <v>282</v>
      </c>
      <c r="D147" s="37" t="n">
        <f aca="false">ROUND(Q147*R147,0)</f>
        <v>311</v>
      </c>
      <c r="E147" s="37" t="n">
        <f aca="false">ROUND(Q147,0)-D147</f>
        <v>173</v>
      </c>
      <c r="F147" s="37" t="n">
        <f aca="false">IF(COUNTA(D147:E147)=0,"",SUM(D147:E147))</f>
        <v>484</v>
      </c>
      <c r="G147" s="52" t="n">
        <f aca="false">IF(OR(F147="",F147=0),"",D147/F147)</f>
        <v>0.642561983471074</v>
      </c>
      <c r="H147" s="52" t="n">
        <f aca="false">IF(OR(F147="",F147=0),"",E147/F147)</f>
        <v>0.357438016528926</v>
      </c>
      <c r="I147" s="21" t="s">
        <v>122</v>
      </c>
      <c r="J147" s="53" t="n">
        <v>3.02363014511423</v>
      </c>
      <c r="K147" s="52" t="n">
        <f aca="false">IF(G147="","",MAX(0,G147-J147/100))</f>
        <v>0.612325682019932</v>
      </c>
      <c r="L147" s="52" t="n">
        <f aca="false">IF(G147="","",MIN(1,G147+J147/100))</f>
        <v>0.672798284922217</v>
      </c>
      <c r="M147" s="37" t="n">
        <f aca="false">IF(F147="","",ROUND(F147*J147/100,0))</f>
        <v>15</v>
      </c>
      <c r="P147" s="54" t="n">
        <v>14.8652237694206</v>
      </c>
      <c r="Q147" s="55" t="n">
        <f aca="false">T147*$H$5</f>
        <v>483.987301587302</v>
      </c>
      <c r="R147" s="56" t="n">
        <f aca="false">MAX(0,MIN(1,P147/100+$D$5))</f>
        <v>0.642155472583094</v>
      </c>
      <c r="S147" s="57" t="s">
        <v>123</v>
      </c>
      <c r="T147" s="55" t="n">
        <v>483.987301587302</v>
      </c>
    </row>
    <row r="148" customFormat="false" ht="15" hidden="false" customHeight="false" outlineLevel="0" collapsed="false">
      <c r="A148" s="21" t="s">
        <v>189</v>
      </c>
      <c r="B148" s="21" t="s">
        <v>280</v>
      </c>
      <c r="C148" s="21" t="s">
        <v>283</v>
      </c>
      <c r="D148" s="37" t="n">
        <f aca="false">ROUND(Q148*R148,0)</f>
        <v>339</v>
      </c>
      <c r="E148" s="37" t="n">
        <f aca="false">ROUND(Q148,0)-D148</f>
        <v>176</v>
      </c>
      <c r="F148" s="37" t="n">
        <f aca="false">IF(COUNTA(D148:E148)=0,"",SUM(D148:E148))</f>
        <v>515</v>
      </c>
      <c r="G148" s="52" t="n">
        <f aca="false">IF(OR(F148="",F148=0),"",D148/F148)</f>
        <v>0.658252427184466</v>
      </c>
      <c r="H148" s="52" t="n">
        <f aca="false">IF(OR(F148="",F148=0),"",E148/F148)</f>
        <v>0.341747572815534</v>
      </c>
      <c r="I148" s="21" t="s">
        <v>122</v>
      </c>
      <c r="J148" s="53" t="n">
        <v>3.02363014511423</v>
      </c>
      <c r="K148" s="52" t="n">
        <f aca="false">IF(G148="","",MAX(0,G148-J148/100))</f>
        <v>0.628016125733324</v>
      </c>
      <c r="L148" s="52" t="n">
        <f aca="false">IF(G148="","",MIN(1,G148+J148/100))</f>
        <v>0.688488728635608</v>
      </c>
      <c r="M148" s="37" t="n">
        <f aca="false">IF(F148="","",ROUND(F148*J148/100,0))</f>
        <v>16</v>
      </c>
      <c r="P148" s="54" t="n">
        <v>16.5111844218502</v>
      </c>
      <c r="Q148" s="55" t="n">
        <f aca="false">T148*$H$5</f>
        <v>515.312883435583</v>
      </c>
      <c r="R148" s="56" t="n">
        <f aca="false">MAX(0,MIN(1,P148/100+$D$5))</f>
        <v>0.65861507910739</v>
      </c>
      <c r="S148" s="57" t="s">
        <v>123</v>
      </c>
      <c r="T148" s="55" t="n">
        <v>515.312883435583</v>
      </c>
    </row>
    <row r="149" customFormat="false" ht="15" hidden="false" customHeight="false" outlineLevel="0" collapsed="false">
      <c r="A149" s="21" t="s">
        <v>189</v>
      </c>
      <c r="B149" s="21" t="s">
        <v>284</v>
      </c>
      <c r="C149" s="21" t="s">
        <v>284</v>
      </c>
      <c r="D149" s="37" t="n">
        <f aca="false">ROUND(Q149*R149,0)</f>
        <v>266</v>
      </c>
      <c r="E149" s="37" t="n">
        <f aca="false">ROUND(Q149,0)-D149</f>
        <v>218</v>
      </c>
      <c r="F149" s="37" t="n">
        <f aca="false">IF(COUNTA(D149:E149)=0,"",SUM(D149:E149))</f>
        <v>484</v>
      </c>
      <c r="G149" s="52" t="n">
        <f aca="false">IF(OR(F149="",F149=0),"",D149/F149)</f>
        <v>0.549586776859504</v>
      </c>
      <c r="H149" s="52" t="n">
        <f aca="false">IF(OR(F149="",F149=0),"",E149/F149)</f>
        <v>0.450413223140496</v>
      </c>
      <c r="I149" s="21" t="s">
        <v>122</v>
      </c>
      <c r="J149" s="53" t="n">
        <v>3.02363014511423</v>
      </c>
      <c r="K149" s="52" t="n">
        <f aca="false">IF(G149="","",MAX(0,G149-J149/100))</f>
        <v>0.519350475408362</v>
      </c>
      <c r="L149" s="52" t="n">
        <f aca="false">IF(G149="","",MIN(1,G149+J149/100))</f>
        <v>0.579823078310646</v>
      </c>
      <c r="M149" s="37" t="n">
        <f aca="false">IF(F149="","",ROUND(F149*J149/100,0))</f>
        <v>15</v>
      </c>
      <c r="P149" s="54" t="n">
        <v>5.59151791107694</v>
      </c>
      <c r="Q149" s="55" t="n">
        <f aca="false">T149*$H$5</f>
        <v>483.913480885312</v>
      </c>
      <c r="R149" s="56" t="n">
        <f aca="false">MAX(0,MIN(1,P149/100+$D$5))</f>
        <v>0.549418413999658</v>
      </c>
      <c r="S149" s="57" t="s">
        <v>123</v>
      </c>
      <c r="T149" s="55" t="n">
        <v>483.913480885312</v>
      </c>
    </row>
    <row r="150" customFormat="false" ht="15" hidden="false" customHeight="false" outlineLevel="0" collapsed="false">
      <c r="A150" s="21" t="s">
        <v>189</v>
      </c>
      <c r="B150" s="21" t="s">
        <v>285</v>
      </c>
      <c r="C150" s="21" t="s">
        <v>285</v>
      </c>
      <c r="D150" s="37" t="n">
        <f aca="false">ROUND(Q150*R150,0)</f>
        <v>526</v>
      </c>
      <c r="E150" s="37" t="n">
        <f aca="false">ROUND(Q150,0)-D150</f>
        <v>1131</v>
      </c>
      <c r="F150" s="37" t="n">
        <f aca="false">IF(COUNTA(D150:E150)=0,"",SUM(D150:E150))</f>
        <v>1657</v>
      </c>
      <c r="G150" s="52" t="n">
        <f aca="false">IF(OR(F150="",F150=0),"",D150/F150)</f>
        <v>0.317441158720579</v>
      </c>
      <c r="H150" s="52" t="n">
        <f aca="false">IF(OR(F150="",F150=0),"",E150/F150)</f>
        <v>0.682558841279421</v>
      </c>
      <c r="I150" s="21" t="s">
        <v>122</v>
      </c>
      <c r="J150" s="53" t="n">
        <v>1.24981746705324</v>
      </c>
      <c r="K150" s="52" t="n">
        <f aca="false">IF(G150="","",MAX(0,G150-J150/100))</f>
        <v>0.304942984050047</v>
      </c>
      <c r="L150" s="52" t="n">
        <f aca="false">IF(G150="","",MIN(1,G150+J150/100))</f>
        <v>0.329939333391112</v>
      </c>
      <c r="M150" s="37" t="n">
        <f aca="false">IF(F150="","",ROUND(F150*J150/100,0))</f>
        <v>21</v>
      </c>
      <c r="P150" s="54" t="n">
        <v>-17.5966482639039</v>
      </c>
      <c r="Q150" s="55" t="n">
        <f aca="false">T150*$H$5</f>
        <v>1656.73758865248</v>
      </c>
      <c r="R150" s="56" t="n">
        <f aca="false">MAX(0,MIN(1,P150/100+$D$5))</f>
        <v>0.31753675224985</v>
      </c>
      <c r="S150" s="57" t="s">
        <v>225</v>
      </c>
      <c r="T150" s="55" t="n">
        <v>1656.73758865248</v>
      </c>
    </row>
    <row r="151" customFormat="false" ht="15" hidden="false" customHeight="false" outlineLevel="0" collapsed="false">
      <c r="A151" s="21" t="s">
        <v>189</v>
      </c>
      <c r="B151" s="21" t="s">
        <v>286</v>
      </c>
      <c r="C151" s="21" t="s">
        <v>287</v>
      </c>
      <c r="D151" s="37" t="n">
        <f aca="false">ROUND(Q151*R151,0)</f>
        <v>779</v>
      </c>
      <c r="E151" s="37" t="n">
        <f aca="false">ROUND(Q151,0)-D151</f>
        <v>761</v>
      </c>
      <c r="F151" s="37" t="n">
        <f aca="false">IF(COUNTA(D151:E151)=0,"",SUM(D151:E151))</f>
        <v>1540</v>
      </c>
      <c r="G151" s="52" t="n">
        <f aca="false">IF(OR(F151="",F151=0),"",D151/F151)</f>
        <v>0.505844155844156</v>
      </c>
      <c r="H151" s="52" t="n">
        <f aca="false">IF(OR(F151="",F151=0),"",E151/F151)</f>
        <v>0.494155844155844</v>
      </c>
      <c r="I151" s="21" t="s">
        <v>122</v>
      </c>
      <c r="J151" s="53" t="n">
        <v>1.24981746705324</v>
      </c>
      <c r="K151" s="52" t="n">
        <f aca="false">IF(G151="","",MAX(0,G151-J151/100))</f>
        <v>0.493345981173623</v>
      </c>
      <c r="L151" s="52" t="n">
        <f aca="false">IF(G151="","",MIN(1,G151+J151/100))</f>
        <v>0.518342330514688</v>
      </c>
      <c r="M151" s="37" t="n">
        <f aca="false">IF(F151="","",ROUND(F151*J151/100,0))</f>
        <v>19</v>
      </c>
      <c r="P151" s="54" t="n">
        <v>1.19660834986304</v>
      </c>
      <c r="Q151" s="55" t="n">
        <f aca="false">T151*$H$5</f>
        <v>1540.493339254</v>
      </c>
      <c r="R151" s="56" t="n">
        <f aca="false">MAX(0,MIN(1,P151/100+$D$5))</f>
        <v>0.505469318387519</v>
      </c>
      <c r="S151" s="57" t="s">
        <v>225</v>
      </c>
      <c r="T151" s="55" t="n">
        <v>1540.493339254</v>
      </c>
    </row>
    <row r="152" customFormat="false" ht="15" hidden="false" customHeight="false" outlineLevel="0" collapsed="false">
      <c r="A152" s="21" t="s">
        <v>189</v>
      </c>
      <c r="B152" s="21" t="s">
        <v>286</v>
      </c>
      <c r="C152" s="21" t="s">
        <v>288</v>
      </c>
      <c r="D152" s="37" t="n">
        <f aca="false">ROUND(Q152*R152,0)</f>
        <v>866</v>
      </c>
      <c r="E152" s="37" t="n">
        <f aca="false">ROUND(Q152,0)-D152</f>
        <v>829</v>
      </c>
      <c r="F152" s="37" t="n">
        <f aca="false">IF(COUNTA(D152:E152)=0,"",SUM(D152:E152))</f>
        <v>1695</v>
      </c>
      <c r="G152" s="52" t="n">
        <f aca="false">IF(OR(F152="",F152=0),"",D152/F152)</f>
        <v>0.510914454277286</v>
      </c>
      <c r="H152" s="52" t="n">
        <f aca="false">IF(OR(F152="",F152=0),"",E152/F152)</f>
        <v>0.489085545722714</v>
      </c>
      <c r="I152" s="21" t="s">
        <v>122</v>
      </c>
      <c r="J152" s="53" t="n">
        <v>1.24981746705324</v>
      </c>
      <c r="K152" s="52" t="n">
        <f aca="false">IF(G152="","",MAX(0,G152-J152/100))</f>
        <v>0.498416279606754</v>
      </c>
      <c r="L152" s="52" t="n">
        <f aca="false">IF(G152="","",MIN(1,G152+J152/100))</f>
        <v>0.523412628947819</v>
      </c>
      <c r="M152" s="37" t="n">
        <f aca="false">IF(F152="","",ROUND(F152*J152/100,0))</f>
        <v>21</v>
      </c>
      <c r="P152" s="54" t="n">
        <v>1.72726321822735</v>
      </c>
      <c r="Q152" s="55" t="n">
        <f aca="false">T152*$H$5</f>
        <v>1695.44705882353</v>
      </c>
      <c r="R152" s="56" t="n">
        <f aca="false">MAX(0,MIN(1,P152/100+$D$5))</f>
        <v>0.510775867071162</v>
      </c>
      <c r="S152" s="57" t="s">
        <v>225</v>
      </c>
      <c r="T152" s="55" t="n">
        <v>1695.44705882353</v>
      </c>
    </row>
    <row r="153" customFormat="false" ht="15" hidden="false" customHeight="false" outlineLevel="0" collapsed="false">
      <c r="A153" s="21" t="s">
        <v>189</v>
      </c>
      <c r="B153" s="21" t="s">
        <v>286</v>
      </c>
      <c r="C153" s="21" t="s">
        <v>289</v>
      </c>
      <c r="D153" s="37" t="n">
        <f aca="false">ROUND(Q153*R153,0)</f>
        <v>1510</v>
      </c>
      <c r="E153" s="37" t="n">
        <f aca="false">ROUND(Q153,0)-D153</f>
        <v>1455</v>
      </c>
      <c r="F153" s="37" t="n">
        <f aca="false">IF(COUNTA(D153:E153)=0,"",SUM(D153:E153))</f>
        <v>2965</v>
      </c>
      <c r="G153" s="52" t="n">
        <f aca="false">IF(OR(F153="",F153=0),"",D153/F153)</f>
        <v>0.509274873524452</v>
      </c>
      <c r="H153" s="52" t="n">
        <f aca="false">IF(OR(F153="",F153=0),"",E153/F153)</f>
        <v>0.490725126475548</v>
      </c>
      <c r="I153" s="21" t="s">
        <v>122</v>
      </c>
      <c r="J153" s="53" t="n">
        <v>1.24981746705324</v>
      </c>
      <c r="K153" s="52" t="n">
        <f aca="false">IF(G153="","",MAX(0,G153-J153/100))</f>
        <v>0.496776698853919</v>
      </c>
      <c r="L153" s="52" t="n">
        <f aca="false">IF(G153="","",MIN(1,G153+J153/100))</f>
        <v>0.521773048194984</v>
      </c>
      <c r="M153" s="37" t="n">
        <f aca="false">IF(F153="","",ROUND(F153*J153/100,0))</f>
        <v>37</v>
      </c>
      <c r="P153" s="54" t="n">
        <v>1.57051100864372</v>
      </c>
      <c r="Q153" s="55" t="n">
        <f aca="false">T153*$H$5</f>
        <v>2965.37262012693</v>
      </c>
      <c r="R153" s="56" t="n">
        <f aca="false">MAX(0,MIN(1,P153/100+$D$5))</f>
        <v>0.509208344975325</v>
      </c>
      <c r="S153" s="57" t="s">
        <v>225</v>
      </c>
      <c r="T153" s="55" t="n">
        <v>2965.37262012693</v>
      </c>
    </row>
    <row r="154" customFormat="false" ht="15" hidden="false" customHeight="false" outlineLevel="0" collapsed="false">
      <c r="A154" s="21" t="s">
        <v>189</v>
      </c>
      <c r="B154" s="21" t="s">
        <v>286</v>
      </c>
      <c r="C154" s="21" t="s">
        <v>290</v>
      </c>
      <c r="D154" s="37" t="n">
        <f aca="false">ROUND(Q154*R154,0)</f>
        <v>760</v>
      </c>
      <c r="E154" s="37" t="n">
        <f aca="false">ROUND(Q154,0)-D154</f>
        <v>748</v>
      </c>
      <c r="F154" s="37" t="n">
        <f aca="false">IF(COUNTA(D154:E154)=0,"",SUM(D154:E154))</f>
        <v>1508</v>
      </c>
      <c r="G154" s="52" t="n">
        <f aca="false">IF(OR(F154="",F154=0),"",D154/F154)</f>
        <v>0.503978779840849</v>
      </c>
      <c r="H154" s="52" t="n">
        <f aca="false">IF(OR(F154="",F154=0),"",E154/F154)</f>
        <v>0.496021220159151</v>
      </c>
      <c r="I154" s="21" t="s">
        <v>122</v>
      </c>
      <c r="J154" s="53" t="n">
        <v>1.24981746705324</v>
      </c>
      <c r="K154" s="52" t="n">
        <f aca="false">IF(G154="","",MAX(0,G154-J154/100))</f>
        <v>0.491480605170316</v>
      </c>
      <c r="L154" s="52" t="n">
        <f aca="false">IF(G154="","",MIN(1,G154+J154/100))</f>
        <v>0.516476954511381</v>
      </c>
      <c r="M154" s="37" t="n">
        <f aca="false">IF(F154="","",ROUND(F154*J154/100,0))</f>
        <v>19</v>
      </c>
      <c r="P154" s="54" t="n">
        <v>1.04597683214837</v>
      </c>
      <c r="Q154" s="55" t="n">
        <f aca="false">T154*$H$5</f>
        <v>1507.62659380692</v>
      </c>
      <c r="R154" s="56" t="n">
        <f aca="false">MAX(0,MIN(1,P154/100+$D$5))</f>
        <v>0.503963003210372</v>
      </c>
      <c r="S154" s="57" t="s">
        <v>225</v>
      </c>
      <c r="T154" s="55" t="n">
        <v>1507.62659380692</v>
      </c>
    </row>
    <row r="155" customFormat="false" ht="15" hidden="false" customHeight="false" outlineLevel="0" collapsed="false">
      <c r="A155" s="21" t="s">
        <v>189</v>
      </c>
      <c r="B155" s="21" t="s">
        <v>286</v>
      </c>
      <c r="C155" s="21" t="s">
        <v>291</v>
      </c>
      <c r="D155" s="37" t="n">
        <f aca="false">ROUND(Q155*R155,0)</f>
        <v>697</v>
      </c>
      <c r="E155" s="37" t="n">
        <f aca="false">ROUND(Q155,0)-D155</f>
        <v>687</v>
      </c>
      <c r="F155" s="37" t="n">
        <f aca="false">IF(COUNTA(D155:E155)=0,"",SUM(D155:E155))</f>
        <v>1384</v>
      </c>
      <c r="G155" s="52" t="n">
        <f aca="false">IF(OR(F155="",F155=0),"",D155/F155)</f>
        <v>0.503612716763006</v>
      </c>
      <c r="H155" s="52" t="n">
        <f aca="false">IF(OR(F155="",F155=0),"",E155/F155)</f>
        <v>0.496387283236994</v>
      </c>
      <c r="I155" s="21" t="s">
        <v>122</v>
      </c>
      <c r="J155" s="53" t="n">
        <v>1.24981746705324</v>
      </c>
      <c r="K155" s="52" t="n">
        <f aca="false">IF(G155="","",MAX(0,G155-J155/100))</f>
        <v>0.491114542092473</v>
      </c>
      <c r="L155" s="52" t="n">
        <f aca="false">IF(G155="","",MIN(1,G155+J155/100))</f>
        <v>0.516110891433538</v>
      </c>
      <c r="M155" s="37" t="n">
        <f aca="false">IF(F155="","",ROUND(F155*J155/100,0))</f>
        <v>17</v>
      </c>
      <c r="P155" s="54" t="n">
        <v>0.985204888405447</v>
      </c>
      <c r="Q155" s="55" t="n">
        <f aca="false">T155*$H$5</f>
        <v>1383.95299145299</v>
      </c>
      <c r="R155" s="56" t="n">
        <f aca="false">MAX(0,MIN(1,P155/100+$D$5))</f>
        <v>0.503355283772943</v>
      </c>
      <c r="S155" s="57" t="s">
        <v>225</v>
      </c>
      <c r="T155" s="55" t="n">
        <v>1383.95299145299</v>
      </c>
    </row>
    <row r="156" customFormat="false" ht="15" hidden="false" customHeight="false" outlineLevel="0" collapsed="false">
      <c r="A156" s="21" t="s">
        <v>189</v>
      </c>
      <c r="B156" s="21" t="s">
        <v>286</v>
      </c>
      <c r="C156" s="21" t="s">
        <v>292</v>
      </c>
      <c r="D156" s="37" t="n">
        <f aca="false">ROUND(Q156*R156,0)</f>
        <v>614</v>
      </c>
      <c r="E156" s="37" t="n">
        <f aca="false">ROUND(Q156,0)-D156</f>
        <v>568</v>
      </c>
      <c r="F156" s="37" t="n">
        <f aca="false">IF(COUNTA(D156:E156)=0,"",SUM(D156:E156))</f>
        <v>1182</v>
      </c>
      <c r="G156" s="52" t="n">
        <f aca="false">IF(OR(F156="",F156=0),"",D156/F156)</f>
        <v>0.519458544839256</v>
      </c>
      <c r="H156" s="52" t="n">
        <f aca="false">IF(OR(F156="",F156=0),"",E156/F156)</f>
        <v>0.480541455160745</v>
      </c>
      <c r="I156" s="21" t="s">
        <v>122</v>
      </c>
      <c r="J156" s="53" t="n">
        <v>1.80877416096373</v>
      </c>
      <c r="K156" s="52" t="n">
        <f aca="false">IF(G156="","",MAX(0,G156-J156/100))</f>
        <v>0.501370803229618</v>
      </c>
      <c r="L156" s="52" t="n">
        <f aca="false">IF(G156="","",MIN(1,G156+J156/100))</f>
        <v>0.537546286448893</v>
      </c>
      <c r="M156" s="37" t="n">
        <f aca="false">IF(F156="","",ROUND(F156*J156/100,0))</f>
        <v>21</v>
      </c>
      <c r="P156" s="54" t="n">
        <v>2.61626738506843</v>
      </c>
      <c r="Q156" s="55" t="n">
        <f aca="false">T156*$H$5</f>
        <v>1181.67359413203</v>
      </c>
      <c r="R156" s="56" t="n">
        <f aca="false">MAX(0,MIN(1,P156/100+$D$5))</f>
        <v>0.519665908739573</v>
      </c>
      <c r="S156" s="57" t="s">
        <v>132</v>
      </c>
      <c r="T156" s="55" t="n">
        <v>1181.67359413203</v>
      </c>
    </row>
    <row r="157" customFormat="false" ht="15" hidden="false" customHeight="false" outlineLevel="0" collapsed="false">
      <c r="A157" s="21" t="s">
        <v>189</v>
      </c>
      <c r="B157" s="21" t="s">
        <v>286</v>
      </c>
      <c r="C157" s="21" t="s">
        <v>293</v>
      </c>
      <c r="D157" s="37" t="n">
        <f aca="false">ROUND(Q157*R157,0)</f>
        <v>1260</v>
      </c>
      <c r="E157" s="37" t="n">
        <f aca="false">ROUND(Q157,0)-D157</f>
        <v>1242</v>
      </c>
      <c r="F157" s="37" t="n">
        <f aca="false">IF(COUNTA(D157:E157)=0,"",SUM(D157:E157))</f>
        <v>2502</v>
      </c>
      <c r="G157" s="52" t="n">
        <f aca="false">IF(OR(F157="",F157=0),"",D157/F157)</f>
        <v>0.503597122302158</v>
      </c>
      <c r="H157" s="52" t="n">
        <f aca="false">IF(OR(F157="",F157=0),"",E157/F157)</f>
        <v>0.496402877697842</v>
      </c>
      <c r="I157" s="21" t="s">
        <v>122</v>
      </c>
      <c r="J157" s="53" t="n">
        <v>1.24981746705324</v>
      </c>
      <c r="K157" s="52" t="n">
        <f aca="false">IF(G157="","",MAX(0,G157-J157/100))</f>
        <v>0.491098947631626</v>
      </c>
      <c r="L157" s="52" t="n">
        <f aca="false">IF(G157="","",MIN(1,G157+J157/100))</f>
        <v>0.516095296972691</v>
      </c>
      <c r="M157" s="37" t="n">
        <f aca="false">IF(F157="","",ROUND(F157*J157/100,0))</f>
        <v>31</v>
      </c>
      <c r="P157" s="54" t="n">
        <v>1.01284801382193</v>
      </c>
      <c r="Q157" s="55" t="n">
        <f aca="false">T157*$H$5</f>
        <v>2501.86532550992</v>
      </c>
      <c r="R157" s="56" t="n">
        <f aca="false">MAX(0,MIN(1,P157/100+$D$5))</f>
        <v>0.503631715027108</v>
      </c>
      <c r="S157" s="57" t="s">
        <v>225</v>
      </c>
      <c r="T157" s="55" t="n">
        <v>2501.86532550992</v>
      </c>
    </row>
    <row r="158" customFormat="false" ht="15" hidden="false" customHeight="false" outlineLevel="0" collapsed="false">
      <c r="A158" s="21" t="s">
        <v>189</v>
      </c>
      <c r="B158" s="21" t="s">
        <v>286</v>
      </c>
      <c r="C158" s="21" t="s">
        <v>294</v>
      </c>
      <c r="D158" s="37" t="n">
        <f aca="false">ROUND(Q158*R158,0)</f>
        <v>701</v>
      </c>
      <c r="E158" s="37" t="n">
        <f aca="false">ROUND(Q158,0)-D158</f>
        <v>612</v>
      </c>
      <c r="F158" s="37" t="n">
        <f aca="false">IF(COUNTA(D158:E158)=0,"",SUM(D158:E158))</f>
        <v>1313</v>
      </c>
      <c r="G158" s="52" t="n">
        <f aca="false">IF(OR(F158="",F158=0),"",D158/F158)</f>
        <v>0.533891850723534</v>
      </c>
      <c r="H158" s="52" t="n">
        <f aca="false">IF(OR(F158="",F158=0),"",E158/F158)</f>
        <v>0.466108149276466</v>
      </c>
      <c r="I158" s="21" t="s">
        <v>122</v>
      </c>
      <c r="J158" s="53" t="n">
        <v>1.24981746705324</v>
      </c>
      <c r="K158" s="52" t="n">
        <f aca="false">IF(G158="","",MAX(0,G158-J158/100))</f>
        <v>0.521393676053002</v>
      </c>
      <c r="L158" s="52" t="n">
        <f aca="false">IF(G158="","",MIN(1,G158+J158/100))</f>
        <v>0.546390025394066</v>
      </c>
      <c r="M158" s="37" t="n">
        <f aca="false">IF(F158="","",ROUND(F158*J158/100,0))</f>
        <v>16</v>
      </c>
      <c r="P158" s="54" t="n">
        <v>4.02002630724659</v>
      </c>
      <c r="Q158" s="55" t="n">
        <f aca="false">T158*$H$5</f>
        <v>1312.71</v>
      </c>
      <c r="R158" s="56" t="n">
        <f aca="false">MAX(0,MIN(1,P158/100+$D$5))</f>
        <v>0.533703497961354</v>
      </c>
      <c r="S158" s="57" t="s">
        <v>225</v>
      </c>
      <c r="T158" s="55" t="n">
        <v>1312.71</v>
      </c>
    </row>
    <row r="159" customFormat="false" ht="15" hidden="false" customHeight="false" outlineLevel="0" collapsed="false">
      <c r="A159" s="21" t="s">
        <v>189</v>
      </c>
      <c r="B159" s="21" t="s">
        <v>286</v>
      </c>
      <c r="C159" s="21" t="s">
        <v>295</v>
      </c>
      <c r="D159" s="37" t="n">
        <f aca="false">ROUND(Q159*R159,0)</f>
        <v>691</v>
      </c>
      <c r="E159" s="37" t="n">
        <f aca="false">ROUND(Q159,0)-D159</f>
        <v>651</v>
      </c>
      <c r="F159" s="37" t="n">
        <f aca="false">IF(COUNTA(D159:E159)=0,"",SUM(D159:E159))</f>
        <v>1342</v>
      </c>
      <c r="G159" s="52" t="n">
        <f aca="false">IF(OR(F159="",F159=0),"",D159/F159)</f>
        <v>0.514903129657228</v>
      </c>
      <c r="H159" s="52" t="n">
        <f aca="false">IF(OR(F159="",F159=0),"",E159/F159)</f>
        <v>0.485096870342772</v>
      </c>
      <c r="I159" s="21" t="s">
        <v>122</v>
      </c>
      <c r="J159" s="53" t="n">
        <v>1.24981746705324</v>
      </c>
      <c r="K159" s="52" t="n">
        <f aca="false">IF(G159="","",MAX(0,G159-J159/100))</f>
        <v>0.502404954986696</v>
      </c>
      <c r="L159" s="52" t="n">
        <f aca="false">IF(G159="","",MIN(1,G159+J159/100))</f>
        <v>0.52740130432776</v>
      </c>
      <c r="M159" s="37" t="n">
        <f aca="false">IF(F159="","",ROUND(F159*J159/100,0))</f>
        <v>17</v>
      </c>
      <c r="P159" s="54" t="n">
        <v>2.150438138226</v>
      </c>
      <c r="Q159" s="55" t="n">
        <f aca="false">T159*$H$5</f>
        <v>1342.44359673025</v>
      </c>
      <c r="R159" s="56" t="n">
        <f aca="false">MAX(0,MIN(1,P159/100+$D$5))</f>
        <v>0.515007616271148</v>
      </c>
      <c r="S159" s="57" t="s">
        <v>225</v>
      </c>
      <c r="T159" s="55" t="n">
        <v>1342.44359673025</v>
      </c>
    </row>
    <row r="160" customFormat="false" ht="15" hidden="false" customHeight="false" outlineLevel="0" collapsed="false">
      <c r="A160" s="21" t="s">
        <v>189</v>
      </c>
      <c r="B160" s="21" t="s">
        <v>286</v>
      </c>
      <c r="C160" s="21" t="s">
        <v>296</v>
      </c>
      <c r="D160" s="37" t="n">
        <f aca="false">ROUND(Q160*R160,0)</f>
        <v>453</v>
      </c>
      <c r="E160" s="37" t="n">
        <f aca="false">ROUND(Q160,0)-D160</f>
        <v>427</v>
      </c>
      <c r="F160" s="37" t="n">
        <f aca="false">IF(COUNTA(D160:E160)=0,"",SUM(D160:E160))</f>
        <v>880</v>
      </c>
      <c r="G160" s="52" t="n">
        <f aca="false">IF(OR(F160="",F160=0),"",D160/F160)</f>
        <v>0.514772727272727</v>
      </c>
      <c r="H160" s="52" t="n">
        <f aca="false">IF(OR(F160="",F160=0),"",E160/F160)</f>
        <v>0.485227272727273</v>
      </c>
      <c r="I160" s="21" t="s">
        <v>122</v>
      </c>
      <c r="J160" s="53" t="n">
        <v>1.80877416096373</v>
      </c>
      <c r="K160" s="52" t="n">
        <f aca="false">IF(G160="","",MAX(0,G160-J160/100))</f>
        <v>0.49668498566309</v>
      </c>
      <c r="L160" s="52" t="n">
        <f aca="false">IF(G160="","",MIN(1,G160+J160/100))</f>
        <v>0.532860468882365</v>
      </c>
      <c r="M160" s="37" t="n">
        <f aca="false">IF(F160="","",ROUND(F160*J160/100,0))</f>
        <v>16</v>
      </c>
      <c r="P160" s="54" t="n">
        <v>2.09243484509528</v>
      </c>
      <c r="Q160" s="55" t="n">
        <f aca="false">T160*$H$5</f>
        <v>879.958115183246</v>
      </c>
      <c r="R160" s="56" t="n">
        <f aca="false">MAX(0,MIN(1,P160/100+$D$5))</f>
        <v>0.514427583339841</v>
      </c>
      <c r="S160" s="57" t="s">
        <v>132</v>
      </c>
      <c r="T160" s="55" t="n">
        <v>879.958115183246</v>
      </c>
    </row>
    <row r="161" customFormat="false" ht="15" hidden="false" customHeight="false" outlineLevel="0" collapsed="false">
      <c r="A161" s="21" t="s">
        <v>189</v>
      </c>
      <c r="B161" s="21" t="s">
        <v>297</v>
      </c>
      <c r="C161" s="21" t="s">
        <v>297</v>
      </c>
      <c r="D161" s="37" t="n">
        <f aca="false">ROUND(Q161*R161,0)</f>
        <v>848</v>
      </c>
      <c r="E161" s="37" t="n">
        <f aca="false">ROUND(Q161,0)-D161</f>
        <v>1356</v>
      </c>
      <c r="F161" s="37" t="n">
        <f aca="false">IF(COUNTA(D161:E161)=0,"",SUM(D161:E161))</f>
        <v>2204</v>
      </c>
      <c r="G161" s="52" t="n">
        <f aca="false">IF(OR(F161="",F161=0),"",D161/F161)</f>
        <v>0.38475499092559</v>
      </c>
      <c r="H161" s="52" t="n">
        <f aca="false">IF(OR(F161="",F161=0),"",E161/F161)</f>
        <v>0.61524500907441</v>
      </c>
      <c r="I161" s="21" t="s">
        <v>122</v>
      </c>
      <c r="J161" s="53" t="n">
        <v>1.24981746705324</v>
      </c>
      <c r="K161" s="52" t="n">
        <f aca="false">IF(G161="","",MAX(0,G161-J161/100))</f>
        <v>0.372256816255057</v>
      </c>
      <c r="L161" s="52" t="n">
        <f aca="false">IF(G161="","",MIN(1,G161+J161/100))</f>
        <v>0.397253165596122</v>
      </c>
      <c r="M161" s="37" t="n">
        <f aca="false">IF(F161="","",ROUND(F161*J161/100,0))</f>
        <v>28</v>
      </c>
      <c r="P161" s="54" t="n">
        <v>-10.8870384586808</v>
      </c>
      <c r="Q161" s="55" t="n">
        <f aca="false">T161*$H$5</f>
        <v>2204.10505319149</v>
      </c>
      <c r="R161" s="56" t="n">
        <f aca="false">MAX(0,MIN(1,P161/100+$D$5))</f>
        <v>0.38463285030208</v>
      </c>
      <c r="S161" s="57" t="s">
        <v>225</v>
      </c>
      <c r="T161" s="55" t="n">
        <v>2204.10505319149</v>
      </c>
    </row>
    <row r="162" customFormat="false" ht="15" hidden="false" customHeight="false" outlineLevel="0" collapsed="false">
      <c r="A162" s="21" t="s">
        <v>189</v>
      </c>
      <c r="B162" s="21" t="s">
        <v>298</v>
      </c>
      <c r="C162" s="21" t="s">
        <v>298</v>
      </c>
      <c r="D162" s="37" t="n">
        <f aca="false">ROUND(Q162*R162,0)</f>
        <v>453</v>
      </c>
      <c r="E162" s="37" t="n">
        <f aca="false">ROUND(Q162,0)-D162</f>
        <v>784</v>
      </c>
      <c r="F162" s="37" t="n">
        <f aca="false">IF(COUNTA(D162:E162)=0,"",SUM(D162:E162))</f>
        <v>1237</v>
      </c>
      <c r="G162" s="52" t="n">
        <f aca="false">IF(OR(F162="",F162=0),"",D162/F162)</f>
        <v>0.366208569118836</v>
      </c>
      <c r="H162" s="52" t="n">
        <f aca="false">IF(OR(F162="",F162=0),"",E162/F162)</f>
        <v>0.633791430881164</v>
      </c>
      <c r="I162" s="21" t="s">
        <v>122</v>
      </c>
      <c r="J162" s="53" t="n">
        <v>1.24981746705324</v>
      </c>
      <c r="K162" s="52" t="n">
        <f aca="false">IF(G162="","",MAX(0,G162-J162/100))</f>
        <v>0.353710394448303</v>
      </c>
      <c r="L162" s="52" t="n">
        <f aca="false">IF(G162="","",MIN(1,G162+J162/100))</f>
        <v>0.378706743789368</v>
      </c>
      <c r="M162" s="37" t="n">
        <f aca="false">IF(F162="","",ROUND(F162*J162/100,0))</f>
        <v>15</v>
      </c>
      <c r="P162" s="54" t="n">
        <v>-12.7010558871415</v>
      </c>
      <c r="Q162" s="55" t="n">
        <f aca="false">T162*$H$5</f>
        <v>1236.97340124505</v>
      </c>
      <c r="R162" s="56" t="n">
        <f aca="false">MAX(0,MIN(1,P162/100+$D$5))</f>
        <v>0.366492676017473</v>
      </c>
      <c r="S162" s="57" t="s">
        <v>225</v>
      </c>
      <c r="T162" s="55" t="n">
        <v>1236.97340124505</v>
      </c>
    </row>
    <row r="163" customFormat="false" ht="15" hidden="false" customHeight="false" outlineLevel="0" collapsed="false">
      <c r="A163" s="21" t="s">
        <v>189</v>
      </c>
      <c r="B163" s="21" t="s">
        <v>299</v>
      </c>
      <c r="C163" s="21" t="s">
        <v>300</v>
      </c>
      <c r="D163" s="37" t="n">
        <f aca="false">ROUND(Q163*R163,0)</f>
        <v>159</v>
      </c>
      <c r="E163" s="37" t="n">
        <f aca="false">ROUND(Q163,0)-D163</f>
        <v>404</v>
      </c>
      <c r="F163" s="37" t="n">
        <f aca="false">IF(COUNTA(D163:E163)=0,"",SUM(D163:E163))</f>
        <v>563</v>
      </c>
      <c r="G163" s="52" t="n">
        <f aca="false">IF(OR(F163="",F163=0),"",D163/F163)</f>
        <v>0.282415630550622</v>
      </c>
      <c r="H163" s="52" t="n">
        <f aca="false">IF(OR(F163="",F163=0),"",E163/F163)</f>
        <v>0.717584369449378</v>
      </c>
      <c r="I163" s="21" t="s">
        <v>122</v>
      </c>
      <c r="J163" s="53" t="n">
        <v>3.02363014511423</v>
      </c>
      <c r="K163" s="52" t="n">
        <f aca="false">IF(G163="","",MAX(0,G163-J163/100))</f>
        <v>0.252179329099479</v>
      </c>
      <c r="L163" s="52" t="n">
        <f aca="false">IF(G163="","",MIN(1,G163+J163/100))</f>
        <v>0.312651932001764</v>
      </c>
      <c r="M163" s="37" t="n">
        <f aca="false">IF(F163="","",ROUND(F163*J163/100,0))</f>
        <v>17</v>
      </c>
      <c r="P163" s="54" t="n">
        <v>-21.1422918424845</v>
      </c>
      <c r="Q163" s="55" t="n">
        <f aca="false">T163*$H$5</f>
        <v>562.682926829269</v>
      </c>
      <c r="R163" s="56" t="n">
        <f aca="false">MAX(0,MIN(1,P163/100+$D$5))</f>
        <v>0.282080316464043</v>
      </c>
      <c r="S163" s="57" t="s">
        <v>123</v>
      </c>
      <c r="T163" s="55" t="n">
        <v>562.682926829269</v>
      </c>
    </row>
    <row r="164" customFormat="false" ht="15" hidden="false" customHeight="false" outlineLevel="0" collapsed="false">
      <c r="A164" s="21" t="s">
        <v>189</v>
      </c>
      <c r="B164" s="21" t="s">
        <v>299</v>
      </c>
      <c r="C164" s="21" t="s">
        <v>301</v>
      </c>
      <c r="D164" s="37" t="n">
        <f aca="false">ROUND(Q164*R164,0)</f>
        <v>124</v>
      </c>
      <c r="E164" s="37" t="n">
        <f aca="false">ROUND(Q164,0)-D164</f>
        <v>259</v>
      </c>
      <c r="F164" s="37" t="n">
        <f aca="false">IF(COUNTA(D164:E164)=0,"",SUM(D164:E164))</f>
        <v>383</v>
      </c>
      <c r="G164" s="52" t="n">
        <f aca="false">IF(OR(F164="",F164=0),"",D164/F164)</f>
        <v>0.323759791122715</v>
      </c>
      <c r="H164" s="52" t="n">
        <f aca="false">IF(OR(F164="",F164=0),"",E164/F164)</f>
        <v>0.676240208877285</v>
      </c>
      <c r="I164" s="21" t="s">
        <v>122</v>
      </c>
      <c r="J164" s="53" t="n">
        <v>3.02363014511423</v>
      </c>
      <c r="K164" s="52" t="n">
        <f aca="false">IF(G164="","",MAX(0,G164-J164/100))</f>
        <v>0.293523489671573</v>
      </c>
      <c r="L164" s="52" t="n">
        <f aca="false">IF(G164="","",MIN(1,G164+J164/100))</f>
        <v>0.353996092573858</v>
      </c>
      <c r="M164" s="37" t="n">
        <f aca="false">IF(F164="","",ROUND(F164*J164/100,0))</f>
        <v>12</v>
      </c>
      <c r="P164" s="54" t="n">
        <v>-16.8849599004067</v>
      </c>
      <c r="Q164" s="55" t="n">
        <f aca="false">T164*$H$5</f>
        <v>382.588235294118</v>
      </c>
      <c r="R164" s="56" t="n">
        <f aca="false">MAX(0,MIN(1,P164/100+$D$5))</f>
        <v>0.324653635884821</v>
      </c>
      <c r="S164" s="57" t="s">
        <v>123</v>
      </c>
      <c r="T164" s="55" t="n">
        <v>382.588235294118</v>
      </c>
    </row>
    <row r="165" customFormat="false" ht="15" hidden="false" customHeight="false" outlineLevel="0" collapsed="false">
      <c r="A165" s="21" t="s">
        <v>189</v>
      </c>
      <c r="B165" s="21" t="s">
        <v>299</v>
      </c>
      <c r="C165" s="21" t="s">
        <v>302</v>
      </c>
      <c r="D165" s="37" t="n">
        <f aca="false">ROUND(Q165*R165,0)</f>
        <v>424</v>
      </c>
      <c r="E165" s="37" t="n">
        <f aca="false">ROUND(Q165,0)-D165</f>
        <v>824</v>
      </c>
      <c r="F165" s="37" t="n">
        <f aca="false">IF(COUNTA(D165:E165)=0,"",SUM(D165:E165))</f>
        <v>1248</v>
      </c>
      <c r="G165" s="52" t="n">
        <f aca="false">IF(OR(F165="",F165=0),"",D165/F165)</f>
        <v>0.33974358974359</v>
      </c>
      <c r="H165" s="52" t="n">
        <f aca="false">IF(OR(F165="",F165=0),"",E165/F165)</f>
        <v>0.66025641025641</v>
      </c>
      <c r="I165" s="21" t="s">
        <v>122</v>
      </c>
      <c r="J165" s="53" t="n">
        <v>1.24981746705324</v>
      </c>
      <c r="K165" s="52" t="n">
        <f aca="false">IF(G165="","",MAX(0,G165-J165/100))</f>
        <v>0.327245415073057</v>
      </c>
      <c r="L165" s="52" t="n">
        <f aca="false">IF(G165="","",MIN(1,G165+J165/100))</f>
        <v>0.352241764414122</v>
      </c>
      <c r="M165" s="37" t="n">
        <f aca="false">IF(F165="","",ROUND(F165*J165/100,0))</f>
        <v>16</v>
      </c>
      <c r="P165" s="54" t="n">
        <v>-15.3804159808402</v>
      </c>
      <c r="Q165" s="55" t="n">
        <f aca="false">T165*$H$5</f>
        <v>1248.26659471128</v>
      </c>
      <c r="R165" s="56" t="n">
        <f aca="false">MAX(0,MIN(1,P165/100+$D$5))</f>
        <v>0.339699075080486</v>
      </c>
      <c r="S165" s="57" t="s">
        <v>225</v>
      </c>
      <c r="T165" s="55" t="n">
        <v>1248.26659471128</v>
      </c>
    </row>
    <row r="166" customFormat="false" ht="15" hidden="false" customHeight="false" outlineLevel="0" collapsed="false">
      <c r="A166" s="21" t="s">
        <v>189</v>
      </c>
      <c r="B166" s="21" t="s">
        <v>303</v>
      </c>
      <c r="C166" s="21" t="s">
        <v>303</v>
      </c>
      <c r="D166" s="37" t="n">
        <f aca="false">ROUND(Q166*R166,0)</f>
        <v>800</v>
      </c>
      <c r="E166" s="37" t="n">
        <f aca="false">ROUND(Q166,0)-D166</f>
        <v>713</v>
      </c>
      <c r="F166" s="37" t="n">
        <f aca="false">IF(COUNTA(D166:E166)=0,"",SUM(D166:E166))</f>
        <v>1513</v>
      </c>
      <c r="G166" s="52" t="n">
        <f aca="false">IF(OR(F166="",F166=0),"",D166/F166)</f>
        <v>0.528750826173166</v>
      </c>
      <c r="H166" s="52" t="n">
        <f aca="false">IF(OR(F166="",F166=0),"",E166/F166)</f>
        <v>0.471249173826834</v>
      </c>
      <c r="I166" s="21" t="s">
        <v>122</v>
      </c>
      <c r="J166" s="53" t="n">
        <v>1.24981746705324</v>
      </c>
      <c r="K166" s="52" t="n">
        <f aca="false">IF(G166="","",MAX(0,G166-J166/100))</f>
        <v>0.516252651502634</v>
      </c>
      <c r="L166" s="52" t="n">
        <f aca="false">IF(G166="","",MIN(1,G166+J166/100))</f>
        <v>0.541249000843698</v>
      </c>
      <c r="M166" s="37" t="n">
        <f aca="false">IF(F166="","",ROUND(F166*J166/100,0))</f>
        <v>19</v>
      </c>
      <c r="P166" s="54" t="n">
        <v>3.50931506985428</v>
      </c>
      <c r="Q166" s="55" t="n">
        <f aca="false">T166*$H$5</f>
        <v>1512.74151436031</v>
      </c>
      <c r="R166" s="56" t="n">
        <f aca="false">MAX(0,MIN(1,P166/100+$D$5))</f>
        <v>0.528596385587431</v>
      </c>
      <c r="S166" s="57" t="s">
        <v>225</v>
      </c>
      <c r="T166" s="55" t="n">
        <v>1512.74151436031</v>
      </c>
    </row>
    <row r="167" customFormat="false" ht="15" hidden="false" customHeight="false" outlineLevel="0" collapsed="false">
      <c r="A167" s="21" t="s">
        <v>189</v>
      </c>
      <c r="B167" s="21" t="s">
        <v>304</v>
      </c>
      <c r="C167" s="21" t="s">
        <v>305</v>
      </c>
      <c r="D167" s="37" t="n">
        <f aca="false">ROUND(Q167*R167,0)</f>
        <v>834</v>
      </c>
      <c r="E167" s="37" t="n">
        <f aca="false">ROUND(Q167,0)-D167</f>
        <v>1067</v>
      </c>
      <c r="F167" s="37" t="n">
        <f aca="false">IF(COUNTA(D167:E167)=0,"",SUM(D167:E167))</f>
        <v>1901</v>
      </c>
      <c r="G167" s="52" t="n">
        <f aca="false">IF(OR(F167="",F167=0),"",D167/F167)</f>
        <v>0.438716465018411</v>
      </c>
      <c r="H167" s="52" t="n">
        <f aca="false">IF(OR(F167="",F167=0),"",E167/F167)</f>
        <v>0.561283534981589</v>
      </c>
      <c r="I167" s="21" t="s">
        <v>122</v>
      </c>
      <c r="J167" s="53" t="n">
        <v>1.24981746705324</v>
      </c>
      <c r="K167" s="52" t="n">
        <f aca="false">IF(G167="","",MAX(0,G167-J167/100))</f>
        <v>0.426218290347879</v>
      </c>
      <c r="L167" s="52" t="n">
        <f aca="false">IF(G167="","",MIN(1,G167+J167/100))</f>
        <v>0.451214639688944</v>
      </c>
      <c r="M167" s="37" t="n">
        <f aca="false">IF(F167="","",ROUND(F167*J167/100,0))</f>
        <v>24</v>
      </c>
      <c r="P167" s="54" t="n">
        <v>-5.50066957276453</v>
      </c>
      <c r="Q167" s="55" t="n">
        <f aca="false">T167*$H$5</f>
        <v>1901.09148856393</v>
      </c>
      <c r="R167" s="56" t="n">
        <f aca="false">MAX(0,MIN(1,P167/100+$D$5))</f>
        <v>0.438496539161243</v>
      </c>
      <c r="S167" s="57" t="s">
        <v>225</v>
      </c>
      <c r="T167" s="55" t="n">
        <v>1901.09148856393</v>
      </c>
    </row>
    <row r="168" customFormat="false" ht="15" hidden="false" customHeight="false" outlineLevel="0" collapsed="false">
      <c r="A168" s="21" t="s">
        <v>189</v>
      </c>
      <c r="B168" s="21" t="s">
        <v>304</v>
      </c>
      <c r="C168" s="21" t="s">
        <v>306</v>
      </c>
      <c r="D168" s="37" t="n">
        <f aca="false">ROUND(Q168*R168,0)</f>
        <v>676</v>
      </c>
      <c r="E168" s="37" t="n">
        <f aca="false">ROUND(Q168,0)-D168</f>
        <v>1004</v>
      </c>
      <c r="F168" s="37" t="n">
        <f aca="false">IF(COUNTA(D168:E168)=0,"",SUM(D168:E168))</f>
        <v>1680</v>
      </c>
      <c r="G168" s="52" t="n">
        <f aca="false">IF(OR(F168="",F168=0),"",D168/F168)</f>
        <v>0.402380952380952</v>
      </c>
      <c r="H168" s="52" t="n">
        <f aca="false">IF(OR(F168="",F168=0),"",E168/F168)</f>
        <v>0.597619047619048</v>
      </c>
      <c r="I168" s="21" t="s">
        <v>122</v>
      </c>
      <c r="J168" s="53" t="n">
        <v>1.24981746705324</v>
      </c>
      <c r="K168" s="52" t="n">
        <f aca="false">IF(G168="","",MAX(0,G168-J168/100))</f>
        <v>0.38988277771042</v>
      </c>
      <c r="L168" s="52" t="n">
        <f aca="false">IF(G168="","",MIN(1,G168+J168/100))</f>
        <v>0.414879127051485</v>
      </c>
      <c r="M168" s="37" t="n">
        <f aca="false">IF(F168="","",ROUND(F168*J168/100,0))</f>
        <v>21</v>
      </c>
      <c r="P168" s="54" t="n">
        <v>-9.12143270447581</v>
      </c>
      <c r="Q168" s="55" t="n">
        <f aca="false">T168*$H$5</f>
        <v>1679.87969094923</v>
      </c>
      <c r="R168" s="56" t="n">
        <f aca="false">MAX(0,MIN(1,P168/100+$D$5))</f>
        <v>0.40228890784413</v>
      </c>
      <c r="S168" s="57" t="s">
        <v>225</v>
      </c>
      <c r="T168" s="55" t="n">
        <v>1679.87969094923</v>
      </c>
    </row>
    <row r="169" customFormat="false" ht="15" hidden="false" customHeight="false" outlineLevel="0" collapsed="false">
      <c r="A169" s="21" t="s">
        <v>189</v>
      </c>
      <c r="B169" s="21" t="s">
        <v>304</v>
      </c>
      <c r="C169" s="21" t="s">
        <v>307</v>
      </c>
      <c r="D169" s="37" t="n">
        <f aca="false">ROUND(Q169*R169,0)</f>
        <v>360</v>
      </c>
      <c r="E169" s="37" t="n">
        <f aca="false">ROUND(Q169,0)-D169</f>
        <v>539</v>
      </c>
      <c r="F169" s="37" t="n">
        <f aca="false">IF(COUNTA(D169:E169)=0,"",SUM(D169:E169))</f>
        <v>899</v>
      </c>
      <c r="G169" s="52" t="n">
        <f aca="false">IF(OR(F169="",F169=0),"",D169/F169)</f>
        <v>0.400444938820912</v>
      </c>
      <c r="H169" s="52" t="n">
        <f aca="false">IF(OR(F169="",F169=0),"",E169/F169)</f>
        <v>0.599555061179088</v>
      </c>
      <c r="I169" s="21" t="s">
        <v>122</v>
      </c>
      <c r="J169" s="53" t="n">
        <v>1.80877416096373</v>
      </c>
      <c r="K169" s="52" t="n">
        <f aca="false">IF(G169="","",MAX(0,G169-J169/100))</f>
        <v>0.382357197211275</v>
      </c>
      <c r="L169" s="52" t="n">
        <f aca="false">IF(G169="","",MIN(1,G169+J169/100))</f>
        <v>0.41853268043055</v>
      </c>
      <c r="M169" s="37" t="n">
        <f aca="false">IF(F169="","",ROUND(F169*J169/100,0))</f>
        <v>16</v>
      </c>
      <c r="P169" s="54" t="n">
        <v>-9.34197326930811</v>
      </c>
      <c r="Q169" s="55" t="n">
        <f aca="false">T169*$H$5</f>
        <v>898.819587628866</v>
      </c>
      <c r="R169" s="56" t="n">
        <f aca="false">MAX(0,MIN(1,P169/100+$D$5))</f>
        <v>0.400083502195807</v>
      </c>
      <c r="S169" s="57" t="s">
        <v>132</v>
      </c>
      <c r="T169" s="55" t="n">
        <v>898.819587628866</v>
      </c>
    </row>
    <row r="170" customFormat="false" ht="15" hidden="false" customHeight="false" outlineLevel="0" collapsed="false">
      <c r="A170" s="21" t="s">
        <v>189</v>
      </c>
      <c r="B170" s="21" t="s">
        <v>304</v>
      </c>
      <c r="C170" s="21" t="s">
        <v>308</v>
      </c>
      <c r="D170" s="37" t="n">
        <f aca="false">ROUND(Q170*R170,0)</f>
        <v>546</v>
      </c>
      <c r="E170" s="37" t="n">
        <f aca="false">ROUND(Q170,0)-D170</f>
        <v>781</v>
      </c>
      <c r="F170" s="37" t="n">
        <f aca="false">IF(COUNTA(D170:E170)=0,"",SUM(D170:E170))</f>
        <v>1327</v>
      </c>
      <c r="G170" s="52" t="n">
        <f aca="false">IF(OR(F170="",F170=0),"",D170/F170)</f>
        <v>0.41145440844009</v>
      </c>
      <c r="H170" s="52" t="n">
        <f aca="false">IF(OR(F170="",F170=0),"",E170/F170)</f>
        <v>0.58854559155991</v>
      </c>
      <c r="I170" s="21" t="s">
        <v>122</v>
      </c>
      <c r="J170" s="53" t="n">
        <v>1.24981746705324</v>
      </c>
      <c r="K170" s="52" t="n">
        <f aca="false">IF(G170="","",MAX(0,G170-J170/100))</f>
        <v>0.398956233769558</v>
      </c>
      <c r="L170" s="52" t="n">
        <f aca="false">IF(G170="","",MIN(1,G170+J170/100))</f>
        <v>0.423952583110623</v>
      </c>
      <c r="M170" s="37" t="n">
        <f aca="false">IF(F170="","",ROUND(F170*J170/100,0))</f>
        <v>17</v>
      </c>
      <c r="P170" s="54" t="n">
        <v>-8.21412048713044</v>
      </c>
      <c r="Q170" s="55" t="n">
        <f aca="false">T170*$H$5</f>
        <v>1327.11285266458</v>
      </c>
      <c r="R170" s="56" t="n">
        <f aca="false">MAX(0,MIN(1,P170/100+$D$5))</f>
        <v>0.411362030017584</v>
      </c>
      <c r="S170" s="57" t="s">
        <v>225</v>
      </c>
      <c r="T170" s="55" t="n">
        <v>1327.11285266458</v>
      </c>
    </row>
    <row r="171" customFormat="false" ht="15" hidden="false" customHeight="false" outlineLevel="0" collapsed="false">
      <c r="A171" s="21" t="s">
        <v>189</v>
      </c>
      <c r="B171" s="21" t="s">
        <v>304</v>
      </c>
      <c r="C171" s="21" t="s">
        <v>309</v>
      </c>
      <c r="D171" s="37" t="n">
        <f aca="false">ROUND(Q171*R171,0)</f>
        <v>457</v>
      </c>
      <c r="E171" s="37" t="n">
        <f aca="false">ROUND(Q171,0)-D171</f>
        <v>714</v>
      </c>
      <c r="F171" s="37" t="n">
        <f aca="false">IF(COUNTA(D171:E171)=0,"",SUM(D171:E171))</f>
        <v>1171</v>
      </c>
      <c r="G171" s="52" t="n">
        <f aca="false">IF(OR(F171="",F171=0),"",D171/F171)</f>
        <v>0.390264730999146</v>
      </c>
      <c r="H171" s="52" t="n">
        <f aca="false">IF(OR(F171="",F171=0),"",E171/F171)</f>
        <v>0.609735269000854</v>
      </c>
      <c r="I171" s="21" t="s">
        <v>122</v>
      </c>
      <c r="J171" s="53" t="n">
        <v>1.80877416096373</v>
      </c>
      <c r="K171" s="52" t="n">
        <f aca="false">IF(G171="","",MAX(0,G171-J171/100))</f>
        <v>0.372176989389509</v>
      </c>
      <c r="L171" s="52" t="n">
        <f aca="false">IF(G171="","",MIN(1,G171+J171/100))</f>
        <v>0.408352472608783</v>
      </c>
      <c r="M171" s="37" t="n">
        <f aca="false">IF(F171="","",ROUND(F171*J171/100,0))</f>
        <v>21</v>
      </c>
      <c r="P171" s="54" t="n">
        <v>-10.2799964948579</v>
      </c>
      <c r="Q171" s="55" t="n">
        <f aca="false">T171*$H$5</f>
        <v>1170.83890577508</v>
      </c>
      <c r="R171" s="56" t="n">
        <f aca="false">MAX(0,MIN(1,P171/100+$D$5))</f>
        <v>0.390703269940309</v>
      </c>
      <c r="S171" s="57" t="s">
        <v>132</v>
      </c>
      <c r="T171" s="55" t="n">
        <v>1170.83890577508</v>
      </c>
    </row>
    <row r="172" customFormat="false" ht="15" hidden="false" customHeight="false" outlineLevel="0" collapsed="false">
      <c r="A172" s="21" t="s">
        <v>189</v>
      </c>
      <c r="B172" s="21" t="s">
        <v>304</v>
      </c>
      <c r="C172" s="21" t="s">
        <v>310</v>
      </c>
      <c r="D172" s="37" t="n">
        <f aca="false">ROUND(Q172*R172,0)</f>
        <v>401</v>
      </c>
      <c r="E172" s="37" t="n">
        <f aca="false">ROUND(Q172,0)-D172</f>
        <v>512</v>
      </c>
      <c r="F172" s="37" t="n">
        <f aca="false">IF(COUNTA(D172:E172)=0,"",SUM(D172:E172))</f>
        <v>913</v>
      </c>
      <c r="G172" s="52" t="n">
        <f aca="false">IF(OR(F172="",F172=0),"",D172/F172)</f>
        <v>0.43921139101862</v>
      </c>
      <c r="H172" s="52" t="n">
        <f aca="false">IF(OR(F172="",F172=0),"",E172/F172)</f>
        <v>0.56078860898138</v>
      </c>
      <c r="I172" s="21" t="s">
        <v>122</v>
      </c>
      <c r="J172" s="53" t="n">
        <v>1.80877416096373</v>
      </c>
      <c r="K172" s="52" t="n">
        <f aca="false">IF(G172="","",MAX(0,G172-J172/100))</f>
        <v>0.421123649408983</v>
      </c>
      <c r="L172" s="52" t="n">
        <f aca="false">IF(G172="","",MIN(1,G172+J172/100))</f>
        <v>0.457299132628257</v>
      </c>
      <c r="M172" s="37" t="n">
        <f aca="false">IF(F172="","",ROUND(F172*J172/100,0))</f>
        <v>17</v>
      </c>
      <c r="P172" s="54" t="n">
        <v>-5.40114480019744</v>
      </c>
      <c r="Q172" s="55" t="n">
        <f aca="false">T172*$H$5</f>
        <v>912.990356083087</v>
      </c>
      <c r="R172" s="56" t="n">
        <f aca="false">MAX(0,MIN(1,P172/100+$D$5))</f>
        <v>0.439491786886914</v>
      </c>
      <c r="S172" s="57" t="s">
        <v>132</v>
      </c>
      <c r="T172" s="55" t="n">
        <v>912.990356083087</v>
      </c>
    </row>
    <row r="173" customFormat="false" ht="15" hidden="false" customHeight="false" outlineLevel="0" collapsed="false">
      <c r="A173" s="21" t="s">
        <v>189</v>
      </c>
      <c r="B173" s="21" t="s">
        <v>311</v>
      </c>
      <c r="C173" s="21" t="s">
        <v>312</v>
      </c>
      <c r="D173" s="37" t="n">
        <f aca="false">ROUND(Q173*R173,0)</f>
        <v>517</v>
      </c>
      <c r="E173" s="37" t="n">
        <f aca="false">ROUND(Q173,0)-D173</f>
        <v>502</v>
      </c>
      <c r="F173" s="37" t="n">
        <f aca="false">IF(COUNTA(D173:E173)=0,"",SUM(D173:E173))</f>
        <v>1019</v>
      </c>
      <c r="G173" s="52" t="n">
        <f aca="false">IF(OR(F173="",F173=0),"",D173/F173)</f>
        <v>0.507360157016683</v>
      </c>
      <c r="H173" s="52" t="n">
        <f aca="false">IF(OR(F173="",F173=0),"",E173/F173)</f>
        <v>0.492639842983317</v>
      </c>
      <c r="I173" s="21" t="s">
        <v>122</v>
      </c>
      <c r="J173" s="53" t="n">
        <v>1.80877416096373</v>
      </c>
      <c r="K173" s="52" t="n">
        <f aca="false">IF(G173="","",MAX(0,G173-J173/100))</f>
        <v>0.489272415407046</v>
      </c>
      <c r="L173" s="52" t="n">
        <f aca="false">IF(G173="","",MIN(1,G173+J173/100))</f>
        <v>0.52544789862632</v>
      </c>
      <c r="M173" s="37" t="n">
        <f aca="false">IF(F173="","",ROUND(F173*J173/100,0))</f>
        <v>18</v>
      </c>
      <c r="P173" s="54" t="n">
        <v>1.42398484347167</v>
      </c>
      <c r="Q173" s="55" t="n">
        <f aca="false">T173*$H$5</f>
        <v>1018.96641574986</v>
      </c>
      <c r="R173" s="56" t="n">
        <f aca="false">MAX(0,MIN(1,P173/100+$D$5))</f>
        <v>0.507743083323605</v>
      </c>
      <c r="S173" s="57" t="s">
        <v>132</v>
      </c>
      <c r="T173" s="55" t="n">
        <v>1018.96641574986</v>
      </c>
    </row>
    <row r="174" customFormat="false" ht="15" hidden="false" customHeight="false" outlineLevel="0" collapsed="false">
      <c r="A174" s="21" t="s">
        <v>189</v>
      </c>
      <c r="B174" s="21" t="s">
        <v>311</v>
      </c>
      <c r="C174" s="21" t="s">
        <v>313</v>
      </c>
      <c r="D174" s="37" t="n">
        <f aca="false">ROUND(Q174*R174,0)</f>
        <v>634</v>
      </c>
      <c r="E174" s="37" t="n">
        <f aca="false">ROUND(Q174,0)-D174</f>
        <v>597</v>
      </c>
      <c r="F174" s="37" t="n">
        <f aca="false">IF(COUNTA(D174:E174)=0,"",SUM(D174:E174))</f>
        <v>1231</v>
      </c>
      <c r="G174" s="52" t="n">
        <f aca="false">IF(OR(F174="",F174=0),"",D174/F174)</f>
        <v>0.515028432168968</v>
      </c>
      <c r="H174" s="52" t="n">
        <f aca="false">IF(OR(F174="",F174=0),"",E174/F174)</f>
        <v>0.484971567831032</v>
      </c>
      <c r="I174" s="21" t="s">
        <v>122</v>
      </c>
      <c r="J174" s="53" t="n">
        <v>1.24981746705324</v>
      </c>
      <c r="K174" s="52" t="n">
        <f aca="false">IF(G174="","",MAX(0,G174-J174/100))</f>
        <v>0.502530257498436</v>
      </c>
      <c r="L174" s="52" t="n">
        <f aca="false">IF(G174="","",MIN(1,G174+J174/100))</f>
        <v>0.527526606839501</v>
      </c>
      <c r="M174" s="37" t="n">
        <f aca="false">IF(F174="","",ROUND(F174*J174/100,0))</f>
        <v>15</v>
      </c>
      <c r="P174" s="54" t="n">
        <v>2.19947870005743</v>
      </c>
      <c r="Q174" s="55" t="n">
        <f aca="false">T174*$H$5</f>
        <v>1230.79069767442</v>
      </c>
      <c r="R174" s="56" t="n">
        <f aca="false">MAX(0,MIN(1,P174/100+$D$5))</f>
        <v>0.515498021889463</v>
      </c>
      <c r="S174" s="57" t="s">
        <v>225</v>
      </c>
      <c r="T174" s="55" t="n">
        <v>1230.79069767442</v>
      </c>
    </row>
    <row r="175" customFormat="false" ht="15" hidden="false" customHeight="false" outlineLevel="0" collapsed="false">
      <c r="A175" s="21" t="s">
        <v>189</v>
      </c>
      <c r="B175" s="21" t="s">
        <v>311</v>
      </c>
      <c r="C175" s="21" t="s">
        <v>314</v>
      </c>
      <c r="D175" s="37" t="n">
        <f aca="false">ROUND(Q175*R175,0)</f>
        <v>281</v>
      </c>
      <c r="E175" s="37" t="n">
        <f aca="false">ROUND(Q175,0)-D175</f>
        <v>273</v>
      </c>
      <c r="F175" s="37" t="n">
        <f aca="false">IF(COUNTA(D175:E175)=0,"",SUM(D175:E175))</f>
        <v>554</v>
      </c>
      <c r="G175" s="52" t="n">
        <f aca="false">IF(OR(F175="",F175=0),"",D175/F175)</f>
        <v>0.507220216606498</v>
      </c>
      <c r="H175" s="52" t="n">
        <f aca="false">IF(OR(F175="",F175=0),"",E175/F175)</f>
        <v>0.492779783393502</v>
      </c>
      <c r="I175" s="21" t="s">
        <v>122</v>
      </c>
      <c r="J175" s="53" t="n">
        <v>3.02363014511423</v>
      </c>
      <c r="K175" s="52" t="n">
        <f aca="false">IF(G175="","",MAX(0,G175-J175/100))</f>
        <v>0.476983915155356</v>
      </c>
      <c r="L175" s="52" t="n">
        <f aca="false">IF(G175="","",MIN(1,G175+J175/100))</f>
        <v>0.537456518057641</v>
      </c>
      <c r="M175" s="37" t="n">
        <f aca="false">IF(F175="","",ROUND(F175*J175/100,0))</f>
        <v>17</v>
      </c>
      <c r="P175" s="54" t="n">
        <v>1.32553950834013</v>
      </c>
      <c r="Q175" s="55" t="n">
        <f aca="false">T175*$H$5</f>
        <v>553.927710843374</v>
      </c>
      <c r="R175" s="56" t="n">
        <f aca="false">MAX(0,MIN(1,P175/100+$D$5))</f>
        <v>0.50675862997229</v>
      </c>
      <c r="S175" s="57" t="s">
        <v>123</v>
      </c>
      <c r="T175" s="55" t="n">
        <v>553.927710843374</v>
      </c>
    </row>
    <row r="176" customFormat="false" ht="15" hidden="false" customHeight="false" outlineLevel="0" collapsed="false">
      <c r="A176" s="21" t="s">
        <v>189</v>
      </c>
      <c r="B176" s="21" t="s">
        <v>311</v>
      </c>
      <c r="C176" s="21" t="s">
        <v>315</v>
      </c>
      <c r="D176" s="37" t="n">
        <f aca="false">ROUND(Q176*R176,0)</f>
        <v>329</v>
      </c>
      <c r="E176" s="37" t="n">
        <f aca="false">ROUND(Q176,0)-D176</f>
        <v>309</v>
      </c>
      <c r="F176" s="37" t="n">
        <f aca="false">IF(COUNTA(D176:E176)=0,"",SUM(D176:E176))</f>
        <v>638</v>
      </c>
      <c r="G176" s="52" t="n">
        <f aca="false">IF(OR(F176="",F176=0),"",D176/F176)</f>
        <v>0.515673981191223</v>
      </c>
      <c r="H176" s="52" t="n">
        <f aca="false">IF(OR(F176="",F176=0),"",E176/F176)</f>
        <v>0.484326018808777</v>
      </c>
      <c r="I176" s="21" t="s">
        <v>122</v>
      </c>
      <c r="J176" s="53" t="n">
        <v>3.02363014511423</v>
      </c>
      <c r="K176" s="52" t="n">
        <f aca="false">IF(G176="","",MAX(0,G176-J176/100))</f>
        <v>0.48543767974008</v>
      </c>
      <c r="L176" s="52" t="n">
        <f aca="false">IF(G176="","",MIN(1,G176+J176/100))</f>
        <v>0.545910282642365</v>
      </c>
      <c r="M176" s="37" t="n">
        <f aca="false">IF(F176="","",ROUND(F176*J176/100,0))</f>
        <v>19</v>
      </c>
      <c r="P176" s="54" t="n">
        <v>2.16914676293149</v>
      </c>
      <c r="Q176" s="55" t="n">
        <f aca="false">T176*$H$5</f>
        <v>638.017946161515</v>
      </c>
      <c r="R176" s="56" t="n">
        <f aca="false">MAX(0,MIN(1,P176/100+$D$5))</f>
        <v>0.515194702518203</v>
      </c>
      <c r="S176" s="57" t="s">
        <v>123</v>
      </c>
      <c r="T176" s="55" t="n">
        <v>638.017946161515</v>
      </c>
    </row>
    <row r="177" customFormat="false" ht="15" hidden="false" customHeight="false" outlineLevel="0" collapsed="false">
      <c r="A177" s="21" t="s">
        <v>189</v>
      </c>
      <c r="B177" s="21" t="s">
        <v>311</v>
      </c>
      <c r="C177" s="21" t="s">
        <v>316</v>
      </c>
      <c r="D177" s="37" t="n">
        <f aca="false">ROUND(Q177*R177,0)</f>
        <v>426</v>
      </c>
      <c r="E177" s="37" t="n">
        <f aca="false">ROUND(Q177,0)-D177</f>
        <v>430</v>
      </c>
      <c r="F177" s="37" t="n">
        <f aca="false">IF(COUNTA(D177:E177)=0,"",SUM(D177:E177))</f>
        <v>856</v>
      </c>
      <c r="G177" s="52" t="n">
        <f aca="false">IF(OR(F177="",F177=0),"",D177/F177)</f>
        <v>0.497663551401869</v>
      </c>
      <c r="H177" s="52" t="n">
        <f aca="false">IF(OR(F177="",F177=0),"",E177/F177)</f>
        <v>0.502336448598131</v>
      </c>
      <c r="I177" s="21" t="s">
        <v>122</v>
      </c>
      <c r="J177" s="53" t="n">
        <v>1.80877416096373</v>
      </c>
      <c r="K177" s="52" t="n">
        <f aca="false">IF(G177="","",MAX(0,G177-J177/100))</f>
        <v>0.479575809792232</v>
      </c>
      <c r="L177" s="52" t="n">
        <f aca="false">IF(G177="","",MIN(1,G177+J177/100))</f>
        <v>0.515751293011507</v>
      </c>
      <c r="M177" s="37" t="n">
        <f aca="false">IF(F177="","",ROUND(F177*J177/100,0))</f>
        <v>15</v>
      </c>
      <c r="P177" s="54" t="n">
        <v>0.473681497027077</v>
      </c>
      <c r="Q177" s="55" t="n">
        <f aca="false">T177*$H$5</f>
        <v>855.646785437645</v>
      </c>
      <c r="R177" s="56" t="n">
        <f aca="false">MAX(0,MIN(1,P177/100+$D$5))</f>
        <v>0.498240049859159</v>
      </c>
      <c r="S177" s="57" t="s">
        <v>132</v>
      </c>
      <c r="T177" s="55" t="n">
        <v>855.646785437645</v>
      </c>
    </row>
    <row r="178" customFormat="false" ht="15" hidden="false" customHeight="false" outlineLevel="0" collapsed="false">
      <c r="A178" s="21" t="s">
        <v>189</v>
      </c>
      <c r="B178" s="21" t="s">
        <v>311</v>
      </c>
      <c r="C178" s="21" t="s">
        <v>317</v>
      </c>
      <c r="D178" s="37" t="n">
        <f aca="false">ROUND(Q178*R178,0)</f>
        <v>278</v>
      </c>
      <c r="E178" s="37" t="n">
        <f aca="false">ROUND(Q178,0)-D178</f>
        <v>289</v>
      </c>
      <c r="F178" s="37" t="n">
        <f aca="false">IF(COUNTA(D178:E178)=0,"",SUM(D178:E178))</f>
        <v>567</v>
      </c>
      <c r="G178" s="52" t="n">
        <f aca="false">IF(OR(F178="",F178=0),"",D178/F178)</f>
        <v>0.490299823633157</v>
      </c>
      <c r="H178" s="52" t="n">
        <f aca="false">IF(OR(F178="",F178=0),"",E178/F178)</f>
        <v>0.509700176366843</v>
      </c>
      <c r="I178" s="21" t="s">
        <v>122</v>
      </c>
      <c r="J178" s="53" t="n">
        <v>3.02363014511423</v>
      </c>
      <c r="K178" s="52" t="n">
        <f aca="false">IF(G178="","",MAX(0,G178-J178/100))</f>
        <v>0.460063522182015</v>
      </c>
      <c r="L178" s="52" t="n">
        <f aca="false">IF(G178="","",MIN(1,G178+J178/100))</f>
        <v>0.520536125084299</v>
      </c>
      <c r="M178" s="37" t="n">
        <f aca="false">IF(F178="","",ROUND(F178*J178/100,0))</f>
        <v>17</v>
      </c>
      <c r="P178" s="54" t="n">
        <v>-0.264012358444175</v>
      </c>
      <c r="Q178" s="55" t="n">
        <f aca="false">T178*$H$5</f>
        <v>566.944444444444</v>
      </c>
      <c r="R178" s="56" t="n">
        <f aca="false">MAX(0,MIN(1,P178/100+$D$5))</f>
        <v>0.490863111304446</v>
      </c>
      <c r="S178" s="57" t="s">
        <v>123</v>
      </c>
      <c r="T178" s="55" t="n">
        <v>566.944444444444</v>
      </c>
    </row>
    <row r="179" customFormat="false" ht="15" hidden="false" customHeight="false" outlineLevel="0" collapsed="false">
      <c r="A179" s="21" t="s">
        <v>189</v>
      </c>
      <c r="B179" s="21" t="s">
        <v>311</v>
      </c>
      <c r="C179" s="21" t="s">
        <v>318</v>
      </c>
      <c r="D179" s="37" t="n">
        <f aca="false">ROUND(Q179*R179,0)</f>
        <v>349</v>
      </c>
      <c r="E179" s="37" t="n">
        <f aca="false">ROUND(Q179,0)-D179</f>
        <v>310</v>
      </c>
      <c r="F179" s="37" t="n">
        <f aca="false">IF(COUNTA(D179:E179)=0,"",SUM(D179:E179))</f>
        <v>659</v>
      </c>
      <c r="G179" s="52" t="n">
        <f aca="false">IF(OR(F179="",F179=0),"",D179/F179)</f>
        <v>0.52959028831563</v>
      </c>
      <c r="H179" s="52" t="n">
        <f aca="false">IF(OR(F179="",F179=0),"",E179/F179)</f>
        <v>0.47040971168437</v>
      </c>
      <c r="I179" s="21" t="s">
        <v>122</v>
      </c>
      <c r="J179" s="53" t="n">
        <v>3.02363014511423</v>
      </c>
      <c r="K179" s="52" t="n">
        <f aca="false">IF(G179="","",MAX(0,G179-J179/100))</f>
        <v>0.499353986864487</v>
      </c>
      <c r="L179" s="52" t="n">
        <f aca="false">IF(G179="","",MIN(1,G179+J179/100))</f>
        <v>0.559826589766772</v>
      </c>
      <c r="M179" s="37" t="n">
        <f aca="false">IF(F179="","",ROUND(F179*J179/100,0))</f>
        <v>20</v>
      </c>
      <c r="P179" s="54" t="n">
        <v>3.65020076385128</v>
      </c>
      <c r="Q179" s="55" t="n">
        <f aca="false">T179*$H$5</f>
        <v>659.34455667789</v>
      </c>
      <c r="R179" s="56" t="n">
        <f aca="false">MAX(0,MIN(1,P179/100+$D$5))</f>
        <v>0.530005242527401</v>
      </c>
      <c r="S179" s="57" t="s">
        <v>123</v>
      </c>
      <c r="T179" s="55" t="n">
        <v>659.34455667789</v>
      </c>
    </row>
    <row r="180" customFormat="false" ht="15" hidden="false" customHeight="false" outlineLevel="0" collapsed="false">
      <c r="A180" s="21" t="s">
        <v>189</v>
      </c>
      <c r="B180" s="21" t="s">
        <v>311</v>
      </c>
      <c r="C180" s="21" t="s">
        <v>319</v>
      </c>
      <c r="D180" s="37" t="n">
        <f aca="false">ROUND(Q180*R180,0)</f>
        <v>457</v>
      </c>
      <c r="E180" s="37" t="n">
        <f aca="false">ROUND(Q180,0)-D180</f>
        <v>443</v>
      </c>
      <c r="F180" s="37" t="n">
        <f aca="false">IF(COUNTA(D180:E180)=0,"",SUM(D180:E180))</f>
        <v>900</v>
      </c>
      <c r="G180" s="52" t="n">
        <f aca="false">IF(OR(F180="",F180=0),"",D180/F180)</f>
        <v>0.507777777777778</v>
      </c>
      <c r="H180" s="52" t="n">
        <f aca="false">IF(OR(F180="",F180=0),"",E180/F180)</f>
        <v>0.492222222222222</v>
      </c>
      <c r="I180" s="21" t="s">
        <v>122</v>
      </c>
      <c r="J180" s="53" t="n">
        <v>1.80877416096373</v>
      </c>
      <c r="K180" s="52" t="n">
        <f aca="false">IF(G180="","",MAX(0,G180-J180/100))</f>
        <v>0.48969003616814</v>
      </c>
      <c r="L180" s="52" t="n">
        <f aca="false">IF(G180="","",MIN(1,G180+J180/100))</f>
        <v>0.525865519387415</v>
      </c>
      <c r="M180" s="37" t="n">
        <f aca="false">IF(F180="","",ROUND(F180*J180/100,0))</f>
        <v>16</v>
      </c>
      <c r="P180" s="54" t="n">
        <v>1.44424865622487</v>
      </c>
      <c r="Q180" s="55" t="n">
        <f aca="false">T180*$H$5</f>
        <v>900.130434782609</v>
      </c>
      <c r="R180" s="56" t="n">
        <f aca="false">MAX(0,MIN(1,P180/100+$D$5))</f>
        <v>0.507945721451137</v>
      </c>
      <c r="S180" s="57" t="s">
        <v>132</v>
      </c>
      <c r="T180" s="55" t="n">
        <v>900.130434782609</v>
      </c>
    </row>
    <row r="181" customFormat="false" ht="15" hidden="false" customHeight="false" outlineLevel="0" collapsed="false">
      <c r="A181" s="21" t="s">
        <v>189</v>
      </c>
      <c r="B181" s="21" t="s">
        <v>320</v>
      </c>
      <c r="C181" s="21" t="s">
        <v>321</v>
      </c>
      <c r="D181" s="37" t="n">
        <f aca="false">ROUND(Q181*R181,0)</f>
        <v>176</v>
      </c>
      <c r="E181" s="37" t="n">
        <f aca="false">ROUND(Q181,0)-D181</f>
        <v>215</v>
      </c>
      <c r="F181" s="37" t="n">
        <f aca="false">IF(COUNTA(D181:E181)=0,"",SUM(D181:E181))</f>
        <v>391</v>
      </c>
      <c r="G181" s="52" t="n">
        <f aca="false">IF(OR(F181="",F181=0),"",D181/F181)</f>
        <v>0.450127877237852</v>
      </c>
      <c r="H181" s="52" t="n">
        <f aca="false">IF(OR(F181="",F181=0),"",E181/F181)</f>
        <v>0.549872122762148</v>
      </c>
      <c r="I181" s="21" t="s">
        <v>122</v>
      </c>
      <c r="J181" s="53" t="n">
        <v>3.02363014511423</v>
      </c>
      <c r="K181" s="52" t="n">
        <f aca="false">IF(G181="","",MAX(0,G181-J181/100))</f>
        <v>0.419891575786709</v>
      </c>
      <c r="L181" s="52" t="n">
        <f aca="false">IF(G181="","",MIN(1,G181+J181/100))</f>
        <v>0.480364178688994</v>
      </c>
      <c r="M181" s="37" t="n">
        <f aca="false">IF(F181="","",ROUND(F181*J181/100,0))</f>
        <v>12</v>
      </c>
      <c r="P181" s="54" t="n">
        <v>-4.28406196565193</v>
      </c>
      <c r="Q181" s="55" t="n">
        <f aca="false">T181*$H$5</f>
        <v>390.71668667467</v>
      </c>
      <c r="R181" s="56" t="n">
        <f aca="false">MAX(0,MIN(1,P181/100+$D$5))</f>
        <v>0.450662615232369</v>
      </c>
      <c r="S181" s="57" t="s">
        <v>123</v>
      </c>
      <c r="T181" s="55" t="n">
        <v>390.71668667467</v>
      </c>
    </row>
    <row r="182" customFormat="false" ht="15" hidden="false" customHeight="false" outlineLevel="0" collapsed="false">
      <c r="A182" s="21" t="s">
        <v>189</v>
      </c>
      <c r="B182" s="21" t="s">
        <v>320</v>
      </c>
      <c r="C182" s="21" t="s">
        <v>322</v>
      </c>
      <c r="D182" s="37" t="n">
        <f aca="false">ROUND(Q182*R182,0)</f>
        <v>130</v>
      </c>
      <c r="E182" s="37" t="n">
        <f aca="false">ROUND(Q182,0)-D182</f>
        <v>186</v>
      </c>
      <c r="F182" s="37" t="n">
        <f aca="false">IF(COUNTA(D182:E182)=0,"",SUM(D182:E182))</f>
        <v>316</v>
      </c>
      <c r="G182" s="52" t="n">
        <f aca="false">IF(OR(F182="",F182=0),"",D182/F182)</f>
        <v>0.411392405063291</v>
      </c>
      <c r="H182" s="52" t="n">
        <f aca="false">IF(OR(F182="",F182=0),"",E182/F182)</f>
        <v>0.588607594936709</v>
      </c>
      <c r="I182" s="21" t="s">
        <v>122</v>
      </c>
      <c r="J182" s="53" t="n">
        <v>3.02363014511423</v>
      </c>
      <c r="K182" s="52" t="n">
        <f aca="false">IF(G182="","",MAX(0,G182-J182/100))</f>
        <v>0.381156103612149</v>
      </c>
      <c r="L182" s="52" t="n">
        <f aca="false">IF(G182="","",MIN(1,G182+J182/100))</f>
        <v>0.441628706514434</v>
      </c>
      <c r="M182" s="37" t="n">
        <f aca="false">IF(F182="","",ROUND(F182*J182/100,0))</f>
        <v>10</v>
      </c>
      <c r="P182" s="54" t="n">
        <v>-8.19538467355068</v>
      </c>
      <c r="Q182" s="55" t="n">
        <f aca="false">T182*$H$5</f>
        <v>316.23569023569</v>
      </c>
      <c r="R182" s="56" t="n">
        <f aca="false">MAX(0,MIN(1,P182/100+$D$5))</f>
        <v>0.411549388153381</v>
      </c>
      <c r="S182" s="57" t="s">
        <v>123</v>
      </c>
      <c r="T182" s="55" t="n">
        <v>316.23569023569</v>
      </c>
    </row>
    <row r="183" customFormat="false" ht="15" hidden="false" customHeight="false" outlineLevel="0" collapsed="false">
      <c r="A183" s="21" t="s">
        <v>189</v>
      </c>
      <c r="B183" s="21" t="s">
        <v>320</v>
      </c>
      <c r="C183" s="21" t="s">
        <v>323</v>
      </c>
      <c r="D183" s="37" t="n">
        <f aca="false">ROUND(Q183*R183,0)</f>
        <v>297</v>
      </c>
      <c r="E183" s="37" t="n">
        <f aca="false">ROUND(Q183,0)-D183</f>
        <v>387</v>
      </c>
      <c r="F183" s="37" t="n">
        <f aca="false">IF(COUNTA(D183:E183)=0,"",SUM(D183:E183))</f>
        <v>684</v>
      </c>
      <c r="G183" s="52" t="n">
        <f aca="false">IF(OR(F183="",F183=0),"",D183/F183)</f>
        <v>0.43421052631579</v>
      </c>
      <c r="H183" s="52" t="n">
        <f aca="false">IF(OR(F183="",F183=0),"",E183/F183)</f>
        <v>0.565789473684211</v>
      </c>
      <c r="I183" s="21" t="s">
        <v>122</v>
      </c>
      <c r="J183" s="53" t="n">
        <v>3.02363014511423</v>
      </c>
      <c r="K183" s="52" t="n">
        <f aca="false">IF(G183="","",MAX(0,G183-J183/100))</f>
        <v>0.403974224864647</v>
      </c>
      <c r="L183" s="52" t="n">
        <f aca="false">IF(G183="","",MIN(1,G183+J183/100))</f>
        <v>0.464446827766932</v>
      </c>
      <c r="M183" s="37" t="n">
        <f aca="false">IF(F183="","",ROUND(F183*J183/100,0))</f>
        <v>21</v>
      </c>
      <c r="P183" s="54" t="n">
        <v>-5.9682900688197</v>
      </c>
      <c r="Q183" s="55" t="n">
        <f aca="false">T183*$H$5</f>
        <v>684.341030195381</v>
      </c>
      <c r="R183" s="56" t="n">
        <f aca="false">MAX(0,MIN(1,P183/100+$D$5))</f>
        <v>0.433820334200691</v>
      </c>
      <c r="S183" s="57" t="s">
        <v>123</v>
      </c>
      <c r="T183" s="55" t="n">
        <v>684.341030195381</v>
      </c>
    </row>
    <row r="184" customFormat="false" ht="15" hidden="false" customHeight="false" outlineLevel="0" collapsed="false">
      <c r="A184" s="21" t="s">
        <v>189</v>
      </c>
      <c r="B184" s="21" t="s">
        <v>324</v>
      </c>
      <c r="C184" s="21" t="s">
        <v>325</v>
      </c>
      <c r="D184" s="37" t="n">
        <f aca="false">ROUND(Q184*R184,0)</f>
        <v>722</v>
      </c>
      <c r="E184" s="37" t="n">
        <f aca="false">ROUND(Q184,0)-D184</f>
        <v>697</v>
      </c>
      <c r="F184" s="37" t="n">
        <f aca="false">IF(COUNTA(D184:E184)=0,"",SUM(D184:E184))</f>
        <v>1419</v>
      </c>
      <c r="G184" s="52" t="n">
        <f aca="false">IF(OR(F184="",F184=0),"",D184/F184)</f>
        <v>0.508809020436927</v>
      </c>
      <c r="H184" s="52" t="n">
        <f aca="false">IF(OR(F184="",F184=0),"",E184/F184)</f>
        <v>0.491190979563073</v>
      </c>
      <c r="I184" s="21" t="s">
        <v>122</v>
      </c>
      <c r="J184" s="53" t="n">
        <v>1.24981746705324</v>
      </c>
      <c r="K184" s="52" t="n">
        <f aca="false">IF(G184="","",MAX(0,G184-J184/100))</f>
        <v>0.496310845766395</v>
      </c>
      <c r="L184" s="52" t="n">
        <f aca="false">IF(G184="","",MIN(1,G184+J184/100))</f>
        <v>0.52130719510746</v>
      </c>
      <c r="M184" s="37" t="n">
        <f aca="false">IF(F184="","",ROUND(F184*J184/100,0))</f>
        <v>18</v>
      </c>
      <c r="P184" s="54" t="n">
        <v>1.52359608802185</v>
      </c>
      <c r="Q184" s="55" t="n">
        <f aca="false">T184*$H$5</f>
        <v>1418.72759856631</v>
      </c>
      <c r="R184" s="56" t="n">
        <f aca="false">MAX(0,MIN(1,P184/100+$D$5))</f>
        <v>0.508739195769107</v>
      </c>
      <c r="S184" s="57" t="s">
        <v>225</v>
      </c>
      <c r="T184" s="55" t="n">
        <v>1418.72759856631</v>
      </c>
    </row>
    <row r="185" customFormat="false" ht="15" hidden="false" customHeight="false" outlineLevel="0" collapsed="false">
      <c r="A185" s="21" t="s">
        <v>189</v>
      </c>
      <c r="B185" s="21" t="s">
        <v>324</v>
      </c>
      <c r="C185" s="21" t="s">
        <v>326</v>
      </c>
      <c r="D185" s="37" t="n">
        <f aca="false">ROUND(Q185*R185,0)</f>
        <v>337</v>
      </c>
      <c r="E185" s="37" t="n">
        <f aca="false">ROUND(Q185,0)-D185</f>
        <v>324</v>
      </c>
      <c r="F185" s="37" t="n">
        <f aca="false">IF(COUNTA(D185:E185)=0,"",SUM(D185:E185))</f>
        <v>661</v>
      </c>
      <c r="G185" s="52" t="n">
        <f aca="false">IF(OR(F185="",F185=0),"",D185/F185)</f>
        <v>0.509833585476551</v>
      </c>
      <c r="H185" s="52" t="n">
        <f aca="false">IF(OR(F185="",F185=0),"",E185/F185)</f>
        <v>0.490166414523449</v>
      </c>
      <c r="I185" s="21" t="s">
        <v>122</v>
      </c>
      <c r="J185" s="53" t="n">
        <v>3.02363014511423</v>
      </c>
      <c r="K185" s="52" t="n">
        <f aca="false">IF(G185="","",MAX(0,G185-J185/100))</f>
        <v>0.479597284025408</v>
      </c>
      <c r="L185" s="52" t="n">
        <f aca="false">IF(G185="","",MIN(1,G185+J185/100))</f>
        <v>0.540069886927693</v>
      </c>
      <c r="M185" s="37" t="n">
        <f aca="false">IF(F185="","",ROUND(F185*J185/100,0))</f>
        <v>20</v>
      </c>
      <c r="P185" s="54" t="n">
        <v>1.68011709837542</v>
      </c>
      <c r="Q185" s="55" t="n">
        <f aca="false">T185*$H$5</f>
        <v>660.903056768559</v>
      </c>
      <c r="R185" s="56" t="n">
        <f aca="false">MAX(0,MIN(1,P185/100+$D$5))</f>
        <v>0.510304405872642</v>
      </c>
      <c r="S185" s="57" t="s">
        <v>123</v>
      </c>
      <c r="T185" s="55" t="n">
        <v>660.903056768559</v>
      </c>
    </row>
    <row r="186" customFormat="false" ht="15" hidden="false" customHeight="false" outlineLevel="0" collapsed="false">
      <c r="A186" s="21" t="s">
        <v>189</v>
      </c>
      <c r="B186" s="21" t="s">
        <v>324</v>
      </c>
      <c r="C186" s="21" t="s">
        <v>327</v>
      </c>
      <c r="D186" s="37" t="n">
        <f aca="false">ROUND(Q186*R186,0)</f>
        <v>947</v>
      </c>
      <c r="E186" s="37" t="n">
        <f aca="false">ROUND(Q186,0)-D186</f>
        <v>732</v>
      </c>
      <c r="F186" s="37" t="n">
        <f aca="false">IF(COUNTA(D186:E186)=0,"",SUM(D186:E186))</f>
        <v>1679</v>
      </c>
      <c r="G186" s="52" t="n">
        <f aca="false">IF(OR(F186="",F186=0),"",D186/F186)</f>
        <v>0.564026206075045</v>
      </c>
      <c r="H186" s="52" t="n">
        <f aca="false">IF(OR(F186="",F186=0),"",E186/F186)</f>
        <v>0.435973793924955</v>
      </c>
      <c r="I186" s="21" t="s">
        <v>122</v>
      </c>
      <c r="J186" s="53" t="n">
        <v>1.24981746705324</v>
      </c>
      <c r="K186" s="52" t="n">
        <f aca="false">IF(G186="","",MAX(0,G186-J186/100))</f>
        <v>0.551528031404512</v>
      </c>
      <c r="L186" s="52" t="n">
        <f aca="false">IF(G186="","",MIN(1,G186+J186/100))</f>
        <v>0.576524380745577</v>
      </c>
      <c r="M186" s="37" t="n">
        <f aca="false">IF(F186="","",ROUND(F186*J186/100,0))</f>
        <v>21</v>
      </c>
      <c r="P186" s="54" t="n">
        <v>7.07922918069591</v>
      </c>
      <c r="Q186" s="55" t="n">
        <f aca="false">T186*$H$5</f>
        <v>1678.57188498403</v>
      </c>
      <c r="R186" s="56" t="n">
        <f aca="false">MAX(0,MIN(1,P186/100+$D$5))</f>
        <v>0.564295526695847</v>
      </c>
      <c r="S186" s="57" t="s">
        <v>225</v>
      </c>
      <c r="T186" s="55" t="n">
        <v>1678.57188498403</v>
      </c>
    </row>
    <row r="187" customFormat="false" ht="15" hidden="false" customHeight="false" outlineLevel="0" collapsed="false">
      <c r="A187" s="21" t="s">
        <v>189</v>
      </c>
      <c r="B187" s="21" t="s">
        <v>324</v>
      </c>
      <c r="C187" s="21" t="s">
        <v>328</v>
      </c>
      <c r="D187" s="37" t="n">
        <f aca="false">ROUND(Q187*R187,0)</f>
        <v>438</v>
      </c>
      <c r="E187" s="37" t="n">
        <f aca="false">ROUND(Q187,0)-D187</f>
        <v>430</v>
      </c>
      <c r="F187" s="37" t="n">
        <f aca="false">IF(COUNTA(D187:E187)=0,"",SUM(D187:E187))</f>
        <v>868</v>
      </c>
      <c r="G187" s="52" t="n">
        <f aca="false">IF(OR(F187="",F187=0),"",D187/F187)</f>
        <v>0.504608294930876</v>
      </c>
      <c r="H187" s="52" t="n">
        <f aca="false">IF(OR(F187="",F187=0),"",E187/F187)</f>
        <v>0.495391705069124</v>
      </c>
      <c r="I187" s="21" t="s">
        <v>122</v>
      </c>
      <c r="J187" s="53" t="n">
        <v>1.80877416096373</v>
      </c>
      <c r="K187" s="52" t="n">
        <f aca="false">IF(G187="","",MAX(0,G187-J187/100))</f>
        <v>0.486520553321238</v>
      </c>
      <c r="L187" s="52" t="n">
        <f aca="false">IF(G187="","",MIN(1,G187+J187/100))</f>
        <v>0.522696036540513</v>
      </c>
      <c r="M187" s="37" t="n">
        <f aca="false">IF(F187="","",ROUND(F187*J187/100,0))</f>
        <v>16</v>
      </c>
      <c r="P187" s="54" t="n">
        <v>1.04103067660627</v>
      </c>
      <c r="Q187" s="55" t="n">
        <f aca="false">T187*$H$5</f>
        <v>868.364696734059</v>
      </c>
      <c r="R187" s="56" t="n">
        <f aca="false">MAX(0,MIN(1,P187/100+$D$5))</f>
        <v>0.503913541654951</v>
      </c>
      <c r="S187" s="57" t="s">
        <v>132</v>
      </c>
      <c r="T187" s="55" t="n">
        <v>868.364696734059</v>
      </c>
    </row>
    <row r="188" customFormat="false" ht="15" hidden="false" customHeight="false" outlineLevel="0" collapsed="false">
      <c r="A188" s="21" t="s">
        <v>189</v>
      </c>
      <c r="B188" s="21" t="s">
        <v>324</v>
      </c>
      <c r="C188" s="21" t="s">
        <v>329</v>
      </c>
      <c r="D188" s="37" t="n">
        <f aca="false">ROUND(Q188*R188,0)</f>
        <v>885</v>
      </c>
      <c r="E188" s="37" t="n">
        <f aca="false">ROUND(Q188,0)-D188</f>
        <v>604</v>
      </c>
      <c r="F188" s="37" t="n">
        <f aca="false">IF(COUNTA(D188:E188)=0,"",SUM(D188:E188))</f>
        <v>1489</v>
      </c>
      <c r="G188" s="52" t="n">
        <f aca="false">IF(OR(F188="",F188=0),"",D188/F188)</f>
        <v>0.594358629952989</v>
      </c>
      <c r="H188" s="52" t="n">
        <f aca="false">IF(OR(F188="",F188=0),"",E188/F188)</f>
        <v>0.405641370047011</v>
      </c>
      <c r="I188" s="21" t="s">
        <v>122</v>
      </c>
      <c r="J188" s="53" t="n">
        <v>1.24981746705324</v>
      </c>
      <c r="K188" s="52" t="n">
        <f aca="false">IF(G188="","",MAX(0,G188-J188/100))</f>
        <v>0.581860455282456</v>
      </c>
      <c r="L188" s="52" t="n">
        <f aca="false">IF(G188="","",MIN(1,G188+J188/100))</f>
        <v>0.606856804623521</v>
      </c>
      <c r="M188" s="37" t="n">
        <f aca="false">IF(F188="","",ROUND(F188*J188/100,0))</f>
        <v>19</v>
      </c>
      <c r="P188" s="54" t="n">
        <v>10.0633463301077</v>
      </c>
      <c r="Q188" s="55" t="n">
        <f aca="false">T188*$H$5</f>
        <v>1488.84887459807</v>
      </c>
      <c r="R188" s="56" t="n">
        <f aca="false">MAX(0,MIN(1,P188/100+$D$5))</f>
        <v>0.594136698189965</v>
      </c>
      <c r="S188" s="57" t="s">
        <v>225</v>
      </c>
      <c r="T188" s="55" t="n">
        <v>1488.84887459807</v>
      </c>
    </row>
    <row r="189" customFormat="false" ht="15" hidden="false" customHeight="false" outlineLevel="0" collapsed="false">
      <c r="A189" s="21" t="s">
        <v>189</v>
      </c>
      <c r="B189" s="21" t="s">
        <v>324</v>
      </c>
      <c r="C189" s="21" t="s">
        <v>330</v>
      </c>
      <c r="D189" s="37" t="n">
        <f aca="false">ROUND(Q189*R189,0)</f>
        <v>876</v>
      </c>
      <c r="E189" s="37" t="n">
        <f aca="false">ROUND(Q189,0)-D189</f>
        <v>604</v>
      </c>
      <c r="F189" s="37" t="n">
        <f aca="false">IF(COUNTA(D189:E189)=0,"",SUM(D189:E189))</f>
        <v>1480</v>
      </c>
      <c r="G189" s="52" t="n">
        <f aca="false">IF(OR(F189="",F189=0),"",D189/F189)</f>
        <v>0.591891891891892</v>
      </c>
      <c r="H189" s="52" t="n">
        <f aca="false">IF(OR(F189="",F189=0),"",E189/F189)</f>
        <v>0.408108108108108</v>
      </c>
      <c r="I189" s="21" t="s">
        <v>122</v>
      </c>
      <c r="J189" s="53" t="n">
        <v>1.24981746705324</v>
      </c>
      <c r="K189" s="52" t="n">
        <f aca="false">IF(G189="","",MAX(0,G189-J189/100))</f>
        <v>0.57939371722136</v>
      </c>
      <c r="L189" s="52" t="n">
        <f aca="false">IF(G189="","",MIN(1,G189+J189/100))</f>
        <v>0.604390066562424</v>
      </c>
      <c r="M189" s="37" t="n">
        <f aca="false">IF(F189="","",ROUND(F189*J189/100,0))</f>
        <v>18</v>
      </c>
      <c r="P189" s="54" t="n">
        <v>9.80934203289211</v>
      </c>
      <c r="Q189" s="55" t="n">
        <f aca="false">T189*$H$5</f>
        <v>1480.29868819374</v>
      </c>
      <c r="R189" s="56" t="n">
        <f aca="false">MAX(0,MIN(1,P189/100+$D$5))</f>
        <v>0.591596655217809</v>
      </c>
      <c r="S189" s="57" t="s">
        <v>225</v>
      </c>
      <c r="T189" s="55" t="n">
        <v>1480.29868819374</v>
      </c>
    </row>
    <row r="190" customFormat="false" ht="15" hidden="false" customHeight="false" outlineLevel="0" collapsed="false">
      <c r="A190" s="21" t="s">
        <v>189</v>
      </c>
      <c r="B190" s="21" t="s">
        <v>324</v>
      </c>
      <c r="C190" s="21" t="s">
        <v>331</v>
      </c>
      <c r="D190" s="37" t="n">
        <f aca="false">ROUND(Q190*R190,0)</f>
        <v>404</v>
      </c>
      <c r="E190" s="37" t="n">
        <f aca="false">ROUND(Q190,0)-D190</f>
        <v>372</v>
      </c>
      <c r="F190" s="37" t="n">
        <f aca="false">IF(COUNTA(D190:E190)=0,"",SUM(D190:E190))</f>
        <v>776</v>
      </c>
      <c r="G190" s="52" t="n">
        <f aca="false">IF(OR(F190="",F190=0),"",D190/F190)</f>
        <v>0.520618556701031</v>
      </c>
      <c r="H190" s="52" t="n">
        <f aca="false">IF(OR(F190="",F190=0),"",E190/F190)</f>
        <v>0.479381443298969</v>
      </c>
      <c r="I190" s="21" t="s">
        <v>122</v>
      </c>
      <c r="J190" s="53" t="n">
        <v>1.80877416096373</v>
      </c>
      <c r="K190" s="52" t="n">
        <f aca="false">IF(G190="","",MAX(0,G190-J190/100))</f>
        <v>0.502530815091394</v>
      </c>
      <c r="L190" s="52" t="n">
        <f aca="false">IF(G190="","",MIN(1,G190+J190/100))</f>
        <v>0.538706298310668</v>
      </c>
      <c r="M190" s="37" t="n">
        <f aca="false">IF(F190="","",ROUND(F190*J190/100,0))</f>
        <v>14</v>
      </c>
      <c r="P190" s="54" t="n">
        <v>2.76839450186603</v>
      </c>
      <c r="Q190" s="55" t="n">
        <f aca="false">T190*$H$5</f>
        <v>775.595171773445</v>
      </c>
      <c r="R190" s="56" t="n">
        <f aca="false">MAX(0,MIN(1,P190/100+$D$5))</f>
        <v>0.521187179907549</v>
      </c>
      <c r="S190" s="57" t="s">
        <v>132</v>
      </c>
      <c r="T190" s="55" t="n">
        <v>775.595171773445</v>
      </c>
    </row>
    <row r="191" customFormat="false" ht="15" hidden="false" customHeight="false" outlineLevel="0" collapsed="false">
      <c r="A191" s="21" t="s">
        <v>189</v>
      </c>
      <c r="B191" s="21" t="s">
        <v>324</v>
      </c>
      <c r="C191" s="21" t="s">
        <v>332</v>
      </c>
      <c r="D191" s="37" t="n">
        <f aca="false">ROUND(Q191*R191,0)</f>
        <v>1077</v>
      </c>
      <c r="E191" s="37" t="n">
        <f aca="false">ROUND(Q191,0)-D191</f>
        <v>1038</v>
      </c>
      <c r="F191" s="37" t="n">
        <f aca="false">IF(COUNTA(D191:E191)=0,"",SUM(D191:E191))</f>
        <v>2115</v>
      </c>
      <c r="G191" s="52" t="n">
        <f aca="false">IF(OR(F191="",F191=0),"",D191/F191)</f>
        <v>0.509219858156028</v>
      </c>
      <c r="H191" s="52" t="n">
        <f aca="false">IF(OR(F191="",F191=0),"",E191/F191)</f>
        <v>0.490780141843972</v>
      </c>
      <c r="I191" s="21" t="s">
        <v>122</v>
      </c>
      <c r="J191" s="53" t="n">
        <v>1.24981746705324</v>
      </c>
      <c r="K191" s="52" t="n">
        <f aca="false">IF(G191="","",MAX(0,G191-J191/100))</f>
        <v>0.496721683485496</v>
      </c>
      <c r="L191" s="52" t="n">
        <f aca="false">IF(G191="","",MIN(1,G191+J191/100))</f>
        <v>0.521718032826561</v>
      </c>
      <c r="M191" s="37" t="n">
        <f aca="false">IF(F191="","",ROUND(F191*J191/100,0))</f>
        <v>26</v>
      </c>
      <c r="P191" s="54" t="n">
        <v>1.54878686677566</v>
      </c>
      <c r="Q191" s="55" t="n">
        <f aca="false">T191*$H$5</f>
        <v>2115.3476992871</v>
      </c>
      <c r="R191" s="56" t="n">
        <f aca="false">MAX(0,MIN(1,P191/100+$D$5))</f>
        <v>0.508991103556645</v>
      </c>
      <c r="S191" s="57" t="s">
        <v>225</v>
      </c>
      <c r="T191" s="55" t="n">
        <v>2115.3476992871</v>
      </c>
    </row>
    <row r="192" customFormat="false" ht="15" hidden="false" customHeight="false" outlineLevel="0" collapsed="false">
      <c r="A192" s="21" t="s">
        <v>189</v>
      </c>
      <c r="B192" s="21" t="s">
        <v>333</v>
      </c>
      <c r="C192" s="21" t="s">
        <v>334</v>
      </c>
      <c r="D192" s="37" t="n">
        <f aca="false">ROUND(Q192*R192,0)</f>
        <v>765</v>
      </c>
      <c r="E192" s="37" t="n">
        <f aca="false">ROUND(Q192,0)-D192</f>
        <v>733</v>
      </c>
      <c r="F192" s="37" t="n">
        <f aca="false">IF(COUNTA(D192:E192)=0,"",SUM(D192:E192))</f>
        <v>1498</v>
      </c>
      <c r="G192" s="52" t="n">
        <f aca="false">IF(OR(F192="",F192=0),"",D192/F192)</f>
        <v>0.51068090787717</v>
      </c>
      <c r="H192" s="52" t="n">
        <f aca="false">IF(OR(F192="",F192=0),"",E192/F192)</f>
        <v>0.48931909212283</v>
      </c>
      <c r="I192" s="21" t="s">
        <v>122</v>
      </c>
      <c r="J192" s="53" t="n">
        <v>1.24981746705324</v>
      </c>
      <c r="K192" s="52" t="n">
        <f aca="false">IF(G192="","",MAX(0,G192-J192/100))</f>
        <v>0.498182733206637</v>
      </c>
      <c r="L192" s="52" t="n">
        <f aca="false">IF(G192="","",MIN(1,G192+J192/100))</f>
        <v>0.523179082547702</v>
      </c>
      <c r="M192" s="37" t="n">
        <f aca="false">IF(F192="","",ROUND(F192*J192/100,0))</f>
        <v>19</v>
      </c>
      <c r="P192" s="54" t="n">
        <v>1.74399224362672</v>
      </c>
      <c r="Q192" s="55" t="n">
        <f aca="false">T192*$H$5</f>
        <v>1497.74778574441</v>
      </c>
      <c r="R192" s="56" t="n">
        <f aca="false">MAX(0,MIN(1,P192/100+$D$5))</f>
        <v>0.510943157325155</v>
      </c>
      <c r="S192" s="57" t="s">
        <v>225</v>
      </c>
      <c r="T192" s="55" t="n">
        <v>1497.74778574441</v>
      </c>
    </row>
    <row r="193" customFormat="false" ht="15" hidden="false" customHeight="false" outlineLevel="0" collapsed="false">
      <c r="A193" s="21" t="s">
        <v>189</v>
      </c>
      <c r="B193" s="21" t="s">
        <v>333</v>
      </c>
      <c r="C193" s="21" t="s">
        <v>335</v>
      </c>
      <c r="D193" s="37" t="n">
        <f aca="false">ROUND(Q193*R193,0)</f>
        <v>1047</v>
      </c>
      <c r="E193" s="37" t="n">
        <f aca="false">ROUND(Q193,0)-D193</f>
        <v>995</v>
      </c>
      <c r="F193" s="37" t="n">
        <f aca="false">IF(COUNTA(D193:E193)=0,"",SUM(D193:E193))</f>
        <v>2042</v>
      </c>
      <c r="G193" s="52" t="n">
        <f aca="false">IF(OR(F193="",F193=0),"",D193/F193)</f>
        <v>0.512732615083252</v>
      </c>
      <c r="H193" s="52" t="n">
        <f aca="false">IF(OR(F193="",F193=0),"",E193/F193)</f>
        <v>0.487267384916748</v>
      </c>
      <c r="I193" s="21" t="s">
        <v>122</v>
      </c>
      <c r="J193" s="53" t="n">
        <v>1.24981746705324</v>
      </c>
      <c r="K193" s="52" t="n">
        <f aca="false">IF(G193="","",MAX(0,G193-J193/100))</f>
        <v>0.500234440412719</v>
      </c>
      <c r="L193" s="52" t="n">
        <f aca="false">IF(G193="","",MIN(1,G193+J193/100))</f>
        <v>0.525230789753784</v>
      </c>
      <c r="M193" s="37" t="n">
        <f aca="false">IF(F193="","",ROUND(F193*J193/100,0))</f>
        <v>26</v>
      </c>
      <c r="P193" s="54" t="n">
        <v>1.92022410051651</v>
      </c>
      <c r="Q193" s="55" t="n">
        <f aca="false">T193*$H$5</f>
        <v>2042.15796344647</v>
      </c>
      <c r="R193" s="56" t="n">
        <f aca="false">MAX(0,MIN(1,P193/100+$D$5))</f>
        <v>0.512705475894053</v>
      </c>
      <c r="S193" s="57" t="s">
        <v>225</v>
      </c>
      <c r="T193" s="55" t="n">
        <v>2042.15796344647</v>
      </c>
    </row>
    <row r="194" customFormat="false" ht="15" hidden="false" customHeight="false" outlineLevel="0" collapsed="false">
      <c r="A194" s="21" t="s">
        <v>189</v>
      </c>
      <c r="B194" s="21" t="s">
        <v>333</v>
      </c>
      <c r="C194" s="21" t="s">
        <v>336</v>
      </c>
      <c r="D194" s="37" t="n">
        <f aca="false">ROUND(Q194*R194,0)</f>
        <v>813</v>
      </c>
      <c r="E194" s="37" t="n">
        <f aca="false">ROUND(Q194,0)-D194</f>
        <v>877</v>
      </c>
      <c r="F194" s="37" t="n">
        <f aca="false">IF(COUNTA(D194:E194)=0,"",SUM(D194:E194))</f>
        <v>1690</v>
      </c>
      <c r="G194" s="52" t="n">
        <f aca="false">IF(OR(F194="",F194=0),"",D194/F194)</f>
        <v>0.481065088757396</v>
      </c>
      <c r="H194" s="52" t="n">
        <f aca="false">IF(OR(F194="",F194=0),"",E194/F194)</f>
        <v>0.518934911242604</v>
      </c>
      <c r="I194" s="21" t="s">
        <v>122</v>
      </c>
      <c r="J194" s="53" t="n">
        <v>1.24981746705324</v>
      </c>
      <c r="K194" s="52" t="n">
        <f aca="false">IF(G194="","",MAX(0,G194-J194/100))</f>
        <v>0.468566914086864</v>
      </c>
      <c r="L194" s="52" t="n">
        <f aca="false">IF(G194="","",MIN(1,G194+J194/100))</f>
        <v>0.493563263427929</v>
      </c>
      <c r="M194" s="37" t="n">
        <f aca="false">IF(F194="","",ROUND(F194*J194/100,0))</f>
        <v>21</v>
      </c>
      <c r="P194" s="54" t="n">
        <v>-1.27302067269646</v>
      </c>
      <c r="Q194" s="55" t="n">
        <f aca="false">T194*$H$5</f>
        <v>1690.06787762906</v>
      </c>
      <c r="R194" s="56" t="n">
        <f aca="false">MAX(0,MIN(1,P194/100+$D$5))</f>
        <v>0.480773028161924</v>
      </c>
      <c r="S194" s="57" t="s">
        <v>225</v>
      </c>
      <c r="T194" s="55" t="n">
        <v>1690.06787762906</v>
      </c>
    </row>
    <row r="195" customFormat="false" ht="15" hidden="false" customHeight="false" outlineLevel="0" collapsed="false">
      <c r="A195" s="21" t="s">
        <v>189</v>
      </c>
      <c r="B195" s="21" t="s">
        <v>333</v>
      </c>
      <c r="C195" s="21" t="s">
        <v>337</v>
      </c>
      <c r="D195" s="37" t="n">
        <f aca="false">ROUND(Q195*R195,0)</f>
        <v>617</v>
      </c>
      <c r="E195" s="37" t="n">
        <f aca="false">ROUND(Q195,0)-D195</f>
        <v>529</v>
      </c>
      <c r="F195" s="37" t="n">
        <f aca="false">IF(COUNTA(D195:E195)=0,"",SUM(D195:E195))</f>
        <v>1146</v>
      </c>
      <c r="G195" s="52" t="n">
        <f aca="false">IF(OR(F195="",F195=0),"",D195/F195)</f>
        <v>0.538394415357766</v>
      </c>
      <c r="H195" s="52" t="n">
        <f aca="false">IF(OR(F195="",F195=0),"",E195/F195)</f>
        <v>0.461605584642234</v>
      </c>
      <c r="I195" s="21" t="s">
        <v>122</v>
      </c>
      <c r="J195" s="53" t="n">
        <v>1.80877416096373</v>
      </c>
      <c r="K195" s="52" t="n">
        <f aca="false">IF(G195="","",MAX(0,G195-J195/100))</f>
        <v>0.520306673748129</v>
      </c>
      <c r="L195" s="52" t="n">
        <f aca="false">IF(G195="","",MIN(1,G195+J195/100))</f>
        <v>0.556482156967403</v>
      </c>
      <c r="M195" s="37" t="n">
        <f aca="false">IF(F195="","",ROUND(F195*J195/100,0))</f>
        <v>21</v>
      </c>
      <c r="P195" s="54" t="n">
        <v>4.49680242862728</v>
      </c>
      <c r="Q195" s="55" t="n">
        <f aca="false">T195*$H$5</f>
        <v>1145.8001397624</v>
      </c>
      <c r="R195" s="56" t="n">
        <f aca="false">MAX(0,MIN(1,P195/100+$D$5))</f>
        <v>0.538471259175161</v>
      </c>
      <c r="S195" s="57" t="s">
        <v>132</v>
      </c>
      <c r="T195" s="55" t="n">
        <v>1145.8001397624</v>
      </c>
    </row>
    <row r="196" customFormat="false" ht="15" hidden="false" customHeight="false" outlineLevel="0" collapsed="false">
      <c r="A196" s="21" t="s">
        <v>189</v>
      </c>
      <c r="B196" s="21" t="s">
        <v>333</v>
      </c>
      <c r="C196" s="21" t="s">
        <v>338</v>
      </c>
      <c r="D196" s="37" t="n">
        <f aca="false">ROUND(Q196*R196,0)</f>
        <v>1469</v>
      </c>
      <c r="E196" s="37" t="n">
        <f aca="false">ROUND(Q196,0)-D196</f>
        <v>1251</v>
      </c>
      <c r="F196" s="37" t="n">
        <f aca="false">IF(COUNTA(D196:E196)=0,"",SUM(D196:E196))</f>
        <v>2720</v>
      </c>
      <c r="G196" s="52" t="n">
        <f aca="false">IF(OR(F196="",F196=0),"",D196/F196)</f>
        <v>0.540073529411765</v>
      </c>
      <c r="H196" s="52" t="n">
        <f aca="false">IF(OR(F196="",F196=0),"",E196/F196)</f>
        <v>0.459926470588235</v>
      </c>
      <c r="I196" s="21" t="s">
        <v>122</v>
      </c>
      <c r="J196" s="53" t="n">
        <v>1.24981746705324</v>
      </c>
      <c r="K196" s="52" t="n">
        <f aca="false">IF(G196="","",MAX(0,G196-J196/100))</f>
        <v>0.527575354741232</v>
      </c>
      <c r="L196" s="52" t="n">
        <f aca="false">IF(G196="","",MIN(1,G196+J196/100))</f>
        <v>0.552571704082297</v>
      </c>
      <c r="M196" s="37" t="n">
        <f aca="false">IF(F196="","",ROUND(F196*J196/100,0))</f>
        <v>34</v>
      </c>
      <c r="P196" s="54" t="n">
        <v>4.65181097637616</v>
      </c>
      <c r="Q196" s="55" t="n">
        <f aca="false">T196*$H$5</f>
        <v>2719.88153310105</v>
      </c>
      <c r="R196" s="56" t="n">
        <f aca="false">MAX(0,MIN(1,P196/100+$D$5))</f>
        <v>0.54002134465265</v>
      </c>
      <c r="S196" s="57" t="s">
        <v>225</v>
      </c>
      <c r="T196" s="55" t="n">
        <v>2719.88153310105</v>
      </c>
    </row>
    <row r="197" customFormat="false" ht="15" hidden="false" customHeight="false" outlineLevel="0" collapsed="false">
      <c r="A197" s="21" t="s">
        <v>189</v>
      </c>
      <c r="B197" s="21" t="s">
        <v>333</v>
      </c>
      <c r="C197" s="21" t="s">
        <v>339</v>
      </c>
      <c r="D197" s="37" t="n">
        <f aca="false">ROUND(Q197*R197,0)</f>
        <v>503</v>
      </c>
      <c r="E197" s="37" t="n">
        <f aca="false">ROUND(Q197,0)-D197</f>
        <v>466</v>
      </c>
      <c r="F197" s="37" t="n">
        <f aca="false">IF(COUNTA(D197:E197)=0,"",SUM(D197:E197))</f>
        <v>969</v>
      </c>
      <c r="G197" s="52" t="n">
        <f aca="false">IF(OR(F197="",F197=0),"",D197/F197)</f>
        <v>0.519091847265222</v>
      </c>
      <c r="H197" s="52" t="n">
        <f aca="false">IF(OR(F197="",F197=0),"",E197/F197)</f>
        <v>0.480908152734778</v>
      </c>
      <c r="I197" s="21" t="s">
        <v>122</v>
      </c>
      <c r="J197" s="53" t="n">
        <v>1.80877416096373</v>
      </c>
      <c r="K197" s="52" t="n">
        <f aca="false">IF(G197="","",MAX(0,G197-J197/100))</f>
        <v>0.501004105655585</v>
      </c>
      <c r="L197" s="52" t="n">
        <f aca="false">IF(G197="","",MIN(1,G197+J197/100))</f>
        <v>0.537179588874859</v>
      </c>
      <c r="M197" s="37" t="n">
        <f aca="false">IF(F197="","",ROUND(F197*J197/100,0))</f>
        <v>18</v>
      </c>
      <c r="P197" s="54" t="n">
        <v>2.59503056157181</v>
      </c>
      <c r="Q197" s="55" t="n">
        <f aca="false">T197*$H$5</f>
        <v>969.162629757786</v>
      </c>
      <c r="R197" s="56" t="n">
        <f aca="false">MAX(0,MIN(1,P197/100+$D$5))</f>
        <v>0.519453540504606</v>
      </c>
      <c r="S197" s="57" t="s">
        <v>132</v>
      </c>
      <c r="T197" s="55" t="n">
        <v>969.162629757786</v>
      </c>
    </row>
    <row r="198" customFormat="false" ht="15" hidden="false" customHeight="false" outlineLevel="0" collapsed="false">
      <c r="A198" s="21" t="s">
        <v>189</v>
      </c>
      <c r="B198" s="21" t="s">
        <v>333</v>
      </c>
      <c r="C198" s="21" t="s">
        <v>340</v>
      </c>
      <c r="D198" s="37" t="n">
        <f aca="false">ROUND(Q198*R198,0)</f>
        <v>516</v>
      </c>
      <c r="E198" s="37" t="n">
        <f aca="false">ROUND(Q198,0)-D198</f>
        <v>414</v>
      </c>
      <c r="F198" s="37" t="n">
        <f aca="false">IF(COUNTA(D198:E198)=0,"",SUM(D198:E198))</f>
        <v>930</v>
      </c>
      <c r="G198" s="52" t="n">
        <f aca="false">IF(OR(F198="",F198=0),"",D198/F198)</f>
        <v>0.554838709677419</v>
      </c>
      <c r="H198" s="52" t="n">
        <f aca="false">IF(OR(F198="",F198=0),"",E198/F198)</f>
        <v>0.445161290322581</v>
      </c>
      <c r="I198" s="21" t="s">
        <v>122</v>
      </c>
      <c r="J198" s="53" t="n">
        <v>1.80877416096373</v>
      </c>
      <c r="K198" s="52" t="n">
        <f aca="false">IF(G198="","",MAX(0,G198-J198/100))</f>
        <v>0.536750968067782</v>
      </c>
      <c r="L198" s="52" t="n">
        <f aca="false">IF(G198="","",MIN(1,G198+J198/100))</f>
        <v>0.572926451287057</v>
      </c>
      <c r="M198" s="37" t="n">
        <f aca="false">IF(F198="","",ROUND(F198*J198/100,0))</f>
        <v>17</v>
      </c>
      <c r="P198" s="54" t="n">
        <v>6.13889435038151</v>
      </c>
      <c r="Q198" s="55" t="n">
        <f aca="false">T198*$H$5</f>
        <v>929.805201992252</v>
      </c>
      <c r="R198" s="56" t="n">
        <f aca="false">MAX(0,MIN(1,P198/100+$D$5))</f>
        <v>0.554892178392703</v>
      </c>
      <c r="S198" s="57" t="s">
        <v>132</v>
      </c>
      <c r="T198" s="55" t="n">
        <v>929.805201992252</v>
      </c>
    </row>
    <row r="199" customFormat="false" ht="15" hidden="false" customHeight="false" outlineLevel="0" collapsed="false">
      <c r="A199" s="21" t="s">
        <v>189</v>
      </c>
      <c r="B199" s="21" t="s">
        <v>333</v>
      </c>
      <c r="C199" s="21" t="s">
        <v>341</v>
      </c>
      <c r="D199" s="37" t="n">
        <f aca="false">ROUND(Q199*R199,0)</f>
        <v>539</v>
      </c>
      <c r="E199" s="37" t="n">
        <f aca="false">ROUND(Q199,0)-D199</f>
        <v>505</v>
      </c>
      <c r="F199" s="37" t="n">
        <f aca="false">IF(COUNTA(D199:E199)=0,"",SUM(D199:E199))</f>
        <v>1044</v>
      </c>
      <c r="G199" s="52" t="n">
        <f aca="false">IF(OR(F199="",F199=0),"",D199/F199)</f>
        <v>0.516283524904215</v>
      </c>
      <c r="H199" s="52" t="n">
        <f aca="false">IF(OR(F199="",F199=0),"",E199/F199)</f>
        <v>0.483716475095785</v>
      </c>
      <c r="I199" s="21" t="s">
        <v>122</v>
      </c>
      <c r="J199" s="53" t="n">
        <v>1.80877416096373</v>
      </c>
      <c r="K199" s="52" t="n">
        <f aca="false">IF(G199="","",MAX(0,G199-J199/100))</f>
        <v>0.498195783294577</v>
      </c>
      <c r="L199" s="52" t="n">
        <f aca="false">IF(G199="","",MIN(1,G199+J199/100))</f>
        <v>0.534371266513852</v>
      </c>
      <c r="M199" s="37" t="n">
        <f aca="false">IF(F199="","",ROUND(F199*J199/100,0))</f>
        <v>19</v>
      </c>
      <c r="P199" s="54" t="n">
        <v>2.30625611447692</v>
      </c>
      <c r="Q199" s="55" t="n">
        <f aca="false">T199*$H$5</f>
        <v>1044.14424242424</v>
      </c>
      <c r="R199" s="56" t="n">
        <f aca="false">MAX(0,MIN(1,P199/100+$D$5))</f>
        <v>0.516565796033657</v>
      </c>
      <c r="S199" s="57" t="s">
        <v>132</v>
      </c>
      <c r="T199" s="55" t="n">
        <v>1044.14424242424</v>
      </c>
    </row>
    <row r="200" customFormat="false" ht="15" hidden="false" customHeight="false" outlineLevel="0" collapsed="false">
      <c r="A200" s="21" t="s">
        <v>189</v>
      </c>
      <c r="B200" s="21" t="s">
        <v>342</v>
      </c>
      <c r="C200" s="21" t="s">
        <v>343</v>
      </c>
      <c r="D200" s="37" t="n">
        <f aca="false">ROUND(Q200*R200,0)</f>
        <v>1255</v>
      </c>
      <c r="E200" s="37" t="n">
        <f aca="false">ROUND(Q200,0)-D200</f>
        <v>1378</v>
      </c>
      <c r="F200" s="37" t="n">
        <f aca="false">IF(COUNTA(D200:E200)=0,"",SUM(D200:E200))</f>
        <v>2633</v>
      </c>
      <c r="G200" s="52" t="n">
        <f aca="false">IF(OR(F200="",F200=0),"",D200/F200)</f>
        <v>0.476642612988986</v>
      </c>
      <c r="H200" s="52" t="n">
        <f aca="false">IF(OR(F200="",F200=0),"",E200/F200)</f>
        <v>0.523357387011014</v>
      </c>
      <c r="I200" s="21" t="s">
        <v>122</v>
      </c>
      <c r="J200" s="53" t="n">
        <v>1.24981746705324</v>
      </c>
      <c r="K200" s="52" t="n">
        <f aca="false">IF(G200="","",MAX(0,G200-J200/100))</f>
        <v>0.464144438318454</v>
      </c>
      <c r="L200" s="52" t="n">
        <f aca="false">IF(G200="","",MIN(1,G200+J200/100))</f>
        <v>0.489140787659518</v>
      </c>
      <c r="M200" s="37" t="n">
        <f aca="false">IF(F200="","",ROUND(F200*J200/100,0))</f>
        <v>33</v>
      </c>
      <c r="P200" s="54" t="n">
        <v>-1.67232460027558</v>
      </c>
      <c r="Q200" s="55" t="n">
        <f aca="false">T200*$H$5</f>
        <v>2632.829612885</v>
      </c>
      <c r="R200" s="56" t="n">
        <f aca="false">MAX(0,MIN(1,P200/100+$D$5))</f>
        <v>0.476779988886132</v>
      </c>
      <c r="S200" s="57" t="s">
        <v>225</v>
      </c>
      <c r="T200" s="55" t="n">
        <v>2632.829612885</v>
      </c>
    </row>
    <row r="201" customFormat="false" ht="15" hidden="false" customHeight="false" outlineLevel="0" collapsed="false">
      <c r="A201" s="21" t="s">
        <v>189</v>
      </c>
      <c r="B201" s="21" t="s">
        <v>342</v>
      </c>
      <c r="C201" s="21" t="s">
        <v>344</v>
      </c>
      <c r="D201" s="37" t="n">
        <f aca="false">ROUND(Q201*R201,0)</f>
        <v>782</v>
      </c>
      <c r="E201" s="37" t="n">
        <f aca="false">ROUND(Q201,0)-D201</f>
        <v>1197</v>
      </c>
      <c r="F201" s="37" t="n">
        <f aca="false">IF(COUNTA(D201:E201)=0,"",SUM(D201:E201))</f>
        <v>1979</v>
      </c>
      <c r="G201" s="52" t="n">
        <f aca="false">IF(OR(F201="",F201=0),"",D201/F201)</f>
        <v>0.395149065184437</v>
      </c>
      <c r="H201" s="52" t="n">
        <f aca="false">IF(OR(F201="",F201=0),"",E201/F201)</f>
        <v>0.604850934815563</v>
      </c>
      <c r="I201" s="21" t="s">
        <v>122</v>
      </c>
      <c r="J201" s="53" t="n">
        <v>1.24981746705324</v>
      </c>
      <c r="K201" s="52" t="n">
        <f aca="false">IF(G201="","",MAX(0,G201-J201/100))</f>
        <v>0.382650890513904</v>
      </c>
      <c r="L201" s="52" t="n">
        <f aca="false">IF(G201="","",MIN(1,G201+J201/100))</f>
        <v>0.407647239854969</v>
      </c>
      <c r="M201" s="37" t="n">
        <f aca="false">IF(F201="","",ROUND(F201*J201/100,0))</f>
        <v>25</v>
      </c>
      <c r="P201" s="54" t="n">
        <v>-9.85451733315865</v>
      </c>
      <c r="Q201" s="55" t="n">
        <f aca="false">T201*$H$5</f>
        <v>1979.37527114968</v>
      </c>
      <c r="R201" s="56" t="n">
        <f aca="false">MAX(0,MIN(1,P201/100+$D$5))</f>
        <v>0.394958061557302</v>
      </c>
      <c r="S201" s="57" t="s">
        <v>225</v>
      </c>
      <c r="T201" s="55" t="n">
        <v>1979.37527114968</v>
      </c>
    </row>
    <row r="202" customFormat="false" ht="15" hidden="false" customHeight="false" outlineLevel="0" collapsed="false">
      <c r="A202" s="21" t="s">
        <v>189</v>
      </c>
      <c r="B202" s="21" t="s">
        <v>345</v>
      </c>
      <c r="C202" s="21" t="s">
        <v>346</v>
      </c>
      <c r="D202" s="37" t="n">
        <f aca="false">ROUND(Q202*R202,0)</f>
        <v>896</v>
      </c>
      <c r="E202" s="37" t="n">
        <f aca="false">ROUND(Q202,0)-D202</f>
        <v>873</v>
      </c>
      <c r="F202" s="37" t="n">
        <f aca="false">IF(COUNTA(D202:E202)=0,"",SUM(D202:E202))</f>
        <v>1769</v>
      </c>
      <c r="G202" s="52" t="n">
        <f aca="false">IF(OR(F202="",F202=0),"",D202/F202)</f>
        <v>0.506500847936687</v>
      </c>
      <c r="H202" s="52" t="n">
        <f aca="false">IF(OR(F202="",F202=0),"",E202/F202)</f>
        <v>0.493499152063313</v>
      </c>
      <c r="I202" s="21" t="s">
        <v>122</v>
      </c>
      <c r="J202" s="53" t="n">
        <v>1.24981746705324</v>
      </c>
      <c r="K202" s="52" t="n">
        <f aca="false">IF(G202="","",MAX(0,G202-J202/100))</f>
        <v>0.494002673266155</v>
      </c>
      <c r="L202" s="52" t="n">
        <f aca="false">IF(G202="","",MIN(1,G202+J202/100))</f>
        <v>0.51899902260722</v>
      </c>
      <c r="M202" s="37" t="n">
        <f aca="false">IF(F202="","",ROUND(F202*J202/100,0))</f>
        <v>22</v>
      </c>
      <c r="P202" s="54" t="n">
        <v>1.27790589704544</v>
      </c>
      <c r="Q202" s="55" t="n">
        <f aca="false">T202*$H$5</f>
        <v>1769.05616020897</v>
      </c>
      <c r="R202" s="56" t="n">
        <f aca="false">MAX(0,MIN(1,P202/100+$D$5))</f>
        <v>0.506282293859343</v>
      </c>
      <c r="S202" s="57" t="s">
        <v>225</v>
      </c>
      <c r="T202" s="55" t="n">
        <v>1769.05616020897</v>
      </c>
    </row>
    <row r="203" customFormat="false" ht="15" hidden="false" customHeight="false" outlineLevel="0" collapsed="false">
      <c r="A203" s="21" t="s">
        <v>189</v>
      </c>
      <c r="B203" s="21" t="s">
        <v>345</v>
      </c>
      <c r="C203" s="21" t="s">
        <v>347</v>
      </c>
      <c r="D203" s="37" t="n">
        <f aca="false">ROUND(Q203*R203,0)</f>
        <v>640</v>
      </c>
      <c r="E203" s="37" t="n">
        <f aca="false">ROUND(Q203,0)-D203</f>
        <v>665</v>
      </c>
      <c r="F203" s="37" t="n">
        <f aca="false">IF(COUNTA(D203:E203)=0,"",SUM(D203:E203))</f>
        <v>1305</v>
      </c>
      <c r="G203" s="52" t="n">
        <f aca="false">IF(OR(F203="",F203=0),"",D203/F203)</f>
        <v>0.490421455938697</v>
      </c>
      <c r="H203" s="52" t="n">
        <f aca="false">IF(OR(F203="",F203=0),"",E203/F203)</f>
        <v>0.509578544061303</v>
      </c>
      <c r="I203" s="21" t="s">
        <v>122</v>
      </c>
      <c r="J203" s="53" t="n">
        <v>1.24981746705324</v>
      </c>
      <c r="K203" s="52" t="n">
        <f aca="false">IF(G203="","",MAX(0,G203-J203/100))</f>
        <v>0.477923281268165</v>
      </c>
      <c r="L203" s="52" t="n">
        <f aca="false">IF(G203="","",MIN(1,G203+J203/100))</f>
        <v>0.50291963060923</v>
      </c>
      <c r="M203" s="37" t="n">
        <f aca="false">IF(F203="","",ROUND(F203*J203/100,0))</f>
        <v>16</v>
      </c>
      <c r="P203" s="54" t="n">
        <v>-0.309283471237164</v>
      </c>
      <c r="Q203" s="55" t="n">
        <f aca="false">T203*$H$5</f>
        <v>1304.62964959569</v>
      </c>
      <c r="R203" s="56" t="n">
        <f aca="false">MAX(0,MIN(1,P203/100+$D$5))</f>
        <v>0.490410400176517</v>
      </c>
      <c r="S203" s="57" t="s">
        <v>225</v>
      </c>
      <c r="T203" s="55" t="n">
        <v>1304.62964959569</v>
      </c>
    </row>
    <row r="204" customFormat="false" ht="15" hidden="false" customHeight="false" outlineLevel="0" collapsed="false">
      <c r="A204" s="21" t="s">
        <v>189</v>
      </c>
      <c r="B204" s="21" t="s">
        <v>345</v>
      </c>
      <c r="C204" s="21" t="s">
        <v>348</v>
      </c>
      <c r="D204" s="37" t="n">
        <f aca="false">ROUND(Q204*R204,0)</f>
        <v>651</v>
      </c>
      <c r="E204" s="37" t="n">
        <f aca="false">ROUND(Q204,0)-D204</f>
        <v>663</v>
      </c>
      <c r="F204" s="37" t="n">
        <f aca="false">IF(COUNTA(D204:E204)=0,"",SUM(D204:E204))</f>
        <v>1314</v>
      </c>
      <c r="G204" s="52" t="n">
        <f aca="false">IF(OR(F204="",F204=0),"",D204/F204)</f>
        <v>0.495433789954338</v>
      </c>
      <c r="H204" s="52" t="n">
        <f aca="false">IF(OR(F204="",F204=0),"",E204/F204)</f>
        <v>0.504566210045662</v>
      </c>
      <c r="I204" s="21" t="s">
        <v>122</v>
      </c>
      <c r="J204" s="53" t="n">
        <v>1.24981746705324</v>
      </c>
      <c r="K204" s="52" t="n">
        <f aca="false">IF(G204="","",MAX(0,G204-J204/100))</f>
        <v>0.482935615283805</v>
      </c>
      <c r="L204" s="52" t="n">
        <f aca="false">IF(G204="","",MIN(1,G204+J204/100))</f>
        <v>0.50793196462487</v>
      </c>
      <c r="M204" s="37" t="n">
        <f aca="false">IF(F204="","",ROUND(F204*J204/100,0))</f>
        <v>16</v>
      </c>
      <c r="P204" s="54" t="n">
        <v>0.178712641782957</v>
      </c>
      <c r="Q204" s="55" t="n">
        <f aca="false">T204*$H$5</f>
        <v>1313.96987951807</v>
      </c>
      <c r="R204" s="56" t="n">
        <f aca="false">MAX(0,MIN(1,P204/100+$D$5))</f>
        <v>0.495290361306718</v>
      </c>
      <c r="S204" s="57" t="s">
        <v>225</v>
      </c>
      <c r="T204" s="55" t="n">
        <v>1313.96987951807</v>
      </c>
    </row>
    <row r="205" customFormat="false" ht="15" hidden="false" customHeight="false" outlineLevel="0" collapsed="false">
      <c r="A205" s="21" t="s">
        <v>189</v>
      </c>
      <c r="B205" s="21" t="s">
        <v>345</v>
      </c>
      <c r="C205" s="21" t="s">
        <v>349</v>
      </c>
      <c r="D205" s="37" t="n">
        <f aca="false">ROUND(Q205*R205,0)</f>
        <v>1406</v>
      </c>
      <c r="E205" s="37" t="n">
        <f aca="false">ROUND(Q205,0)-D205</f>
        <v>1438</v>
      </c>
      <c r="F205" s="37" t="n">
        <f aca="false">IF(COUNTA(D205:E205)=0,"",SUM(D205:E205))</f>
        <v>2844</v>
      </c>
      <c r="G205" s="52" t="n">
        <f aca="false">IF(OR(F205="",F205=0),"",D205/F205)</f>
        <v>0.494374120956399</v>
      </c>
      <c r="H205" s="52" t="n">
        <f aca="false">IF(OR(F205="",F205=0),"",E205/F205)</f>
        <v>0.505625879043601</v>
      </c>
      <c r="I205" s="21" t="s">
        <v>122</v>
      </c>
      <c r="J205" s="53" t="n">
        <v>1.24981746705324</v>
      </c>
      <c r="K205" s="52" t="n">
        <f aca="false">IF(G205="","",MAX(0,G205-J205/100))</f>
        <v>0.481875946285867</v>
      </c>
      <c r="L205" s="52" t="n">
        <f aca="false">IF(G205="","",MIN(1,G205+J205/100))</f>
        <v>0.506872295626932</v>
      </c>
      <c r="M205" s="37" t="n">
        <f aca="false">IF(F205="","",ROUND(F205*J205/100,0))</f>
        <v>36</v>
      </c>
      <c r="P205" s="54" t="n">
        <v>0.0669946105215263</v>
      </c>
      <c r="Q205" s="55" t="n">
        <f aca="false">T205*$H$5</f>
        <v>2844.46927374302</v>
      </c>
      <c r="R205" s="56" t="n">
        <f aca="false">MAX(0,MIN(1,P205/100+$D$5))</f>
        <v>0.494173180994103</v>
      </c>
      <c r="S205" s="57" t="s">
        <v>225</v>
      </c>
      <c r="T205" s="55" t="n">
        <v>2844.46927374302</v>
      </c>
    </row>
    <row r="206" customFormat="false" ht="15" hidden="false" customHeight="false" outlineLevel="0" collapsed="false">
      <c r="A206" s="21" t="s">
        <v>189</v>
      </c>
      <c r="B206" s="21" t="s">
        <v>345</v>
      </c>
      <c r="C206" s="21" t="s">
        <v>350</v>
      </c>
      <c r="D206" s="37" t="n">
        <f aca="false">ROUND(Q206*R206,0)</f>
        <v>560</v>
      </c>
      <c r="E206" s="37" t="n">
        <f aca="false">ROUND(Q206,0)-D206</f>
        <v>536</v>
      </c>
      <c r="F206" s="37" t="n">
        <f aca="false">IF(COUNTA(D206:E206)=0,"",SUM(D206:E206))</f>
        <v>1096</v>
      </c>
      <c r="G206" s="52" t="n">
        <f aca="false">IF(OR(F206="",F206=0),"",D206/F206)</f>
        <v>0.510948905109489</v>
      </c>
      <c r="H206" s="52" t="n">
        <f aca="false">IF(OR(F206="",F206=0),"",E206/F206)</f>
        <v>0.489051094890511</v>
      </c>
      <c r="I206" s="21" t="s">
        <v>122</v>
      </c>
      <c r="J206" s="53" t="n">
        <v>1.80877416096373</v>
      </c>
      <c r="K206" s="52" t="n">
        <f aca="false">IF(G206="","",MAX(0,G206-J206/100))</f>
        <v>0.492861163499852</v>
      </c>
      <c r="L206" s="52" t="n">
        <f aca="false">IF(G206="","",MIN(1,G206+J206/100))</f>
        <v>0.529036646719126</v>
      </c>
      <c r="M206" s="37" t="n">
        <f aca="false">IF(F206="","",ROUND(F206*J206/100,0))</f>
        <v>20</v>
      </c>
      <c r="P206" s="54" t="n">
        <v>1.74546446766982</v>
      </c>
      <c r="Q206" s="55" t="n">
        <f aca="false">T206*$H$5</f>
        <v>1095.71313506815</v>
      </c>
      <c r="R206" s="56" t="n">
        <f aca="false">MAX(0,MIN(1,P206/100+$D$5))</f>
        <v>0.510957879565587</v>
      </c>
      <c r="S206" s="57" t="s">
        <v>132</v>
      </c>
      <c r="T206" s="55" t="n">
        <v>1095.71313506815</v>
      </c>
    </row>
    <row r="207" customFormat="false" ht="15" hidden="false" customHeight="false" outlineLevel="0" collapsed="false">
      <c r="A207" s="21" t="s">
        <v>189</v>
      </c>
      <c r="B207" s="21" t="s">
        <v>345</v>
      </c>
      <c r="C207" s="21" t="s">
        <v>351</v>
      </c>
      <c r="D207" s="37" t="n">
        <f aca="false">ROUND(Q207*R207,0)</f>
        <v>539</v>
      </c>
      <c r="E207" s="37" t="n">
        <f aca="false">ROUND(Q207,0)-D207</f>
        <v>485</v>
      </c>
      <c r="F207" s="37" t="n">
        <f aca="false">IF(COUNTA(D207:E207)=0,"",SUM(D207:E207))</f>
        <v>1024</v>
      </c>
      <c r="G207" s="52" t="n">
        <f aca="false">IF(OR(F207="",F207=0),"",D207/F207)</f>
        <v>0.5263671875</v>
      </c>
      <c r="H207" s="52" t="n">
        <f aca="false">IF(OR(F207="",F207=0),"",E207/F207)</f>
        <v>0.4736328125</v>
      </c>
      <c r="I207" s="21" t="s">
        <v>122</v>
      </c>
      <c r="J207" s="53" t="n">
        <v>1.80877416096373</v>
      </c>
      <c r="K207" s="52" t="n">
        <f aca="false">IF(G207="","",MAX(0,G207-J207/100))</f>
        <v>0.508279445890363</v>
      </c>
      <c r="L207" s="52" t="n">
        <f aca="false">IF(G207="","",MIN(1,G207+J207/100))</f>
        <v>0.544454929109637</v>
      </c>
      <c r="M207" s="37" t="n">
        <f aca="false">IF(F207="","",ROUND(F207*J207/100,0))</f>
        <v>19</v>
      </c>
      <c r="P207" s="54" t="n">
        <v>3.26223128631303</v>
      </c>
      <c r="Q207" s="55" t="n">
        <f aca="false">T207*$H$5</f>
        <v>1023.63518138262</v>
      </c>
      <c r="R207" s="56" t="n">
        <f aca="false">MAX(0,MIN(1,P207/100+$D$5))</f>
        <v>0.526125547752019</v>
      </c>
      <c r="S207" s="57" t="s">
        <v>132</v>
      </c>
      <c r="T207" s="55" t="n">
        <v>1023.63518138262</v>
      </c>
    </row>
    <row r="208" customFormat="false" ht="15" hidden="false" customHeight="false" outlineLevel="0" collapsed="false">
      <c r="A208" s="21" t="s">
        <v>189</v>
      </c>
      <c r="B208" s="21" t="s">
        <v>352</v>
      </c>
      <c r="C208" s="21" t="s">
        <v>353</v>
      </c>
      <c r="D208" s="37" t="n">
        <f aca="false">ROUND(Q208*R208,0)</f>
        <v>195</v>
      </c>
      <c r="E208" s="37" t="n">
        <f aca="false">ROUND(Q208,0)-D208</f>
        <v>409</v>
      </c>
      <c r="F208" s="37" t="n">
        <f aca="false">IF(COUNTA(D208:E208)=0,"",SUM(D208:E208))</f>
        <v>604</v>
      </c>
      <c r="G208" s="52" t="n">
        <f aca="false">IF(OR(F208="",F208=0),"",D208/F208)</f>
        <v>0.322847682119205</v>
      </c>
      <c r="H208" s="52" t="n">
        <f aca="false">IF(OR(F208="",F208=0),"",E208/F208)</f>
        <v>0.677152317880795</v>
      </c>
      <c r="I208" s="21" t="s">
        <v>122</v>
      </c>
      <c r="J208" s="53" t="n">
        <v>3.02363014511423</v>
      </c>
      <c r="K208" s="52" t="n">
        <f aca="false">IF(G208="","",MAX(0,G208-J208/100))</f>
        <v>0.292611380668063</v>
      </c>
      <c r="L208" s="52" t="n">
        <f aca="false">IF(G208="","",MIN(1,G208+J208/100))</f>
        <v>0.353083983570348</v>
      </c>
      <c r="M208" s="37" t="n">
        <f aca="false">IF(F208="","",ROUND(F208*J208/100,0))</f>
        <v>18</v>
      </c>
      <c r="P208" s="54" t="n">
        <v>-17.01345416685</v>
      </c>
      <c r="Q208" s="55" t="n">
        <f aca="false">T208*$H$5</f>
        <v>604.352941176471</v>
      </c>
      <c r="R208" s="56" t="n">
        <f aca="false">MAX(0,MIN(1,P208/100+$D$5))</f>
        <v>0.323368693220388</v>
      </c>
      <c r="S208" s="57" t="s">
        <v>123</v>
      </c>
      <c r="T208" s="55" t="n">
        <v>604.352941176471</v>
      </c>
    </row>
    <row r="209" customFormat="false" ht="15" hidden="false" customHeight="false" outlineLevel="0" collapsed="false">
      <c r="A209" s="21" t="s">
        <v>189</v>
      </c>
      <c r="B209" s="21" t="s">
        <v>352</v>
      </c>
      <c r="C209" s="21" t="s">
        <v>354</v>
      </c>
      <c r="D209" s="37" t="n">
        <f aca="false">ROUND(Q209*R209,0)</f>
        <v>680</v>
      </c>
      <c r="E209" s="37" t="n">
        <f aca="false">ROUND(Q209,0)-D209</f>
        <v>1277</v>
      </c>
      <c r="F209" s="37" t="n">
        <f aca="false">IF(COUNTA(D209:E209)=0,"",SUM(D209:E209))</f>
        <v>1957</v>
      </c>
      <c r="G209" s="52" t="n">
        <f aca="false">IF(OR(F209="",F209=0),"",D209/F209)</f>
        <v>0.347470618293306</v>
      </c>
      <c r="H209" s="52" t="n">
        <f aca="false">IF(OR(F209="",F209=0),"",E209/F209)</f>
        <v>0.652529381706694</v>
      </c>
      <c r="I209" s="21" t="s">
        <v>122</v>
      </c>
      <c r="J209" s="53" t="n">
        <v>1.24981746705324</v>
      </c>
      <c r="K209" s="52" t="n">
        <f aca="false">IF(G209="","",MAX(0,G209-J209/100))</f>
        <v>0.334972443622774</v>
      </c>
      <c r="L209" s="52" t="n">
        <f aca="false">IF(G209="","",MIN(1,G209+J209/100))</f>
        <v>0.359968792963839</v>
      </c>
      <c r="M209" s="37" t="n">
        <f aca="false">IF(F209="","",ROUND(F209*J209/100,0))</f>
        <v>24</v>
      </c>
      <c r="P209" s="54" t="n">
        <v>-14.6162295782494</v>
      </c>
      <c r="Q209" s="55" t="n">
        <f aca="false">T209*$H$5</f>
        <v>1956.62307176392</v>
      </c>
      <c r="R209" s="56" t="n">
        <f aca="false">MAX(0,MIN(1,P209/100+$D$5))</f>
        <v>0.347340939106394</v>
      </c>
      <c r="S209" s="57" t="s">
        <v>225</v>
      </c>
      <c r="T209" s="55" t="n">
        <v>1956.62307176392</v>
      </c>
    </row>
    <row r="210" customFormat="false" ht="15" hidden="false" customHeight="false" outlineLevel="0" collapsed="false">
      <c r="A210" s="21" t="s">
        <v>189</v>
      </c>
      <c r="B210" s="21" t="s">
        <v>352</v>
      </c>
      <c r="C210" s="21" t="s">
        <v>355</v>
      </c>
      <c r="D210" s="37" t="n">
        <f aca="false">ROUND(Q210*R210,0)</f>
        <v>160</v>
      </c>
      <c r="E210" s="37" t="n">
        <f aca="false">ROUND(Q210,0)-D210</f>
        <v>382</v>
      </c>
      <c r="F210" s="37" t="n">
        <f aca="false">IF(COUNTA(D210:E210)=0,"",SUM(D210:E210))</f>
        <v>542</v>
      </c>
      <c r="G210" s="52" t="n">
        <f aca="false">IF(OR(F210="",F210=0),"",D210/F210)</f>
        <v>0.29520295202952</v>
      </c>
      <c r="H210" s="52" t="n">
        <f aca="false">IF(OR(F210="",F210=0),"",E210/F210)</f>
        <v>0.70479704797048</v>
      </c>
      <c r="I210" s="21" t="s">
        <v>122</v>
      </c>
      <c r="J210" s="53" t="n">
        <v>3.02363014511423</v>
      </c>
      <c r="K210" s="52" t="n">
        <f aca="false">IF(G210="","",MAX(0,G210-J210/100))</f>
        <v>0.264966650578378</v>
      </c>
      <c r="L210" s="52" t="n">
        <f aca="false">IF(G210="","",MIN(1,G210+J210/100))</f>
        <v>0.325439253480663</v>
      </c>
      <c r="M210" s="37" t="n">
        <f aca="false">IF(F210="","",ROUND(F210*J210/100,0))</f>
        <v>16</v>
      </c>
      <c r="P210" s="54" t="n">
        <v>-19.9030136825154</v>
      </c>
      <c r="Q210" s="55" t="n">
        <f aca="false">T210*$H$5</f>
        <v>542.370466321243</v>
      </c>
      <c r="R210" s="56" t="n">
        <f aca="false">MAX(0,MIN(1,P210/100+$D$5))</f>
        <v>0.294473098063734</v>
      </c>
      <c r="S210" s="57" t="s">
        <v>123</v>
      </c>
      <c r="T210" s="55" t="n">
        <v>542.370466321243</v>
      </c>
    </row>
    <row r="211" customFormat="false" ht="15" hidden="false" customHeight="false" outlineLevel="0" collapsed="false">
      <c r="A211" s="21" t="s">
        <v>189</v>
      </c>
      <c r="B211" s="21" t="s">
        <v>356</v>
      </c>
      <c r="C211" s="21" t="s">
        <v>356</v>
      </c>
      <c r="D211" s="37" t="n">
        <f aca="false">ROUND(Q211*R211,0)</f>
        <v>988</v>
      </c>
      <c r="E211" s="37" t="n">
        <f aca="false">ROUND(Q211,0)-D211</f>
        <v>1752</v>
      </c>
      <c r="F211" s="37" t="n">
        <f aca="false">IF(COUNTA(D211:E211)=0,"",SUM(D211:E211))</f>
        <v>2740</v>
      </c>
      <c r="G211" s="52" t="n">
        <f aca="false">IF(OR(F211="",F211=0),"",D211/F211)</f>
        <v>0.360583941605839</v>
      </c>
      <c r="H211" s="52" t="n">
        <f aca="false">IF(OR(F211="",F211=0),"",E211/F211)</f>
        <v>0.639416058394161</v>
      </c>
      <c r="I211" s="21" t="s">
        <v>122</v>
      </c>
      <c r="J211" s="53" t="n">
        <v>1.24981746705324</v>
      </c>
      <c r="K211" s="52" t="n">
        <f aca="false">IF(G211="","",MAX(0,G211-J211/100))</f>
        <v>0.348085766935307</v>
      </c>
      <c r="L211" s="52" t="n">
        <f aca="false">IF(G211="","",MIN(1,G211+J211/100))</f>
        <v>0.373082116276372</v>
      </c>
      <c r="M211" s="37" t="n">
        <f aca="false">IF(F211="","",ROUND(F211*J211/100,0))</f>
        <v>34</v>
      </c>
      <c r="P211" s="54" t="n">
        <v>-13.3025039192031</v>
      </c>
      <c r="Q211" s="55" t="n">
        <f aca="false">T211*$H$5</f>
        <v>2739.5017118778</v>
      </c>
      <c r="R211" s="56" t="n">
        <f aca="false">MAX(0,MIN(1,P211/100+$D$5))</f>
        <v>0.360478195696857</v>
      </c>
      <c r="S211" s="57" t="s">
        <v>225</v>
      </c>
      <c r="T211" s="55" t="n">
        <v>2739.5017118778</v>
      </c>
    </row>
    <row r="212" customFormat="false" ht="15" hidden="false" customHeight="false" outlineLevel="0" collapsed="false">
      <c r="A212" s="21" t="s">
        <v>189</v>
      </c>
      <c r="B212" s="21" t="s">
        <v>357</v>
      </c>
      <c r="C212" s="21" t="s">
        <v>358</v>
      </c>
      <c r="D212" s="37" t="n">
        <f aca="false">ROUND(Q212*R212,0)</f>
        <v>671</v>
      </c>
      <c r="E212" s="37" t="n">
        <f aca="false">ROUND(Q212,0)-D212</f>
        <v>699</v>
      </c>
      <c r="F212" s="37" t="n">
        <f aca="false">IF(COUNTA(D212:E212)=0,"",SUM(D212:E212))</f>
        <v>1370</v>
      </c>
      <c r="G212" s="52" t="n">
        <f aca="false">IF(OR(F212="",F212=0),"",D212/F212)</f>
        <v>0.48978102189781</v>
      </c>
      <c r="H212" s="52" t="n">
        <f aca="false">IF(OR(F212="",F212=0),"",E212/F212)</f>
        <v>0.51021897810219</v>
      </c>
      <c r="I212" s="21" t="s">
        <v>122</v>
      </c>
      <c r="J212" s="53" t="n">
        <v>1.24981746705324</v>
      </c>
      <c r="K212" s="52" t="n">
        <f aca="false">IF(G212="","",MAX(0,G212-J212/100))</f>
        <v>0.477282847227278</v>
      </c>
      <c r="L212" s="52" t="n">
        <f aca="false">IF(G212="","",MIN(1,G212+J212/100))</f>
        <v>0.502279196568343</v>
      </c>
      <c r="M212" s="37" t="n">
        <f aca="false">IF(F212="","",ROUND(F212*J212/100,0))</f>
        <v>17</v>
      </c>
      <c r="P212" s="54" t="n">
        <v>-0.34224875066981</v>
      </c>
      <c r="Q212" s="55" t="n">
        <f aca="false">T212*$H$5</f>
        <v>1370.10933470861</v>
      </c>
      <c r="R212" s="56" t="n">
        <f aca="false">MAX(0,MIN(1,P212/100+$D$5))</f>
        <v>0.49008074738219</v>
      </c>
      <c r="S212" s="57" t="s">
        <v>225</v>
      </c>
      <c r="T212" s="55" t="n">
        <v>1370.10933470861</v>
      </c>
    </row>
    <row r="213" customFormat="false" ht="15" hidden="false" customHeight="false" outlineLevel="0" collapsed="false">
      <c r="A213" s="21" t="s">
        <v>189</v>
      </c>
      <c r="B213" s="21" t="s">
        <v>357</v>
      </c>
      <c r="C213" s="21" t="s">
        <v>359</v>
      </c>
      <c r="D213" s="37" t="n">
        <f aca="false">ROUND(Q213*R213,0)</f>
        <v>478</v>
      </c>
      <c r="E213" s="37" t="n">
        <f aca="false">ROUND(Q213,0)-D213</f>
        <v>498</v>
      </c>
      <c r="F213" s="37" t="n">
        <f aca="false">IF(COUNTA(D213:E213)=0,"",SUM(D213:E213))</f>
        <v>976</v>
      </c>
      <c r="G213" s="52" t="n">
        <f aca="false">IF(OR(F213="",F213=0),"",D213/F213)</f>
        <v>0.489754098360656</v>
      </c>
      <c r="H213" s="52" t="n">
        <f aca="false">IF(OR(F213="",F213=0),"",E213/F213)</f>
        <v>0.510245901639344</v>
      </c>
      <c r="I213" s="21" t="s">
        <v>122</v>
      </c>
      <c r="J213" s="53" t="n">
        <v>1.80877416096373</v>
      </c>
      <c r="K213" s="52" t="n">
        <f aca="false">IF(G213="","",MAX(0,G213-J213/100))</f>
        <v>0.471666356751018</v>
      </c>
      <c r="L213" s="52" t="n">
        <f aca="false">IF(G213="","",MIN(1,G213+J213/100))</f>
        <v>0.507841839970293</v>
      </c>
      <c r="M213" s="37" t="n">
        <f aca="false">IF(F213="","",ROUND(F213*J213/100,0))</f>
        <v>18</v>
      </c>
      <c r="P213" s="54" t="n">
        <v>-0.336549114968295</v>
      </c>
      <c r="Q213" s="55" t="n">
        <f aca="false">T213*$H$5</f>
        <v>975.592154420922</v>
      </c>
      <c r="R213" s="56" t="n">
        <f aca="false">MAX(0,MIN(1,P213/100+$D$5))</f>
        <v>0.490137743739205</v>
      </c>
      <c r="S213" s="57" t="s">
        <v>132</v>
      </c>
      <c r="T213" s="55" t="n">
        <v>975.592154420922</v>
      </c>
    </row>
    <row r="214" customFormat="false" ht="15" hidden="false" customHeight="false" outlineLevel="0" collapsed="false">
      <c r="A214" s="21" t="s">
        <v>189</v>
      </c>
      <c r="B214" s="21" t="s">
        <v>357</v>
      </c>
      <c r="C214" s="21" t="s">
        <v>360</v>
      </c>
      <c r="D214" s="37" t="n">
        <f aca="false">ROUND(Q214*R214,0)</f>
        <v>526</v>
      </c>
      <c r="E214" s="37" t="n">
        <f aca="false">ROUND(Q214,0)-D214</f>
        <v>411</v>
      </c>
      <c r="F214" s="37" t="n">
        <f aca="false">IF(COUNTA(D214:E214)=0,"",SUM(D214:E214))</f>
        <v>937</v>
      </c>
      <c r="G214" s="52" t="n">
        <f aca="false">IF(OR(F214="",F214=0),"",D214/F214)</f>
        <v>0.56136606189968</v>
      </c>
      <c r="H214" s="52" t="n">
        <f aca="false">IF(OR(F214="",F214=0),"",E214/F214)</f>
        <v>0.43863393810032</v>
      </c>
      <c r="I214" s="21" t="s">
        <v>122</v>
      </c>
      <c r="J214" s="53" t="n">
        <v>1.80877416096373</v>
      </c>
      <c r="K214" s="52" t="n">
        <f aca="false">IF(G214="","",MAX(0,G214-J214/100))</f>
        <v>0.543278320290043</v>
      </c>
      <c r="L214" s="52" t="n">
        <f aca="false">IF(G214="","",MIN(1,G214+J214/100))</f>
        <v>0.579453803509317</v>
      </c>
      <c r="M214" s="37" t="n">
        <f aca="false">IF(F214="","",ROUND(F214*J214/100,0))</f>
        <v>17</v>
      </c>
      <c r="P214" s="54" t="n">
        <v>6.76962000293171</v>
      </c>
      <c r="Q214" s="55" t="n">
        <f aca="false">T214*$H$5</f>
        <v>936.993243243243</v>
      </c>
      <c r="R214" s="56" t="n">
        <f aca="false">MAX(0,MIN(1,P214/100+$D$5))</f>
        <v>0.561199434918205</v>
      </c>
      <c r="S214" s="57" t="s">
        <v>132</v>
      </c>
      <c r="T214" s="55" t="n">
        <v>936.993243243243</v>
      </c>
    </row>
    <row r="215" customFormat="false" ht="15" hidden="false" customHeight="false" outlineLevel="0" collapsed="false">
      <c r="A215" s="21" t="s">
        <v>189</v>
      </c>
      <c r="B215" s="21" t="s">
        <v>357</v>
      </c>
      <c r="C215" s="21" t="s">
        <v>361</v>
      </c>
      <c r="D215" s="37" t="n">
        <f aca="false">ROUND(Q215*R215,0)</f>
        <v>587</v>
      </c>
      <c r="E215" s="37" t="n">
        <f aca="false">ROUND(Q215,0)-D215</f>
        <v>417</v>
      </c>
      <c r="F215" s="37" t="n">
        <f aca="false">IF(COUNTA(D215:E215)=0,"",SUM(D215:E215))</f>
        <v>1004</v>
      </c>
      <c r="G215" s="52" t="n">
        <f aca="false">IF(OR(F215="",F215=0),"",D215/F215)</f>
        <v>0.584661354581673</v>
      </c>
      <c r="H215" s="52" t="n">
        <f aca="false">IF(OR(F215="",F215=0),"",E215/F215)</f>
        <v>0.415338645418327</v>
      </c>
      <c r="I215" s="21" t="s">
        <v>122</v>
      </c>
      <c r="J215" s="53" t="n">
        <v>1.80877416096373</v>
      </c>
      <c r="K215" s="52" t="n">
        <f aca="false">IF(G215="","",MAX(0,G215-J215/100))</f>
        <v>0.566573612972036</v>
      </c>
      <c r="L215" s="52" t="n">
        <f aca="false">IF(G215="","",MIN(1,G215+J215/100))</f>
        <v>0.602749096191311</v>
      </c>
      <c r="M215" s="37" t="n">
        <f aca="false">IF(F215="","",ROUND(F215*J215/100,0))</f>
        <v>18</v>
      </c>
      <c r="P215" s="54" t="n">
        <v>9.15746890041884</v>
      </c>
      <c r="Q215" s="55" t="n">
        <f aca="false">T215*$H$5</f>
        <v>1003.94947569114</v>
      </c>
      <c r="R215" s="56" t="n">
        <f aca="false">MAX(0,MIN(1,P215/100+$D$5))</f>
        <v>0.585077923893077</v>
      </c>
      <c r="S215" s="57" t="s">
        <v>132</v>
      </c>
      <c r="T215" s="55" t="n">
        <v>1003.94947569114</v>
      </c>
    </row>
    <row r="216" customFormat="false" ht="15" hidden="false" customHeight="false" outlineLevel="0" collapsed="false">
      <c r="A216" s="21" t="s">
        <v>189</v>
      </c>
      <c r="B216" s="21" t="s">
        <v>357</v>
      </c>
      <c r="C216" s="21" t="s">
        <v>362</v>
      </c>
      <c r="D216" s="37" t="n">
        <f aca="false">ROUND(Q216*R216,0)</f>
        <v>221</v>
      </c>
      <c r="E216" s="37" t="n">
        <f aca="false">ROUND(Q216,0)-D216</f>
        <v>178</v>
      </c>
      <c r="F216" s="37" t="n">
        <f aca="false">IF(COUNTA(D216:E216)=0,"",SUM(D216:E216))</f>
        <v>399</v>
      </c>
      <c r="G216" s="52" t="n">
        <f aca="false">IF(OR(F216="",F216=0),"",D216/F216)</f>
        <v>0.553884711779449</v>
      </c>
      <c r="H216" s="52" t="n">
        <f aca="false">IF(OR(F216="",F216=0),"",E216/F216)</f>
        <v>0.446115288220551</v>
      </c>
      <c r="I216" s="21" t="s">
        <v>122</v>
      </c>
      <c r="J216" s="53" t="n">
        <v>3.02363014511423</v>
      </c>
      <c r="K216" s="52" t="n">
        <f aca="false">IF(G216="","",MAX(0,G216-J216/100))</f>
        <v>0.523648410328306</v>
      </c>
      <c r="L216" s="52" t="n">
        <f aca="false">IF(G216="","",MIN(1,G216+J216/100))</f>
        <v>0.584121013230591</v>
      </c>
      <c r="M216" s="37" t="n">
        <f aca="false">IF(F216="","",ROUND(F216*J216/100,0))</f>
        <v>12</v>
      </c>
      <c r="P216" s="54" t="n">
        <v>6.19488312589435</v>
      </c>
      <c r="Q216" s="55" t="n">
        <f aca="false">T216*$H$5</f>
        <v>398.675306957708</v>
      </c>
      <c r="R216" s="56" t="n">
        <f aca="false">MAX(0,MIN(1,P216/100+$D$5))</f>
        <v>0.555452066147832</v>
      </c>
      <c r="S216" s="57" t="s">
        <v>123</v>
      </c>
      <c r="T216" s="55" t="n">
        <v>398.675306957708</v>
      </c>
    </row>
    <row r="217" customFormat="false" ht="15" hidden="false" customHeight="false" outlineLevel="0" collapsed="false">
      <c r="A217" s="21" t="s">
        <v>189</v>
      </c>
      <c r="B217" s="21" t="s">
        <v>357</v>
      </c>
      <c r="C217" s="21" t="s">
        <v>363</v>
      </c>
      <c r="D217" s="37" t="n">
        <f aca="false">ROUND(Q217*R217,0)</f>
        <v>312</v>
      </c>
      <c r="E217" s="37" t="n">
        <f aca="false">ROUND(Q217,0)-D217</f>
        <v>208</v>
      </c>
      <c r="F217" s="37" t="n">
        <f aca="false">IF(COUNTA(D217:E217)=0,"",SUM(D217:E217))</f>
        <v>520</v>
      </c>
      <c r="G217" s="52" t="n">
        <f aca="false">IF(OR(F217="",F217=0),"",D217/F217)</f>
        <v>0.6</v>
      </c>
      <c r="H217" s="52" t="n">
        <f aca="false">IF(OR(F217="",F217=0),"",E217/F217)</f>
        <v>0.4</v>
      </c>
      <c r="I217" s="21" t="s">
        <v>122</v>
      </c>
      <c r="J217" s="53" t="n">
        <v>3.02363014511423</v>
      </c>
      <c r="K217" s="52" t="n">
        <f aca="false">IF(G217="","",MAX(0,G217-J217/100))</f>
        <v>0.569763698548858</v>
      </c>
      <c r="L217" s="52" t="n">
        <f aca="false">IF(G217="","",MIN(1,G217+J217/100))</f>
        <v>0.630236301451142</v>
      </c>
      <c r="M217" s="37" t="n">
        <f aca="false">IF(F217="","",ROUND(F217*J217/100,0))</f>
        <v>16</v>
      </c>
      <c r="P217" s="54" t="n">
        <v>10.5881993508468</v>
      </c>
      <c r="Q217" s="55" t="n">
        <f aca="false">T217*$H$5</f>
        <v>520.227272727273</v>
      </c>
      <c r="R217" s="56" t="n">
        <f aca="false">MAX(0,MIN(1,P217/100+$D$5))</f>
        <v>0.599385228397356</v>
      </c>
      <c r="S217" s="57" t="s">
        <v>123</v>
      </c>
      <c r="T217" s="55" t="n">
        <v>520.227272727273</v>
      </c>
    </row>
    <row r="218" customFormat="false" ht="15" hidden="false" customHeight="false" outlineLevel="0" collapsed="false">
      <c r="A218" s="21" t="s">
        <v>189</v>
      </c>
      <c r="B218" s="21" t="s">
        <v>357</v>
      </c>
      <c r="C218" s="21" t="s">
        <v>364</v>
      </c>
      <c r="D218" s="37" t="n">
        <f aca="false">ROUND(Q218*R218,0)</f>
        <v>385</v>
      </c>
      <c r="E218" s="37" t="n">
        <f aca="false">ROUND(Q218,0)-D218</f>
        <v>302</v>
      </c>
      <c r="F218" s="37" t="n">
        <f aca="false">IF(COUNTA(D218:E218)=0,"",SUM(D218:E218))</f>
        <v>687</v>
      </c>
      <c r="G218" s="52" t="n">
        <f aca="false">IF(OR(F218="",F218=0),"",D218/F218)</f>
        <v>0.560407569141194</v>
      </c>
      <c r="H218" s="52" t="n">
        <f aca="false">IF(OR(F218="",F218=0),"",E218/F218)</f>
        <v>0.439592430858806</v>
      </c>
      <c r="I218" s="21" t="s">
        <v>122</v>
      </c>
      <c r="J218" s="53" t="n">
        <v>3.02363014511423</v>
      </c>
      <c r="K218" s="52" t="n">
        <f aca="false">IF(G218="","",MAX(0,G218-J218/100))</f>
        <v>0.530171267690051</v>
      </c>
      <c r="L218" s="52" t="n">
        <f aca="false">IF(G218="","",MIN(1,G218+J218/100))</f>
        <v>0.590643870592336</v>
      </c>
      <c r="M218" s="37" t="n">
        <f aca="false">IF(F218="","",ROUND(F218*J218/100,0))</f>
        <v>21</v>
      </c>
      <c r="P218" s="54" t="n">
        <v>6.65824283126126</v>
      </c>
      <c r="Q218" s="55" t="n">
        <f aca="false">T218*$H$5</f>
        <v>687.489614243323</v>
      </c>
      <c r="R218" s="56" t="n">
        <f aca="false">MAX(0,MIN(1,P218/100+$D$5))</f>
        <v>0.560085663201501</v>
      </c>
      <c r="S218" s="57" t="s">
        <v>123</v>
      </c>
      <c r="T218" s="55" t="n">
        <v>687.489614243323</v>
      </c>
    </row>
    <row r="219" customFormat="false" ht="15" hidden="false" customHeight="false" outlineLevel="0" collapsed="false">
      <c r="A219" s="21" t="s">
        <v>189</v>
      </c>
      <c r="B219" s="21" t="s">
        <v>357</v>
      </c>
      <c r="C219" s="21" t="s">
        <v>365</v>
      </c>
      <c r="D219" s="37" t="n">
        <f aca="false">ROUND(Q219*R219,0)</f>
        <v>221</v>
      </c>
      <c r="E219" s="37" t="n">
        <f aca="false">ROUND(Q219,0)-D219</f>
        <v>229</v>
      </c>
      <c r="F219" s="37" t="n">
        <f aca="false">IF(COUNTA(D219:E219)=0,"",SUM(D219:E219))</f>
        <v>450</v>
      </c>
      <c r="G219" s="52" t="n">
        <f aca="false">IF(OR(F219="",F219=0),"",D219/F219)</f>
        <v>0.491111111111111</v>
      </c>
      <c r="H219" s="52" t="n">
        <f aca="false">IF(OR(F219="",F219=0),"",E219/F219)</f>
        <v>0.508888888888889</v>
      </c>
      <c r="I219" s="21" t="s">
        <v>122</v>
      </c>
      <c r="J219" s="53" t="n">
        <v>3.02363014511423</v>
      </c>
      <c r="K219" s="52" t="n">
        <f aca="false">IF(G219="","",MAX(0,G219-J219/100))</f>
        <v>0.460874809659969</v>
      </c>
      <c r="L219" s="52" t="n">
        <f aca="false">IF(G219="","",MIN(1,G219+J219/100))</f>
        <v>0.521347412562254</v>
      </c>
      <c r="M219" s="37" t="n">
        <f aca="false">IF(F219="","",ROUND(F219*J219/100,0))</f>
        <v>14</v>
      </c>
      <c r="P219" s="54" t="n">
        <v>-0.326421066940425</v>
      </c>
      <c r="Q219" s="55" t="n">
        <f aca="false">T219*$H$5</f>
        <v>449.830708661417</v>
      </c>
      <c r="R219" s="56" t="n">
        <f aca="false">MAX(0,MIN(1,P219/100+$D$5))</f>
        <v>0.490239024219484</v>
      </c>
      <c r="S219" s="57" t="s">
        <v>123</v>
      </c>
      <c r="T219" s="55" t="n">
        <v>449.830708661417</v>
      </c>
    </row>
    <row r="220" customFormat="false" ht="15" hidden="false" customHeight="false" outlineLevel="0" collapsed="false">
      <c r="A220" s="21" t="s">
        <v>189</v>
      </c>
      <c r="B220" s="21" t="s">
        <v>357</v>
      </c>
      <c r="C220" s="21" t="s">
        <v>366</v>
      </c>
      <c r="D220" s="37" t="n">
        <f aca="false">ROUND(Q220*R220,0)</f>
        <v>411</v>
      </c>
      <c r="E220" s="37" t="n">
        <f aca="false">ROUND(Q220,0)-D220</f>
        <v>372</v>
      </c>
      <c r="F220" s="37" t="n">
        <f aca="false">IF(COUNTA(D220:E220)=0,"",SUM(D220:E220))</f>
        <v>783</v>
      </c>
      <c r="G220" s="52" t="n">
        <f aca="false">IF(OR(F220="",F220=0),"",D220/F220)</f>
        <v>0.524904214559387</v>
      </c>
      <c r="H220" s="52" t="n">
        <f aca="false">IF(OR(F220="",F220=0),"",E220/F220)</f>
        <v>0.475095785440613</v>
      </c>
      <c r="I220" s="21" t="s">
        <v>122</v>
      </c>
      <c r="J220" s="53" t="n">
        <v>1.80877416096373</v>
      </c>
      <c r="K220" s="52" t="n">
        <f aca="false">IF(G220="","",MAX(0,G220-J220/100))</f>
        <v>0.50681647294975</v>
      </c>
      <c r="L220" s="52" t="n">
        <f aca="false">IF(G220="","",MIN(1,G220+J220/100))</f>
        <v>0.542991956169024</v>
      </c>
      <c r="M220" s="37" t="n">
        <f aca="false">IF(F220="","",ROUND(F220*J220/100,0))</f>
        <v>14</v>
      </c>
      <c r="P220" s="54" t="n">
        <v>3.21604193483198</v>
      </c>
      <c r="Q220" s="55" t="n">
        <f aca="false">T220*$H$5</f>
        <v>782.513274336283</v>
      </c>
      <c r="R220" s="56" t="n">
        <f aca="false">MAX(0,MIN(1,P220/100+$D$5))</f>
        <v>0.525663654237208</v>
      </c>
      <c r="S220" s="57" t="s">
        <v>132</v>
      </c>
      <c r="T220" s="55" t="n">
        <v>782.513274336283</v>
      </c>
    </row>
    <row r="221" customFormat="false" ht="15" hidden="false" customHeight="false" outlineLevel="0" collapsed="false">
      <c r="A221" s="21" t="s">
        <v>189</v>
      </c>
      <c r="B221" s="21" t="s">
        <v>357</v>
      </c>
      <c r="C221" s="21" t="s">
        <v>367</v>
      </c>
      <c r="D221" s="37" t="n">
        <f aca="false">ROUND(Q221*R221,0)</f>
        <v>677</v>
      </c>
      <c r="E221" s="37" t="n">
        <f aca="false">ROUND(Q221,0)-D221</f>
        <v>718</v>
      </c>
      <c r="F221" s="37" t="n">
        <f aca="false">IF(COUNTA(D221:E221)=0,"",SUM(D221:E221))</f>
        <v>1395</v>
      </c>
      <c r="G221" s="52" t="n">
        <f aca="false">IF(OR(F221="",F221=0),"",D221/F221)</f>
        <v>0.485304659498208</v>
      </c>
      <c r="H221" s="52" t="n">
        <f aca="false">IF(OR(F221="",F221=0),"",E221/F221)</f>
        <v>0.514695340501792</v>
      </c>
      <c r="I221" s="21" t="s">
        <v>122</v>
      </c>
      <c r="J221" s="53" t="n">
        <v>1.24981746705324</v>
      </c>
      <c r="K221" s="52" t="n">
        <f aca="false">IF(G221="","",MAX(0,G221-J221/100))</f>
        <v>0.472806484827675</v>
      </c>
      <c r="L221" s="52" t="n">
        <f aca="false">IF(G221="","",MIN(1,G221+J221/100))</f>
        <v>0.49780283416874</v>
      </c>
      <c r="M221" s="37" t="n">
        <f aca="false">IF(F221="","",ROUND(F221*J221/100,0))</f>
        <v>17</v>
      </c>
      <c r="P221" s="54" t="n">
        <v>-0.81956152970615</v>
      </c>
      <c r="Q221" s="55" t="n">
        <f aca="false">T221*$H$5</f>
        <v>1394.83442469598</v>
      </c>
      <c r="R221" s="56" t="n">
        <f aca="false">MAX(0,MIN(1,P221/100+$D$5))</f>
        <v>0.485307619591827</v>
      </c>
      <c r="S221" s="57" t="s">
        <v>225</v>
      </c>
      <c r="T221" s="55" t="n">
        <v>1394.83442469598</v>
      </c>
    </row>
    <row r="222" customFormat="false" ht="15" hidden="false" customHeight="false" outlineLevel="0" collapsed="false">
      <c r="A222" s="21" t="s">
        <v>189</v>
      </c>
      <c r="B222" s="21" t="s">
        <v>357</v>
      </c>
      <c r="C222" s="21" t="s">
        <v>368</v>
      </c>
      <c r="D222" s="37" t="n">
        <f aca="false">ROUND(Q222*R222,0)</f>
        <v>573</v>
      </c>
      <c r="E222" s="37" t="n">
        <f aca="false">ROUND(Q222,0)-D222</f>
        <v>559</v>
      </c>
      <c r="F222" s="37" t="n">
        <f aca="false">IF(COUNTA(D222:E222)=0,"",SUM(D222:E222))</f>
        <v>1132</v>
      </c>
      <c r="G222" s="52" t="n">
        <f aca="false">IF(OR(F222="",F222=0),"",D222/F222)</f>
        <v>0.506183745583039</v>
      </c>
      <c r="H222" s="52" t="n">
        <f aca="false">IF(OR(F222="",F222=0),"",E222/F222)</f>
        <v>0.493816254416961</v>
      </c>
      <c r="I222" s="21" t="s">
        <v>122</v>
      </c>
      <c r="J222" s="53" t="n">
        <v>1.80877416096373</v>
      </c>
      <c r="K222" s="52" t="n">
        <f aca="false">IF(G222="","",MAX(0,G222-J222/100))</f>
        <v>0.488096003973402</v>
      </c>
      <c r="L222" s="52" t="n">
        <f aca="false">IF(G222="","",MIN(1,G222+J222/100))</f>
        <v>0.524271487192676</v>
      </c>
      <c r="M222" s="37" t="n">
        <f aca="false">IF(F222="","",ROUND(F222*J222/100,0))</f>
        <v>20</v>
      </c>
      <c r="P222" s="54" t="n">
        <v>1.25252556898848</v>
      </c>
      <c r="Q222" s="55" t="n">
        <f aca="false">T222*$H$5</f>
        <v>1132.25997719498</v>
      </c>
      <c r="R222" s="56" t="n">
        <f aca="false">MAX(0,MIN(1,P222/100+$D$5))</f>
        <v>0.506028490578773</v>
      </c>
      <c r="S222" s="57" t="s">
        <v>132</v>
      </c>
      <c r="T222" s="55" t="n">
        <v>1132.25997719498</v>
      </c>
    </row>
    <row r="223" customFormat="false" ht="15" hidden="false" customHeight="false" outlineLevel="0" collapsed="false">
      <c r="A223" s="21" t="s">
        <v>189</v>
      </c>
      <c r="B223" s="21" t="s">
        <v>357</v>
      </c>
      <c r="C223" s="21" t="s">
        <v>369</v>
      </c>
      <c r="D223" s="37" t="n">
        <f aca="false">ROUND(Q223*R223,0)</f>
        <v>446</v>
      </c>
      <c r="E223" s="37" t="n">
        <f aca="false">ROUND(Q223,0)-D223</f>
        <v>409</v>
      </c>
      <c r="F223" s="37" t="n">
        <f aca="false">IF(COUNTA(D223:E223)=0,"",SUM(D223:E223))</f>
        <v>855</v>
      </c>
      <c r="G223" s="52" t="n">
        <f aca="false">IF(OR(F223="",F223=0),"",D223/F223)</f>
        <v>0.521637426900585</v>
      </c>
      <c r="H223" s="52" t="n">
        <f aca="false">IF(OR(F223="",F223=0),"",E223/F223)</f>
        <v>0.478362573099415</v>
      </c>
      <c r="I223" s="21" t="s">
        <v>122</v>
      </c>
      <c r="J223" s="53" t="n">
        <v>1.80877416096373</v>
      </c>
      <c r="K223" s="52" t="n">
        <f aca="false">IF(G223="","",MAX(0,G223-J223/100))</f>
        <v>0.503549685290948</v>
      </c>
      <c r="L223" s="52" t="n">
        <f aca="false">IF(G223="","",MIN(1,G223+J223/100))</f>
        <v>0.539725168510222</v>
      </c>
      <c r="M223" s="37" t="n">
        <f aca="false">IF(F223="","",ROUND(F223*J223/100,0))</f>
        <v>15</v>
      </c>
      <c r="P223" s="54" t="n">
        <v>2.79039536634468</v>
      </c>
      <c r="Q223" s="55" t="n">
        <f aca="false">T223*$H$5</f>
        <v>855.159618008186</v>
      </c>
      <c r="R223" s="56" t="n">
        <f aca="false">MAX(0,MIN(1,P223/100+$D$5))</f>
        <v>0.521407188552335</v>
      </c>
      <c r="S223" s="57" t="s">
        <v>132</v>
      </c>
      <c r="T223" s="55" t="n">
        <v>855.159618008186</v>
      </c>
    </row>
    <row r="224" customFormat="false" ht="15" hidden="false" customHeight="false" outlineLevel="0" collapsed="false">
      <c r="A224" s="21" t="s">
        <v>370</v>
      </c>
      <c r="B224" s="21" t="s">
        <v>371</v>
      </c>
      <c r="C224" s="21" t="s">
        <v>372</v>
      </c>
      <c r="D224" s="37" t="n">
        <f aca="false">ROUND(Q224*R224,0)</f>
        <v>386</v>
      </c>
      <c r="E224" s="37" t="n">
        <f aca="false">ROUND(Q224,0)-D224</f>
        <v>848</v>
      </c>
      <c r="F224" s="37" t="n">
        <f aca="false">IF(COUNTA(D224:E224)=0,"",SUM(D224:E224))</f>
        <v>1234</v>
      </c>
      <c r="G224" s="52" t="n">
        <f aca="false">IF(OR(F224="",F224=0),"",D224/F224)</f>
        <v>0.312803889789303</v>
      </c>
      <c r="H224" s="52" t="n">
        <f aca="false">IF(OR(F224="",F224=0),"",E224/F224)</f>
        <v>0.687196110210697</v>
      </c>
      <c r="I224" s="21" t="s">
        <v>122</v>
      </c>
      <c r="J224" s="53" t="n">
        <v>1.24981746705324</v>
      </c>
      <c r="K224" s="52" t="n">
        <f aca="false">IF(G224="","",MAX(0,G224-J224/100))</f>
        <v>0.300305715118771</v>
      </c>
      <c r="L224" s="52" t="n">
        <f aca="false">IF(G224="","",MIN(1,G224+J224/100))</f>
        <v>0.325302064459836</v>
      </c>
      <c r="M224" s="37" t="n">
        <f aca="false">IF(F224="","",ROUND(F224*J224/100,0))</f>
        <v>15</v>
      </c>
      <c r="P224" s="54" t="n">
        <v>-18.0698859341141</v>
      </c>
      <c r="Q224" s="55" t="n">
        <f aca="false">T224*$H$5</f>
        <v>1234.45226917058</v>
      </c>
      <c r="R224" s="56" t="n">
        <f aca="false">MAX(0,MIN(1,P224/100+$D$5))</f>
        <v>0.312804375547747</v>
      </c>
      <c r="S224" s="57" t="s">
        <v>225</v>
      </c>
      <c r="T224" s="55" t="n">
        <v>1234.45226917058</v>
      </c>
    </row>
    <row r="225" customFormat="false" ht="15" hidden="false" customHeight="false" outlineLevel="0" collapsed="false">
      <c r="A225" s="21" t="s">
        <v>370</v>
      </c>
      <c r="B225" s="21" t="s">
        <v>373</v>
      </c>
      <c r="C225" s="21" t="s">
        <v>374</v>
      </c>
      <c r="D225" s="37" t="n">
        <f aca="false">ROUND(Q225*R225,0)</f>
        <v>1066</v>
      </c>
      <c r="E225" s="37" t="n">
        <f aca="false">ROUND(Q225,0)-D225</f>
        <v>2084</v>
      </c>
      <c r="F225" s="37" t="n">
        <f aca="false">IF(COUNTA(D225:E225)=0,"",SUM(D225:E225))</f>
        <v>3150</v>
      </c>
      <c r="G225" s="52" t="n">
        <f aca="false">IF(OR(F225="",F225=0),"",D225/F225)</f>
        <v>0.338412698412698</v>
      </c>
      <c r="H225" s="52" t="n">
        <f aca="false">IF(OR(F225="",F225=0),"",E225/F225)</f>
        <v>0.661587301587302</v>
      </c>
      <c r="I225" s="21" t="s">
        <v>122</v>
      </c>
      <c r="J225" s="53" t="n">
        <v>1.24981746705324</v>
      </c>
      <c r="K225" s="52" t="n">
        <f aca="false">IF(G225="","",MAX(0,G225-J225/100))</f>
        <v>0.325914523742166</v>
      </c>
      <c r="L225" s="52" t="n">
        <f aca="false">IF(G225="","",MIN(1,G225+J225/100))</f>
        <v>0.350910873083231</v>
      </c>
      <c r="M225" s="37" t="n">
        <f aca="false">IF(F225="","",ROUND(F225*J225/100,0))</f>
        <v>39</v>
      </c>
      <c r="P225" s="54" t="n">
        <v>-15.5146665610565</v>
      </c>
      <c r="Q225" s="55" t="n">
        <f aca="false">T225*$H$5</f>
        <v>3150.44851429639</v>
      </c>
      <c r="R225" s="56" t="n">
        <f aca="false">MAX(0,MIN(1,P225/100+$D$5))</f>
        <v>0.338356569278323</v>
      </c>
      <c r="S225" s="57" t="s">
        <v>225</v>
      </c>
      <c r="T225" s="55" t="n">
        <v>3150.44851429639</v>
      </c>
    </row>
    <row r="226" customFormat="false" ht="15" hidden="false" customHeight="false" outlineLevel="0" collapsed="false">
      <c r="A226" s="21" t="s">
        <v>370</v>
      </c>
      <c r="B226" s="21" t="s">
        <v>375</v>
      </c>
      <c r="C226" s="21" t="s">
        <v>376</v>
      </c>
      <c r="D226" s="37" t="n">
        <f aca="false">ROUND(Q226*R226,0)</f>
        <v>415</v>
      </c>
      <c r="E226" s="37" t="n">
        <f aca="false">ROUND(Q226,0)-D226</f>
        <v>756</v>
      </c>
      <c r="F226" s="37" t="n">
        <f aca="false">IF(COUNTA(D226:E226)=0,"",SUM(D226:E226))</f>
        <v>1171</v>
      </c>
      <c r="G226" s="52" t="n">
        <f aca="false">IF(OR(F226="",F226=0),"",D226/F226)</f>
        <v>0.354397950469684</v>
      </c>
      <c r="H226" s="52" t="n">
        <f aca="false">IF(OR(F226="",F226=0),"",E226/F226)</f>
        <v>0.645602049530316</v>
      </c>
      <c r="I226" s="21" t="s">
        <v>122</v>
      </c>
      <c r="J226" s="53" t="n">
        <v>1.80877416096373</v>
      </c>
      <c r="K226" s="52" t="n">
        <f aca="false">IF(G226="","",MAX(0,G226-J226/100))</f>
        <v>0.336310208860047</v>
      </c>
      <c r="L226" s="52" t="n">
        <f aca="false">IF(G226="","",MIN(1,G226+J226/100))</f>
        <v>0.372485692079321</v>
      </c>
      <c r="M226" s="37" t="n">
        <f aca="false">IF(F226="","",ROUND(F226*J226/100,0))</f>
        <v>21</v>
      </c>
      <c r="P226" s="54" t="n">
        <v>-13.9328478534989</v>
      </c>
      <c r="Q226" s="55" t="n">
        <f aca="false">T226*$H$5</f>
        <v>1170.82273494654</v>
      </c>
      <c r="R226" s="56" t="n">
        <f aca="false">MAX(0,MIN(1,P226/100+$D$5))</f>
        <v>0.354174756353899</v>
      </c>
      <c r="S226" s="57" t="s">
        <v>132</v>
      </c>
      <c r="T226" s="55" t="n">
        <v>1170.82273494654</v>
      </c>
    </row>
    <row r="227" customFormat="false" ht="15" hidden="false" customHeight="false" outlineLevel="0" collapsed="false">
      <c r="A227" s="21" t="s">
        <v>377</v>
      </c>
      <c r="B227" s="21" t="s">
        <v>378</v>
      </c>
      <c r="C227" s="21" t="s">
        <v>379</v>
      </c>
      <c r="D227" s="37" t="n">
        <f aca="false">ROUND(Q227*R227,0)</f>
        <v>595</v>
      </c>
      <c r="E227" s="37" t="n">
        <f aca="false">ROUND(Q227,0)-D227</f>
        <v>809</v>
      </c>
      <c r="F227" s="37" t="n">
        <f aca="false">IF(COUNTA(D227:E227)=0,"",SUM(D227:E227))</f>
        <v>1404</v>
      </c>
      <c r="G227" s="52" t="n">
        <f aca="false">IF(OR(F227="",F227=0),"",D227/F227)</f>
        <v>0.423789173789174</v>
      </c>
      <c r="H227" s="52" t="n">
        <f aca="false">IF(OR(F227="",F227=0),"",E227/F227)</f>
        <v>0.576210826210826</v>
      </c>
      <c r="I227" s="21" t="s">
        <v>122</v>
      </c>
      <c r="J227" s="53" t="n">
        <v>1.24981746705324</v>
      </c>
      <c r="K227" s="52" t="n">
        <f aca="false">IF(G227="","",MAX(0,G227-J227/100))</f>
        <v>0.411290999118641</v>
      </c>
      <c r="L227" s="52" t="n">
        <f aca="false">IF(G227="","",MIN(1,G227+J227/100))</f>
        <v>0.436287348459706</v>
      </c>
      <c r="M227" s="37" t="n">
        <f aca="false">IF(F227="","",ROUND(F227*J227/100,0))</f>
        <v>18</v>
      </c>
      <c r="P227" s="54" t="n">
        <v>-6.95445682326358</v>
      </c>
      <c r="Q227" s="55" t="n">
        <f aca="false">T227*$H$5</f>
        <v>1403.51261829653</v>
      </c>
      <c r="R227" s="56" t="n">
        <f aca="false">MAX(0,MIN(1,P227/100+$D$5))</f>
        <v>0.423958666656252</v>
      </c>
      <c r="S227" s="57" t="s">
        <v>225</v>
      </c>
      <c r="T227" s="55" t="n">
        <v>1403.51261829653</v>
      </c>
    </row>
    <row r="228" customFormat="false" ht="15" hidden="false" customHeight="false" outlineLevel="0" collapsed="false">
      <c r="A228" s="21" t="s">
        <v>377</v>
      </c>
      <c r="B228" s="21" t="s">
        <v>378</v>
      </c>
      <c r="C228" s="21" t="s">
        <v>380</v>
      </c>
      <c r="D228" s="37" t="n">
        <f aca="false">ROUND(Q228*R228,0)</f>
        <v>630</v>
      </c>
      <c r="E228" s="37" t="n">
        <f aca="false">ROUND(Q228,0)-D228</f>
        <v>683</v>
      </c>
      <c r="F228" s="37" t="n">
        <f aca="false">IF(COUNTA(D228:E228)=0,"",SUM(D228:E228))</f>
        <v>1313</v>
      </c>
      <c r="G228" s="52" t="n">
        <f aca="false">IF(OR(F228="",F228=0),"",D228/F228)</f>
        <v>0.47981721249048</v>
      </c>
      <c r="H228" s="52" t="n">
        <f aca="false">IF(OR(F228="",F228=0),"",E228/F228)</f>
        <v>0.52018278750952</v>
      </c>
      <c r="I228" s="21" t="s">
        <v>122</v>
      </c>
      <c r="J228" s="53" t="n">
        <v>1.24981746705324</v>
      </c>
      <c r="K228" s="52" t="n">
        <f aca="false">IF(G228="","",MAX(0,G228-J228/100))</f>
        <v>0.467319037819947</v>
      </c>
      <c r="L228" s="52" t="n">
        <f aca="false">IF(G228="","",MIN(1,G228+J228/100))</f>
        <v>0.492315387161012</v>
      </c>
      <c r="M228" s="37" t="n">
        <f aca="false">IF(F228="","",ROUND(F228*J228/100,0))</f>
        <v>16</v>
      </c>
      <c r="P228" s="54" t="n">
        <v>-1.37517362545272</v>
      </c>
      <c r="Q228" s="55" t="n">
        <f aca="false">T228*$H$5</f>
        <v>1312.76307554761</v>
      </c>
      <c r="R228" s="56" t="n">
        <f aca="false">MAX(0,MIN(1,P228/100+$D$5))</f>
        <v>0.479751498634361</v>
      </c>
      <c r="S228" s="57" t="s">
        <v>225</v>
      </c>
      <c r="T228" s="55" t="n">
        <v>1312.76307554761</v>
      </c>
    </row>
    <row r="229" customFormat="false" ht="15" hidden="false" customHeight="false" outlineLevel="0" collapsed="false">
      <c r="A229" s="21" t="s">
        <v>377</v>
      </c>
      <c r="B229" s="21" t="s">
        <v>381</v>
      </c>
      <c r="C229" s="21" t="s">
        <v>382</v>
      </c>
      <c r="D229" s="37" t="n">
        <f aca="false">ROUND(Q229*R229,0)</f>
        <v>619</v>
      </c>
      <c r="E229" s="37" t="n">
        <f aca="false">ROUND(Q229,0)-D229</f>
        <v>915</v>
      </c>
      <c r="F229" s="37" t="n">
        <f aca="false">IF(COUNTA(D229:E229)=0,"",SUM(D229:E229))</f>
        <v>1534</v>
      </c>
      <c r="G229" s="52" t="n">
        <f aca="false">IF(OR(F229="",F229=0),"",D229/F229)</f>
        <v>0.403520208604954</v>
      </c>
      <c r="H229" s="52" t="n">
        <f aca="false">IF(OR(F229="",F229=0),"",E229/F229)</f>
        <v>0.596479791395046</v>
      </c>
      <c r="I229" s="21" t="s">
        <v>223</v>
      </c>
      <c r="J229" s="53" t="n">
        <v>1.24981746705324</v>
      </c>
      <c r="K229" s="52" t="n">
        <f aca="false">IF(G229="","",MAX(0,G229-J229/100))</f>
        <v>0.391022033934422</v>
      </c>
      <c r="L229" s="52" t="n">
        <f aca="false">IF(G229="","",MIN(1,G229+J229/100))</f>
        <v>0.416018383275487</v>
      </c>
      <c r="M229" s="37" t="n">
        <f aca="false">IF(F229="","",ROUND(F229*J229/100,0))</f>
        <v>19</v>
      </c>
      <c r="P229" s="54" t="n">
        <v>-9.00930988170942</v>
      </c>
      <c r="Q229" s="55" t="n">
        <f aca="false">T229*$H$5</f>
        <v>1533.89973598051</v>
      </c>
      <c r="R229" s="56" t="n">
        <f aca="false">MAX(0,MIN(1,P229/100+$D$5))</f>
        <v>0.403410136071794</v>
      </c>
      <c r="S229" s="57" t="s">
        <v>225</v>
      </c>
      <c r="T229" s="55" t="n">
        <v>1533.89973598051</v>
      </c>
    </row>
    <row r="230" customFormat="false" ht="15" hidden="false" customHeight="false" outlineLevel="0" collapsed="false">
      <c r="A230" s="21" t="s">
        <v>377</v>
      </c>
      <c r="B230" s="21" t="s">
        <v>381</v>
      </c>
      <c r="C230" s="21" t="s">
        <v>383</v>
      </c>
      <c r="D230" s="37" t="n">
        <f aca="false">ROUND(Q230*R230,0)</f>
        <v>709</v>
      </c>
      <c r="E230" s="37" t="n">
        <f aca="false">ROUND(Q230,0)-D230</f>
        <v>984</v>
      </c>
      <c r="F230" s="37" t="n">
        <f aca="false">IF(COUNTA(D230:E230)=0,"",SUM(D230:E230))</f>
        <v>1693</v>
      </c>
      <c r="G230" s="52" t="n">
        <f aca="false">IF(OR(F230="",F230=0),"",D230/F230)</f>
        <v>0.4187832250443</v>
      </c>
      <c r="H230" s="52" t="n">
        <f aca="false">IF(OR(F230="",F230=0),"",E230/F230)</f>
        <v>0.5812167749557</v>
      </c>
      <c r="I230" s="21" t="s">
        <v>223</v>
      </c>
      <c r="J230" s="53" t="n">
        <v>1.24981746705324</v>
      </c>
      <c r="K230" s="52" t="n">
        <f aca="false">IF(G230="","",MAX(0,G230-J230/100))</f>
        <v>0.406285050373768</v>
      </c>
      <c r="L230" s="52" t="n">
        <f aca="false">IF(G230="","",MIN(1,G230+J230/100))</f>
        <v>0.431281399714833</v>
      </c>
      <c r="M230" s="37" t="n">
        <f aca="false">IF(F230="","",ROUND(F230*J230/100,0))</f>
        <v>21</v>
      </c>
      <c r="P230" s="54" t="n">
        <v>-7.46862298665743</v>
      </c>
      <c r="Q230" s="55" t="n">
        <f aca="false">T230*$H$5</f>
        <v>1693.35062700362</v>
      </c>
      <c r="R230" s="56" t="n">
        <f aca="false">MAX(0,MIN(1,P230/100+$D$5))</f>
        <v>0.418817005022314</v>
      </c>
      <c r="S230" s="57" t="s">
        <v>225</v>
      </c>
      <c r="T230" s="55" t="n">
        <v>1693.35062700362</v>
      </c>
    </row>
    <row r="231" customFormat="false" ht="15" hidden="false" customHeight="false" outlineLevel="0" collapsed="false">
      <c r="A231" s="21" t="s">
        <v>377</v>
      </c>
      <c r="B231" s="21" t="s">
        <v>384</v>
      </c>
      <c r="C231" s="21" t="s">
        <v>385</v>
      </c>
      <c r="D231" s="37" t="n">
        <f aca="false">ROUND(Q231*R231,0)</f>
        <v>488</v>
      </c>
      <c r="E231" s="37" t="n">
        <f aca="false">ROUND(Q231,0)-D231</f>
        <v>528</v>
      </c>
      <c r="F231" s="37" t="n">
        <f aca="false">IF(COUNTA(D231:E231)=0,"",SUM(D231:E231))</f>
        <v>1016</v>
      </c>
      <c r="G231" s="52" t="n">
        <f aca="false">IF(OR(F231="",F231=0),"",D231/F231)</f>
        <v>0.480314960629921</v>
      </c>
      <c r="H231" s="52" t="n">
        <f aca="false">IF(OR(F231="",F231=0),"",E231/F231)</f>
        <v>0.519685039370079</v>
      </c>
      <c r="I231" s="21" t="s">
        <v>122</v>
      </c>
      <c r="J231" s="53" t="n">
        <v>1.80877416096373</v>
      </c>
      <c r="K231" s="52" t="n">
        <f aca="false">IF(G231="","",MAX(0,G231-J231/100))</f>
        <v>0.462227219020284</v>
      </c>
      <c r="L231" s="52" t="n">
        <f aca="false">IF(G231="","",MIN(1,G231+J231/100))</f>
        <v>0.498402702239559</v>
      </c>
      <c r="M231" s="37" t="n">
        <f aca="false">IF(F231="","",ROUND(F231*J231/100,0))</f>
        <v>18</v>
      </c>
      <c r="P231" s="54" t="n">
        <v>-1.35911581998771</v>
      </c>
      <c r="Q231" s="55" t="n">
        <f aca="false">T231*$H$5</f>
        <v>1015.97556912826</v>
      </c>
      <c r="R231" s="56" t="n">
        <f aca="false">MAX(0,MIN(1,P231/100+$D$5))</f>
        <v>0.479912076689011</v>
      </c>
      <c r="S231" s="57" t="s">
        <v>132</v>
      </c>
      <c r="T231" s="55" t="n">
        <v>1015.97556912826</v>
      </c>
    </row>
    <row r="232" customFormat="false" ht="15" hidden="false" customHeight="false" outlineLevel="0" collapsed="false">
      <c r="A232" s="21" t="s">
        <v>377</v>
      </c>
      <c r="B232" s="21" t="s">
        <v>252</v>
      </c>
      <c r="C232" s="21" t="s">
        <v>386</v>
      </c>
      <c r="D232" s="37" t="n">
        <f aca="false">ROUND(Q232*R232,0)</f>
        <v>626</v>
      </c>
      <c r="E232" s="37" t="n">
        <f aca="false">ROUND(Q232,0)-D232</f>
        <v>361</v>
      </c>
      <c r="F232" s="37" t="n">
        <f aca="false">IF(COUNTA(D232:E232)=0,"",SUM(D232:E232))</f>
        <v>987</v>
      </c>
      <c r="G232" s="52" t="n">
        <f aca="false">IF(OR(F232="",F232=0),"",D232/F232)</f>
        <v>0.634245187436677</v>
      </c>
      <c r="H232" s="52" t="n">
        <f aca="false">IF(OR(F232="",F232=0),"",E232/F232)</f>
        <v>0.365754812563323</v>
      </c>
      <c r="I232" s="21" t="s">
        <v>122</v>
      </c>
      <c r="J232" s="53" t="n">
        <v>1.80877416096373</v>
      </c>
      <c r="K232" s="52" t="n">
        <f aca="false">IF(G232="","",MAX(0,G232-J232/100))</f>
        <v>0.61615744582704</v>
      </c>
      <c r="L232" s="52" t="n">
        <f aca="false">IF(G232="","",MIN(1,G232+J232/100))</f>
        <v>0.652332929046314</v>
      </c>
      <c r="M232" s="37" t="n">
        <f aca="false">IF(F232="","",ROUND(F232*J232/100,0))</f>
        <v>18</v>
      </c>
      <c r="P232" s="54" t="n">
        <v>14.1256818074489</v>
      </c>
      <c r="Q232" s="55" t="n">
        <f aca="false">T232*$H$5</f>
        <v>986.587092297016</v>
      </c>
      <c r="R232" s="56" t="n">
        <f aca="false">MAX(0,MIN(1,P232/100+$D$5))</f>
        <v>0.634760052963377</v>
      </c>
      <c r="S232" s="57" t="s">
        <v>132</v>
      </c>
      <c r="T232" s="55" t="n">
        <v>986.587092297016</v>
      </c>
    </row>
    <row r="233" customFormat="false" ht="15" hidden="false" customHeight="false" outlineLevel="0" collapsed="false">
      <c r="A233" s="21" t="s">
        <v>377</v>
      </c>
      <c r="B233" s="21" t="s">
        <v>252</v>
      </c>
      <c r="C233" s="21" t="s">
        <v>387</v>
      </c>
      <c r="D233" s="37" t="n">
        <f aca="false">ROUND(Q233*R233,0)</f>
        <v>850</v>
      </c>
      <c r="E233" s="37" t="n">
        <f aca="false">ROUND(Q233,0)-D233</f>
        <v>575</v>
      </c>
      <c r="F233" s="37" t="n">
        <f aca="false">IF(COUNTA(D233:E233)=0,"",SUM(D233:E233))</f>
        <v>1425</v>
      </c>
      <c r="G233" s="52" t="n">
        <f aca="false">IF(OR(F233="",F233=0),"",D233/F233)</f>
        <v>0.596491228070175</v>
      </c>
      <c r="H233" s="52" t="n">
        <f aca="false">IF(OR(F233="",F233=0),"",E233/F233)</f>
        <v>0.403508771929825</v>
      </c>
      <c r="I233" s="21" t="s">
        <v>122</v>
      </c>
      <c r="J233" s="53" t="n">
        <v>1.24981746705324</v>
      </c>
      <c r="K233" s="52" t="n">
        <f aca="false">IF(G233="","",MAX(0,G233-J233/100))</f>
        <v>0.583993053399643</v>
      </c>
      <c r="L233" s="52" t="n">
        <f aca="false">IF(G233="","",MIN(1,G233+J233/100))</f>
        <v>0.608989402740708</v>
      </c>
      <c r="M233" s="37" t="n">
        <f aca="false">IF(F233="","",ROUND(F233*J233/100,0))</f>
        <v>18</v>
      </c>
      <c r="P233" s="54" t="n">
        <v>10.2869788322026</v>
      </c>
      <c r="Q233" s="55" t="n">
        <f aca="false">T233*$H$5</f>
        <v>1424.50747808149</v>
      </c>
      <c r="R233" s="56" t="n">
        <f aca="false">MAX(0,MIN(1,P233/100+$D$5))</f>
        <v>0.596373023210914</v>
      </c>
      <c r="S233" s="57" t="s">
        <v>225</v>
      </c>
      <c r="T233" s="55" t="n">
        <v>1424.50747808149</v>
      </c>
    </row>
    <row r="234" customFormat="false" ht="15" hidden="false" customHeight="false" outlineLevel="0" collapsed="false">
      <c r="A234" s="21" t="s">
        <v>377</v>
      </c>
      <c r="B234" s="21" t="s">
        <v>252</v>
      </c>
      <c r="C234" s="21" t="s">
        <v>388</v>
      </c>
      <c r="D234" s="37" t="n">
        <f aca="false">ROUND(Q234*R234,0)</f>
        <v>623</v>
      </c>
      <c r="E234" s="37" t="n">
        <f aca="false">ROUND(Q234,0)-D234</f>
        <v>335</v>
      </c>
      <c r="F234" s="37" t="n">
        <f aca="false">IF(COUNTA(D234:E234)=0,"",SUM(D234:E234))</f>
        <v>958</v>
      </c>
      <c r="G234" s="52" t="n">
        <f aca="false">IF(OR(F234="",F234=0),"",D234/F234)</f>
        <v>0.650313152400835</v>
      </c>
      <c r="H234" s="52" t="n">
        <f aca="false">IF(OR(F234="",F234=0),"",E234/F234)</f>
        <v>0.349686847599165</v>
      </c>
      <c r="I234" s="21" t="s">
        <v>122</v>
      </c>
      <c r="J234" s="53" t="n">
        <v>1.80877416096373</v>
      </c>
      <c r="K234" s="52" t="n">
        <f aca="false">IF(G234="","",MAX(0,G234-J234/100))</f>
        <v>0.632225410791198</v>
      </c>
      <c r="L234" s="52" t="n">
        <f aca="false">IF(G234="","",MIN(1,G234+J234/100))</f>
        <v>0.668400894010472</v>
      </c>
      <c r="M234" s="37" t="n">
        <f aca="false">IF(F234="","",ROUND(F234*J234/100,0))</f>
        <v>17</v>
      </c>
      <c r="P234" s="54" t="n">
        <v>15.6677048728957</v>
      </c>
      <c r="Q234" s="55" t="n">
        <f aca="false">T234*$H$5</f>
        <v>957.929752066116</v>
      </c>
      <c r="R234" s="56" t="n">
        <f aca="false">MAX(0,MIN(1,P234/100+$D$5))</f>
        <v>0.650180283617845</v>
      </c>
      <c r="S234" s="57" t="s">
        <v>132</v>
      </c>
      <c r="T234" s="55" t="n">
        <v>957.929752066116</v>
      </c>
    </row>
    <row r="235" customFormat="false" ht="15" hidden="false" customHeight="false" outlineLevel="0" collapsed="false">
      <c r="A235" s="21" t="s">
        <v>377</v>
      </c>
      <c r="B235" s="21" t="s">
        <v>252</v>
      </c>
      <c r="C235" s="21" t="s">
        <v>389</v>
      </c>
      <c r="D235" s="37" t="n">
        <f aca="false">ROUND(Q235*R235,0)</f>
        <v>468</v>
      </c>
      <c r="E235" s="37" t="n">
        <f aca="false">ROUND(Q235,0)-D235</f>
        <v>263</v>
      </c>
      <c r="F235" s="37" t="n">
        <f aca="false">IF(COUNTA(D235:E235)=0,"",SUM(D235:E235))</f>
        <v>731</v>
      </c>
      <c r="G235" s="52" t="n">
        <f aca="false">IF(OR(F235="",F235=0),"",D235/F235)</f>
        <v>0.640218878248974</v>
      </c>
      <c r="H235" s="52" t="n">
        <f aca="false">IF(OR(F235="",F235=0),"",E235/F235)</f>
        <v>0.359781121751026</v>
      </c>
      <c r="I235" s="21" t="s">
        <v>122</v>
      </c>
      <c r="J235" s="53" t="n">
        <v>3.02363014511423</v>
      </c>
      <c r="K235" s="52" t="n">
        <f aca="false">IF(G235="","",MAX(0,G235-J235/100))</f>
        <v>0.609982576797832</v>
      </c>
      <c r="L235" s="52" t="n">
        <f aca="false">IF(G235="","",MIN(1,G235+J235/100))</f>
        <v>0.670455179700116</v>
      </c>
      <c r="M235" s="37" t="n">
        <f aca="false">IF(F235="","",ROUND(F235*J235/100,0))</f>
        <v>22</v>
      </c>
      <c r="P235" s="54" t="n">
        <v>14.638072720413</v>
      </c>
      <c r="Q235" s="55" t="n">
        <f aca="false">T235*$H$5</f>
        <v>730.770032051282</v>
      </c>
      <c r="R235" s="56" t="n">
        <f aca="false">MAX(0,MIN(1,P235/100+$D$5))</f>
        <v>0.639883962093018</v>
      </c>
      <c r="S235" s="57" t="s">
        <v>123</v>
      </c>
      <c r="T235" s="55" t="n">
        <v>730.770032051282</v>
      </c>
    </row>
    <row r="236" customFormat="false" ht="15" hidden="false" customHeight="false" outlineLevel="0" collapsed="false">
      <c r="A236" s="21" t="s">
        <v>377</v>
      </c>
      <c r="B236" s="21" t="s">
        <v>252</v>
      </c>
      <c r="C236" s="21" t="s">
        <v>390</v>
      </c>
      <c r="D236" s="37" t="n">
        <f aca="false">ROUND(Q236*R236,0)</f>
        <v>598</v>
      </c>
      <c r="E236" s="37" t="n">
        <f aca="false">ROUND(Q236,0)-D236</f>
        <v>385</v>
      </c>
      <c r="F236" s="37" t="n">
        <f aca="false">IF(COUNTA(D236:E236)=0,"",SUM(D236:E236))</f>
        <v>983</v>
      </c>
      <c r="G236" s="52" t="n">
        <f aca="false">IF(OR(F236="",F236=0),"",D236/F236)</f>
        <v>0.608341810783316</v>
      </c>
      <c r="H236" s="52" t="n">
        <f aca="false">IF(OR(F236="",F236=0),"",E236/F236)</f>
        <v>0.391658189216684</v>
      </c>
      <c r="I236" s="21" t="s">
        <v>122</v>
      </c>
      <c r="J236" s="53" t="n">
        <v>1.80877416096373</v>
      </c>
      <c r="K236" s="52" t="n">
        <f aca="false">IF(G236="","",MAX(0,G236-J236/100))</f>
        <v>0.590254069173679</v>
      </c>
      <c r="L236" s="52" t="n">
        <f aca="false">IF(G236="","",MIN(1,G236+J236/100))</f>
        <v>0.626429552392954</v>
      </c>
      <c r="M236" s="37" t="n">
        <f aca="false">IF(F236="","",ROUND(F236*J236/100,0))</f>
        <v>18</v>
      </c>
      <c r="P236" s="54" t="n">
        <v>11.4580603465498</v>
      </c>
      <c r="Q236" s="55" t="n">
        <f aca="false">T236*$H$5</f>
        <v>983.008610086101</v>
      </c>
      <c r="R236" s="56" t="n">
        <f aca="false">MAX(0,MIN(1,P236/100+$D$5))</f>
        <v>0.608083838354386</v>
      </c>
      <c r="S236" s="57" t="s">
        <v>132</v>
      </c>
      <c r="T236" s="55" t="n">
        <v>983.008610086101</v>
      </c>
    </row>
    <row r="237" customFormat="false" ht="15" hidden="false" customHeight="false" outlineLevel="0" collapsed="false">
      <c r="A237" s="21" t="s">
        <v>377</v>
      </c>
      <c r="B237" s="21" t="s">
        <v>252</v>
      </c>
      <c r="C237" s="21" t="s">
        <v>391</v>
      </c>
      <c r="D237" s="37" t="n">
        <f aca="false">ROUND(Q237*R237,0)</f>
        <v>747</v>
      </c>
      <c r="E237" s="37" t="n">
        <f aca="false">ROUND(Q237,0)-D237</f>
        <v>439</v>
      </c>
      <c r="F237" s="37" t="n">
        <f aca="false">IF(COUNTA(D237:E237)=0,"",SUM(D237:E237))</f>
        <v>1186</v>
      </c>
      <c r="G237" s="52" t="n">
        <f aca="false">IF(OR(F237="",F237=0),"",D237/F237)</f>
        <v>0.629848229342327</v>
      </c>
      <c r="H237" s="52" t="n">
        <f aca="false">IF(OR(F237="",F237=0),"",E237/F237)</f>
        <v>0.370151770657673</v>
      </c>
      <c r="I237" s="21" t="s">
        <v>122</v>
      </c>
      <c r="J237" s="53" t="n">
        <v>1.80877416096373</v>
      </c>
      <c r="K237" s="52" t="n">
        <f aca="false">IF(G237="","",MAX(0,G237-J237/100))</f>
        <v>0.61176048773269</v>
      </c>
      <c r="L237" s="52" t="n">
        <f aca="false">IF(G237="","",MIN(1,G237+J237/100))</f>
        <v>0.647935970951965</v>
      </c>
      <c r="M237" s="37" t="n">
        <f aca="false">IF(F237="","",ROUND(F237*J237/100,0))</f>
        <v>21</v>
      </c>
      <c r="P237" s="54" t="n">
        <v>13.6353682509482</v>
      </c>
      <c r="Q237" s="55" t="n">
        <f aca="false">T237*$H$5</f>
        <v>1185.78507842306</v>
      </c>
      <c r="R237" s="56" t="n">
        <f aca="false">MAX(0,MIN(1,P237/100+$D$5))</f>
        <v>0.62985691739837</v>
      </c>
      <c r="S237" s="57" t="s">
        <v>132</v>
      </c>
      <c r="T237" s="55" t="n">
        <v>1185.78507842306</v>
      </c>
    </row>
    <row r="238" customFormat="false" ht="15" hidden="false" customHeight="false" outlineLevel="0" collapsed="false">
      <c r="A238" s="21" t="s">
        <v>377</v>
      </c>
      <c r="B238" s="21" t="s">
        <v>252</v>
      </c>
      <c r="C238" s="21" t="s">
        <v>392</v>
      </c>
      <c r="D238" s="37" t="n">
        <f aca="false">ROUND(Q238*R238,0)</f>
        <v>588</v>
      </c>
      <c r="E238" s="37" t="n">
        <f aca="false">ROUND(Q238,0)-D238</f>
        <v>417</v>
      </c>
      <c r="F238" s="37" t="n">
        <f aca="false">IF(COUNTA(D238:E238)=0,"",SUM(D238:E238))</f>
        <v>1005</v>
      </c>
      <c r="G238" s="52" t="n">
        <f aca="false">IF(OR(F238="",F238=0),"",D238/F238)</f>
        <v>0.585074626865672</v>
      </c>
      <c r="H238" s="52" t="n">
        <f aca="false">IF(OR(F238="",F238=0),"",E238/F238)</f>
        <v>0.414925373134328</v>
      </c>
      <c r="I238" s="21" t="s">
        <v>122</v>
      </c>
      <c r="J238" s="53" t="n">
        <v>1.80877416096373</v>
      </c>
      <c r="K238" s="52" t="n">
        <f aca="false">IF(G238="","",MAX(0,G238-J238/100))</f>
        <v>0.566986885256034</v>
      </c>
      <c r="L238" s="52" t="n">
        <f aca="false">IF(G238="","",MIN(1,G238+J238/100))</f>
        <v>0.603162368475309</v>
      </c>
      <c r="M238" s="37" t="n">
        <f aca="false">IF(F238="","",ROUND(F238*J238/100,0))</f>
        <v>18</v>
      </c>
      <c r="P238" s="54" t="n">
        <v>9.13805851593888</v>
      </c>
      <c r="Q238" s="55" t="n">
        <f aca="false">T238*$H$5</f>
        <v>1004.54761904762</v>
      </c>
      <c r="R238" s="56" t="n">
        <f aca="false">MAX(0,MIN(1,P238/100+$D$5))</f>
        <v>0.584883820048277</v>
      </c>
      <c r="S238" s="57" t="s">
        <v>132</v>
      </c>
      <c r="T238" s="55" t="n">
        <v>1004.54761904762</v>
      </c>
    </row>
    <row r="239" customFormat="false" ht="15" hidden="false" customHeight="false" outlineLevel="0" collapsed="false">
      <c r="A239" s="21" t="s">
        <v>377</v>
      </c>
      <c r="B239" s="21" t="s">
        <v>252</v>
      </c>
      <c r="C239" s="21" t="s">
        <v>393</v>
      </c>
      <c r="D239" s="37" t="n">
        <f aca="false">ROUND(Q239*R239,0)</f>
        <v>449</v>
      </c>
      <c r="E239" s="37" t="n">
        <f aca="false">ROUND(Q239,0)-D239</f>
        <v>249</v>
      </c>
      <c r="F239" s="37" t="n">
        <f aca="false">IF(COUNTA(D239:E239)=0,"",SUM(D239:E239))</f>
        <v>698</v>
      </c>
      <c r="G239" s="52" t="n">
        <f aca="false">IF(OR(F239="",F239=0),"",D239/F239)</f>
        <v>0.643266475644699</v>
      </c>
      <c r="H239" s="52" t="n">
        <f aca="false">IF(OR(F239="",F239=0),"",E239/F239)</f>
        <v>0.356733524355301</v>
      </c>
      <c r="I239" s="21" t="s">
        <v>122</v>
      </c>
      <c r="J239" s="53" t="n">
        <v>3.02363014511423</v>
      </c>
      <c r="K239" s="52" t="n">
        <f aca="false">IF(G239="","",MAX(0,G239-J239/100))</f>
        <v>0.613030174193557</v>
      </c>
      <c r="L239" s="52" t="n">
        <f aca="false">IF(G239="","",MIN(1,G239+J239/100))</f>
        <v>0.673502777095842</v>
      </c>
      <c r="M239" s="37" t="n">
        <f aca="false">IF(F239="","",ROUND(F239*J239/100,0))</f>
        <v>21</v>
      </c>
      <c r="P239" s="54" t="n">
        <v>14.9440833832832</v>
      </c>
      <c r="Q239" s="55" t="n">
        <f aca="false">T239*$H$5</f>
        <v>697.629411764706</v>
      </c>
      <c r="R239" s="56" t="n">
        <f aca="false">MAX(0,MIN(1,P239/100+$D$5))</f>
        <v>0.642944068721721</v>
      </c>
      <c r="S239" s="57" t="s">
        <v>123</v>
      </c>
      <c r="T239" s="55" t="n">
        <v>697.629411764706</v>
      </c>
    </row>
    <row r="240" customFormat="false" ht="15" hidden="false" customHeight="false" outlineLevel="0" collapsed="false">
      <c r="A240" s="21" t="s">
        <v>377</v>
      </c>
      <c r="B240" s="21" t="s">
        <v>252</v>
      </c>
      <c r="C240" s="21" t="s">
        <v>394</v>
      </c>
      <c r="D240" s="37" t="n">
        <f aca="false">ROUND(Q240*R240,0)</f>
        <v>578</v>
      </c>
      <c r="E240" s="37" t="n">
        <f aca="false">ROUND(Q240,0)-D240</f>
        <v>285</v>
      </c>
      <c r="F240" s="37" t="n">
        <f aca="false">IF(COUNTA(D240:E240)=0,"",SUM(D240:E240))</f>
        <v>863</v>
      </c>
      <c r="G240" s="52" t="n">
        <f aca="false">IF(OR(F240="",F240=0),"",D240/F240)</f>
        <v>0.669756662804172</v>
      </c>
      <c r="H240" s="52" t="n">
        <f aca="false">IF(OR(F240="",F240=0),"",E240/F240)</f>
        <v>0.330243337195829</v>
      </c>
      <c r="I240" s="21" t="s">
        <v>122</v>
      </c>
      <c r="J240" s="53" t="n">
        <v>1.80877416096373</v>
      </c>
      <c r="K240" s="52" t="n">
        <f aca="false">IF(G240="","",MAX(0,G240-J240/100))</f>
        <v>0.651668921194534</v>
      </c>
      <c r="L240" s="52" t="n">
        <f aca="false">IF(G240="","",MIN(1,G240+J240/100))</f>
        <v>0.687844404413809</v>
      </c>
      <c r="M240" s="37" t="n">
        <f aca="false">IF(F240="","",ROUND(F240*J240/100,0))</f>
        <v>16</v>
      </c>
      <c r="P240" s="54" t="n">
        <v>17.5622985820938</v>
      </c>
      <c r="Q240" s="55" t="n">
        <f aca="false">T240*$H$5</f>
        <v>863.161290322581</v>
      </c>
      <c r="R240" s="56" t="n">
        <f aca="false">MAX(0,MIN(1,P240/100+$D$5))</f>
        <v>0.669126220709826</v>
      </c>
      <c r="S240" s="57" t="s">
        <v>132</v>
      </c>
      <c r="T240" s="55" t="n">
        <v>863.161290322581</v>
      </c>
    </row>
    <row r="241" customFormat="false" ht="15" hidden="false" customHeight="false" outlineLevel="0" collapsed="false">
      <c r="A241" s="21" t="s">
        <v>377</v>
      </c>
      <c r="B241" s="21" t="s">
        <v>252</v>
      </c>
      <c r="C241" s="21" t="s">
        <v>395</v>
      </c>
      <c r="D241" s="37" t="n">
        <f aca="false">ROUND(Q241*R241,0)</f>
        <v>697</v>
      </c>
      <c r="E241" s="37" t="n">
        <f aca="false">ROUND(Q241,0)-D241</f>
        <v>434</v>
      </c>
      <c r="F241" s="37" t="n">
        <f aca="false">IF(COUNTA(D241:E241)=0,"",SUM(D241:E241))</f>
        <v>1131</v>
      </c>
      <c r="G241" s="52" t="n">
        <f aca="false">IF(OR(F241="",F241=0),"",D241/F241)</f>
        <v>0.616268788682582</v>
      </c>
      <c r="H241" s="52" t="n">
        <f aca="false">IF(OR(F241="",F241=0),"",E241/F241)</f>
        <v>0.383731211317418</v>
      </c>
      <c r="I241" s="21" t="s">
        <v>122</v>
      </c>
      <c r="J241" s="53" t="n">
        <v>1.80877416096373</v>
      </c>
      <c r="K241" s="52" t="n">
        <f aca="false">IF(G241="","",MAX(0,G241-J241/100))</f>
        <v>0.598181047072945</v>
      </c>
      <c r="L241" s="52" t="n">
        <f aca="false">IF(G241="","",MIN(1,G241+J241/100))</f>
        <v>0.634356530292219</v>
      </c>
      <c r="M241" s="37" t="n">
        <f aca="false">IF(F241="","",ROUND(F241*J241/100,0))</f>
        <v>20</v>
      </c>
      <c r="P241" s="54" t="n">
        <v>12.2807489714413</v>
      </c>
      <c r="Q241" s="55" t="n">
        <f aca="false">T241*$H$5</f>
        <v>1131.04550209205</v>
      </c>
      <c r="R241" s="56" t="n">
        <f aca="false">MAX(0,MIN(1,P241/100+$D$5))</f>
        <v>0.616310724603301</v>
      </c>
      <c r="S241" s="57" t="s">
        <v>132</v>
      </c>
      <c r="T241" s="55" t="n">
        <v>1131.04550209205</v>
      </c>
    </row>
    <row r="242" customFormat="false" ht="15" hidden="false" customHeight="false" outlineLevel="0" collapsed="false">
      <c r="A242" s="21" t="s">
        <v>377</v>
      </c>
      <c r="B242" s="21" t="s">
        <v>252</v>
      </c>
      <c r="C242" s="21" t="s">
        <v>396</v>
      </c>
      <c r="D242" s="37" t="n">
        <f aca="false">ROUND(Q242*R242,0)</f>
        <v>503</v>
      </c>
      <c r="E242" s="37" t="n">
        <f aca="false">ROUND(Q242,0)-D242</f>
        <v>237</v>
      </c>
      <c r="F242" s="37" t="n">
        <f aca="false">IF(COUNTA(D242:E242)=0,"",SUM(D242:E242))</f>
        <v>740</v>
      </c>
      <c r="G242" s="52" t="n">
        <f aca="false">IF(OR(F242="",F242=0),"",D242/F242)</f>
        <v>0.67972972972973</v>
      </c>
      <c r="H242" s="52" t="n">
        <f aca="false">IF(OR(F242="",F242=0),"",E242/F242)</f>
        <v>0.32027027027027</v>
      </c>
      <c r="I242" s="21" t="s">
        <v>122</v>
      </c>
      <c r="J242" s="53" t="n">
        <v>3.02363014511423</v>
      </c>
      <c r="K242" s="52" t="n">
        <f aca="false">IF(G242="","",MAX(0,G242-J242/100))</f>
        <v>0.649493428278588</v>
      </c>
      <c r="L242" s="52" t="n">
        <f aca="false">IF(G242="","",MIN(1,G242+J242/100))</f>
        <v>0.709966031180872</v>
      </c>
      <c r="M242" s="37" t="n">
        <f aca="false">IF(F242="","",ROUND(F242*J242/100,0))</f>
        <v>22</v>
      </c>
      <c r="P242" s="54" t="n">
        <v>18.5925024264046</v>
      </c>
      <c r="Q242" s="55" t="n">
        <f aca="false">T242*$H$5</f>
        <v>740.032921810699</v>
      </c>
      <c r="R242" s="56" t="n">
        <f aca="false">MAX(0,MIN(1,P242/100+$D$5))</f>
        <v>0.679428259152935</v>
      </c>
      <c r="S242" s="57" t="s">
        <v>123</v>
      </c>
      <c r="T242" s="55" t="n">
        <v>740.032921810699</v>
      </c>
    </row>
    <row r="243" customFormat="false" ht="15" hidden="false" customHeight="false" outlineLevel="0" collapsed="false">
      <c r="A243" s="21" t="s">
        <v>377</v>
      </c>
      <c r="B243" s="21" t="s">
        <v>252</v>
      </c>
      <c r="C243" s="21" t="s">
        <v>397</v>
      </c>
      <c r="D243" s="37" t="n">
        <f aca="false">ROUND(Q243*R243,0)</f>
        <v>542</v>
      </c>
      <c r="E243" s="37" t="n">
        <f aca="false">ROUND(Q243,0)-D243</f>
        <v>329</v>
      </c>
      <c r="F243" s="37" t="n">
        <f aca="false">IF(COUNTA(D243:E243)=0,"",SUM(D243:E243))</f>
        <v>871</v>
      </c>
      <c r="G243" s="52" t="n">
        <f aca="false">IF(OR(F243="",F243=0),"",D243/F243)</f>
        <v>0.622273249138921</v>
      </c>
      <c r="H243" s="52" t="n">
        <f aca="false">IF(OR(F243="",F243=0),"",E243/F243)</f>
        <v>0.377726750861079</v>
      </c>
      <c r="I243" s="21" t="s">
        <v>122</v>
      </c>
      <c r="J243" s="53" t="n">
        <v>1.80877416096373</v>
      </c>
      <c r="K243" s="52" t="n">
        <f aca="false">IF(G243="","",MAX(0,G243-J243/100))</f>
        <v>0.604185507529284</v>
      </c>
      <c r="L243" s="52" t="n">
        <f aca="false">IF(G243="","",MIN(1,G243+J243/100))</f>
        <v>0.640360990748558</v>
      </c>
      <c r="M243" s="37" t="n">
        <f aca="false">IF(F243="","",ROUND(F243*J243/100,0))</f>
        <v>16</v>
      </c>
      <c r="P243" s="54" t="n">
        <v>12.8347939613347</v>
      </c>
      <c r="Q243" s="55" t="n">
        <f aca="false">T243*$H$5</f>
        <v>870.802226935313</v>
      </c>
      <c r="R243" s="56" t="n">
        <f aca="false">MAX(0,MIN(1,P243/100+$D$5))</f>
        <v>0.621851174502235</v>
      </c>
      <c r="S243" s="57" t="s">
        <v>132</v>
      </c>
      <c r="T243" s="55" t="n">
        <v>870.802226935313</v>
      </c>
    </row>
    <row r="244" customFormat="false" ht="15" hidden="false" customHeight="false" outlineLevel="0" collapsed="false">
      <c r="A244" s="21" t="s">
        <v>377</v>
      </c>
      <c r="B244" s="21" t="s">
        <v>252</v>
      </c>
      <c r="C244" s="21" t="s">
        <v>398</v>
      </c>
      <c r="D244" s="37" t="n">
        <f aca="false">ROUND(Q244*R244,0)</f>
        <v>150</v>
      </c>
      <c r="E244" s="37" t="n">
        <f aca="false">ROUND(Q244,0)-D244</f>
        <v>65</v>
      </c>
      <c r="F244" s="37" t="n">
        <f aca="false">IF(COUNTA(D244:E244)=0,"",SUM(D244:E244))</f>
        <v>215</v>
      </c>
      <c r="G244" s="52" t="n">
        <f aca="false">IF(OR(F244="",F244=0),"",D244/F244)</f>
        <v>0.697674418604651</v>
      </c>
      <c r="H244" s="52" t="n">
        <f aca="false">IF(OR(F244="",F244=0),"",E244/F244)</f>
        <v>0.302325581395349</v>
      </c>
      <c r="I244" s="21" t="s">
        <v>122</v>
      </c>
      <c r="J244" s="53" t="n">
        <v>3.02363014511423</v>
      </c>
      <c r="K244" s="52" t="n">
        <f aca="false">IF(G244="","",MAX(0,G244-J244/100))</f>
        <v>0.667438117153509</v>
      </c>
      <c r="L244" s="52" t="n">
        <f aca="false">IF(G244="","",MIN(1,G244+J244/100))</f>
        <v>0.727910720055794</v>
      </c>
      <c r="M244" s="37" t="n">
        <f aca="false">IF(F244="","",ROUND(F244*J244/100,0))</f>
        <v>7</v>
      </c>
      <c r="P244" s="54" t="n">
        <v>20.4172484554863</v>
      </c>
      <c r="Q244" s="55" t="n">
        <f aca="false">T244*$H$5</f>
        <v>215.348525469169</v>
      </c>
      <c r="R244" s="56" t="n">
        <f aca="false">MAX(0,MIN(1,P244/100+$D$5))</f>
        <v>0.697675719443752</v>
      </c>
      <c r="S244" s="57" t="s">
        <v>123</v>
      </c>
      <c r="T244" s="55" t="n">
        <v>215.348525469169</v>
      </c>
    </row>
    <row r="245" customFormat="false" ht="15" hidden="false" customHeight="false" outlineLevel="0" collapsed="false">
      <c r="A245" s="21" t="s">
        <v>377</v>
      </c>
      <c r="B245" s="21" t="s">
        <v>252</v>
      </c>
      <c r="C245" s="21" t="s">
        <v>399</v>
      </c>
      <c r="D245" s="37" t="n">
        <f aca="false">ROUND(Q245*R245,0)</f>
        <v>316</v>
      </c>
      <c r="E245" s="37" t="n">
        <f aca="false">ROUND(Q245,0)-D245</f>
        <v>125</v>
      </c>
      <c r="F245" s="37" t="n">
        <f aca="false">IF(COUNTA(D245:E245)=0,"",SUM(D245:E245))</f>
        <v>441</v>
      </c>
      <c r="G245" s="52" t="n">
        <f aca="false">IF(OR(F245="",F245=0),"",D245/F245)</f>
        <v>0.71655328798186</v>
      </c>
      <c r="H245" s="52" t="n">
        <f aca="false">IF(OR(F245="",F245=0),"",E245/F245)</f>
        <v>0.283446712018141</v>
      </c>
      <c r="I245" s="21" t="s">
        <v>122</v>
      </c>
      <c r="J245" s="53" t="n">
        <v>3.02363014511423</v>
      </c>
      <c r="K245" s="52" t="n">
        <f aca="false">IF(G245="","",MAX(0,G245-J245/100))</f>
        <v>0.686316986530717</v>
      </c>
      <c r="L245" s="52" t="n">
        <f aca="false">IF(G245="","",MIN(1,G245+J245/100))</f>
        <v>0.746789589433002</v>
      </c>
      <c r="M245" s="37" t="n">
        <f aca="false">IF(F245="","",ROUND(F245*J245/100,0))</f>
        <v>13</v>
      </c>
      <c r="P245" s="54" t="n">
        <v>22.4345517876573</v>
      </c>
      <c r="Q245" s="55" t="n">
        <f aca="false">T245*$H$5</f>
        <v>440.805484147387</v>
      </c>
      <c r="R245" s="56" t="n">
        <f aca="false">MAX(0,MIN(1,P245/100+$D$5))</f>
        <v>0.717848752765462</v>
      </c>
      <c r="S245" s="57" t="s">
        <v>123</v>
      </c>
      <c r="T245" s="55" t="n">
        <v>440.805484147387</v>
      </c>
    </row>
    <row r="246" customFormat="false" ht="15" hidden="false" customHeight="false" outlineLevel="0" collapsed="false">
      <c r="A246" s="21" t="s">
        <v>377</v>
      </c>
      <c r="B246" s="21" t="s">
        <v>252</v>
      </c>
      <c r="C246" s="21" t="s">
        <v>400</v>
      </c>
      <c r="D246" s="37" t="n">
        <f aca="false">ROUND(Q246*R246,0)</f>
        <v>262</v>
      </c>
      <c r="E246" s="37" t="n">
        <f aca="false">ROUND(Q246,0)-D246</f>
        <v>106</v>
      </c>
      <c r="F246" s="37" t="n">
        <f aca="false">IF(COUNTA(D246:E246)=0,"",SUM(D246:E246))</f>
        <v>368</v>
      </c>
      <c r="G246" s="52" t="n">
        <f aca="false">IF(OR(F246="",F246=0),"",D246/F246)</f>
        <v>0.711956521739131</v>
      </c>
      <c r="H246" s="52" t="n">
        <f aca="false">IF(OR(F246="",F246=0),"",E246/F246)</f>
        <v>0.28804347826087</v>
      </c>
      <c r="I246" s="21" t="s">
        <v>122</v>
      </c>
      <c r="J246" s="53" t="n">
        <v>3.02363014511423</v>
      </c>
      <c r="K246" s="52" t="n">
        <f aca="false">IF(G246="","",MAX(0,G246-J246/100))</f>
        <v>0.681720220287988</v>
      </c>
      <c r="L246" s="52" t="n">
        <f aca="false">IF(G246="","",MIN(1,G246+J246/100))</f>
        <v>0.742192823190273</v>
      </c>
      <c r="M246" s="37" t="n">
        <f aca="false">IF(F246="","",ROUND(F246*J246/100,0))</f>
        <v>11</v>
      </c>
      <c r="P246" s="54" t="n">
        <v>21.8985264553716</v>
      </c>
      <c r="Q246" s="55" t="n">
        <f aca="false">T246*$H$5</f>
        <v>367.804159445407</v>
      </c>
      <c r="R246" s="56" t="n">
        <f aca="false">MAX(0,MIN(1,P246/100+$D$5))</f>
        <v>0.712488499442604</v>
      </c>
      <c r="S246" s="57" t="s">
        <v>123</v>
      </c>
      <c r="T246" s="55" t="n">
        <v>367.804159445407</v>
      </c>
    </row>
    <row r="247" customFormat="false" ht="15" hidden="false" customHeight="false" outlineLevel="0" collapsed="false">
      <c r="A247" s="21" t="s">
        <v>377</v>
      </c>
      <c r="B247" s="21" t="s">
        <v>252</v>
      </c>
      <c r="C247" s="21" t="s">
        <v>401</v>
      </c>
      <c r="D247" s="37" t="n">
        <f aca="false">ROUND(Q247*R247,0)</f>
        <v>357</v>
      </c>
      <c r="E247" s="37" t="n">
        <f aca="false">ROUND(Q247,0)-D247</f>
        <v>117</v>
      </c>
      <c r="F247" s="37" t="n">
        <f aca="false">IF(COUNTA(D247:E247)=0,"",SUM(D247:E247))</f>
        <v>474</v>
      </c>
      <c r="G247" s="52" t="n">
        <f aca="false">IF(OR(F247="",F247=0),"",D247/F247)</f>
        <v>0.753164556962025</v>
      </c>
      <c r="H247" s="52" t="n">
        <f aca="false">IF(OR(F247="",F247=0),"",E247/F247)</f>
        <v>0.246835443037975</v>
      </c>
      <c r="I247" s="21" t="s">
        <v>122</v>
      </c>
      <c r="J247" s="53" t="n">
        <v>3.02363014511423</v>
      </c>
      <c r="K247" s="52" t="n">
        <f aca="false">IF(G247="","",MAX(0,G247-J247/100))</f>
        <v>0.722928255510883</v>
      </c>
      <c r="L247" s="52" t="n">
        <f aca="false">IF(G247="","",MIN(1,G247+J247/100))</f>
        <v>0.783400858413168</v>
      </c>
      <c r="M247" s="37" t="n">
        <f aca="false">IF(F247="","",ROUND(F247*J247/100,0))</f>
        <v>14</v>
      </c>
      <c r="P247" s="54" t="n">
        <v>25.9699266904119</v>
      </c>
      <c r="Q247" s="55" t="n">
        <f aca="false">T247*$H$5</f>
        <v>473.687539936102</v>
      </c>
      <c r="R247" s="56" t="n">
        <f aca="false">MAX(0,MIN(1,P247/100+$D$5))</f>
        <v>0.753202501793008</v>
      </c>
      <c r="S247" s="57" t="s">
        <v>123</v>
      </c>
      <c r="T247" s="55" t="n">
        <v>473.687539936102</v>
      </c>
    </row>
    <row r="248" customFormat="false" ht="15" hidden="false" customHeight="false" outlineLevel="0" collapsed="false">
      <c r="A248" s="21" t="s">
        <v>377</v>
      </c>
      <c r="B248" s="21" t="s">
        <v>252</v>
      </c>
      <c r="C248" s="21" t="s">
        <v>402</v>
      </c>
      <c r="D248" s="37" t="n">
        <f aca="false">ROUND(Q248*R248,0)</f>
        <v>661</v>
      </c>
      <c r="E248" s="37" t="n">
        <f aca="false">ROUND(Q248,0)-D248</f>
        <v>175</v>
      </c>
      <c r="F248" s="37" t="n">
        <f aca="false">IF(COUNTA(D248:E248)=0,"",SUM(D248:E248))</f>
        <v>836</v>
      </c>
      <c r="G248" s="52" t="n">
        <f aca="false">IF(OR(F248="",F248=0),"",D248/F248)</f>
        <v>0.79066985645933</v>
      </c>
      <c r="H248" s="52" t="n">
        <f aca="false">IF(OR(F248="",F248=0),"",E248/F248)</f>
        <v>0.20933014354067</v>
      </c>
      <c r="I248" s="21" t="s">
        <v>122</v>
      </c>
      <c r="J248" s="53" t="n">
        <v>1.80877416096373</v>
      </c>
      <c r="K248" s="52" t="n">
        <f aca="false">IF(G248="","",MAX(0,G248-J248/100))</f>
        <v>0.772582114849693</v>
      </c>
      <c r="L248" s="52" t="n">
        <f aca="false">IF(G248="","",MIN(1,G248+J248/100))</f>
        <v>0.808757598068968</v>
      </c>
      <c r="M248" s="37" t="n">
        <f aca="false">IF(F248="","",ROUND(F248*J248/100,0))</f>
        <v>15</v>
      </c>
      <c r="P248" s="54" t="n">
        <v>29.6937631776944</v>
      </c>
      <c r="Q248" s="55" t="n">
        <f aca="false">T248*$H$5</f>
        <v>835.622727272728</v>
      </c>
      <c r="R248" s="56" t="n">
        <f aca="false">MAX(0,MIN(1,P248/100+$D$5))</f>
        <v>0.790440866665833</v>
      </c>
      <c r="S248" s="57" t="s">
        <v>132</v>
      </c>
      <c r="T248" s="55" t="n">
        <v>835.622727272728</v>
      </c>
    </row>
    <row r="249" customFormat="false" ht="15" hidden="false" customHeight="false" outlineLevel="0" collapsed="false">
      <c r="A249" s="21" t="s">
        <v>377</v>
      </c>
      <c r="B249" s="21" t="s">
        <v>252</v>
      </c>
      <c r="C249" s="21" t="s">
        <v>403</v>
      </c>
      <c r="D249" s="37" t="n">
        <f aca="false">ROUND(Q249*R249,0)</f>
        <v>369</v>
      </c>
      <c r="E249" s="37" t="n">
        <f aca="false">ROUND(Q249,0)-D249</f>
        <v>139</v>
      </c>
      <c r="F249" s="37" t="n">
        <f aca="false">IF(COUNTA(D249:E249)=0,"",SUM(D249:E249))</f>
        <v>508</v>
      </c>
      <c r="G249" s="52" t="n">
        <f aca="false">IF(OR(F249="",F249=0),"",D249/F249)</f>
        <v>0.726377952755906</v>
      </c>
      <c r="H249" s="52" t="n">
        <f aca="false">IF(OR(F249="",F249=0),"",E249/F249)</f>
        <v>0.273622047244095</v>
      </c>
      <c r="I249" s="21" t="s">
        <v>122</v>
      </c>
      <c r="J249" s="53" t="n">
        <v>3.02363014511423</v>
      </c>
      <c r="K249" s="52" t="n">
        <f aca="false">IF(G249="","",MAX(0,G249-J249/100))</f>
        <v>0.696141651304763</v>
      </c>
      <c r="L249" s="52" t="n">
        <f aca="false">IF(G249="","",MIN(1,G249+J249/100))</f>
        <v>0.756614254207048</v>
      </c>
      <c r="M249" s="37" t="n">
        <f aca="false">IF(F249="","",ROUND(F249*J249/100,0))</f>
        <v>15</v>
      </c>
      <c r="P249" s="54" t="n">
        <v>23.35224746272</v>
      </c>
      <c r="Q249" s="55" t="n">
        <f aca="false">T249*$H$5</f>
        <v>507.768014059754</v>
      </c>
      <c r="R249" s="56" t="n">
        <f aca="false">MAX(0,MIN(1,P249/100+$D$5))</f>
        <v>0.727025709516088</v>
      </c>
      <c r="S249" s="57" t="s">
        <v>123</v>
      </c>
      <c r="T249" s="55" t="n">
        <v>507.768014059754</v>
      </c>
    </row>
    <row r="250" customFormat="false" ht="15" hidden="false" customHeight="false" outlineLevel="0" collapsed="false">
      <c r="A250" s="21" t="s">
        <v>377</v>
      </c>
      <c r="B250" s="21" t="s">
        <v>252</v>
      </c>
      <c r="C250" s="21" t="s">
        <v>404</v>
      </c>
      <c r="D250" s="37" t="n">
        <f aca="false">ROUND(Q250*R250,0)</f>
        <v>353</v>
      </c>
      <c r="E250" s="37" t="n">
        <f aca="false">ROUND(Q250,0)-D250</f>
        <v>146</v>
      </c>
      <c r="F250" s="37" t="n">
        <f aca="false">IF(COUNTA(D250:E250)=0,"",SUM(D250:E250))</f>
        <v>499</v>
      </c>
      <c r="G250" s="52" t="n">
        <f aca="false">IF(OR(F250="",F250=0),"",D250/F250)</f>
        <v>0.707414829659319</v>
      </c>
      <c r="H250" s="52" t="n">
        <f aca="false">IF(OR(F250="",F250=0),"",E250/F250)</f>
        <v>0.292585170340681</v>
      </c>
      <c r="I250" s="21" t="s">
        <v>122</v>
      </c>
      <c r="J250" s="53" t="n">
        <v>3.02363014511423</v>
      </c>
      <c r="K250" s="52" t="n">
        <f aca="false">IF(G250="","",MAX(0,G250-J250/100))</f>
        <v>0.677178528208176</v>
      </c>
      <c r="L250" s="52" t="n">
        <f aca="false">IF(G250="","",MIN(1,G250+J250/100))</f>
        <v>0.737651131110461</v>
      </c>
      <c r="M250" s="37" t="n">
        <f aca="false">IF(F250="","",ROUND(F250*J250/100,0))</f>
        <v>15</v>
      </c>
      <c r="P250" s="54" t="n">
        <v>21.4284978424207</v>
      </c>
      <c r="Q250" s="55" t="n">
        <f aca="false">T250*$H$5</f>
        <v>498.871436256052</v>
      </c>
      <c r="R250" s="56" t="n">
        <f aca="false">MAX(0,MIN(1,P250/100+$D$5))</f>
        <v>0.707788213313095</v>
      </c>
      <c r="S250" s="57" t="s">
        <v>123</v>
      </c>
      <c r="T250" s="55" t="n">
        <v>498.871436256052</v>
      </c>
    </row>
    <row r="251" customFormat="false" ht="15" hidden="false" customHeight="false" outlineLevel="0" collapsed="false">
      <c r="A251" s="21" t="s">
        <v>377</v>
      </c>
      <c r="B251" s="21" t="s">
        <v>252</v>
      </c>
      <c r="C251" s="21" t="s">
        <v>405</v>
      </c>
      <c r="D251" s="37" t="n">
        <f aca="false">ROUND(Q251*R251,0)</f>
        <v>384</v>
      </c>
      <c r="E251" s="37" t="n">
        <f aca="false">ROUND(Q251,0)-D251</f>
        <v>150</v>
      </c>
      <c r="F251" s="37" t="n">
        <f aca="false">IF(COUNTA(D251:E251)=0,"",SUM(D251:E251))</f>
        <v>534</v>
      </c>
      <c r="G251" s="52" t="n">
        <f aca="false">IF(OR(F251="",F251=0),"",D251/F251)</f>
        <v>0.719101123595506</v>
      </c>
      <c r="H251" s="52" t="n">
        <f aca="false">IF(OR(F251="",F251=0),"",E251/F251)</f>
        <v>0.280898876404494</v>
      </c>
      <c r="I251" s="21" t="s">
        <v>122</v>
      </c>
      <c r="J251" s="53" t="n">
        <v>3.02363014511423</v>
      </c>
      <c r="K251" s="52" t="n">
        <f aca="false">IF(G251="","",MAX(0,G251-J251/100))</f>
        <v>0.688864822144363</v>
      </c>
      <c r="L251" s="52" t="n">
        <f aca="false">IF(G251="","",MIN(1,G251+J251/100))</f>
        <v>0.749337425046648</v>
      </c>
      <c r="M251" s="37" t="n">
        <f aca="false">IF(F251="","",ROUND(F251*J251/100,0))</f>
        <v>16</v>
      </c>
      <c r="P251" s="54" t="n">
        <v>22.616308637386</v>
      </c>
      <c r="Q251" s="55" t="n">
        <f aca="false">T251*$H$5</f>
        <v>533.985148514852</v>
      </c>
      <c r="R251" s="56" t="n">
        <f aca="false">MAX(0,MIN(1,P251/100+$D$5))</f>
        <v>0.719666321262748</v>
      </c>
      <c r="S251" s="57" t="s">
        <v>123</v>
      </c>
      <c r="T251" s="55" t="n">
        <v>533.985148514852</v>
      </c>
    </row>
    <row r="252" customFormat="false" ht="15" hidden="false" customHeight="false" outlineLevel="0" collapsed="false">
      <c r="A252" s="21" t="s">
        <v>377</v>
      </c>
      <c r="B252" s="21" t="s">
        <v>252</v>
      </c>
      <c r="C252" s="21" t="s">
        <v>406</v>
      </c>
      <c r="D252" s="37" t="n">
        <f aca="false">ROUND(Q252*R252,0)</f>
        <v>560</v>
      </c>
      <c r="E252" s="37" t="n">
        <f aca="false">ROUND(Q252,0)-D252</f>
        <v>238</v>
      </c>
      <c r="F252" s="37" t="n">
        <f aca="false">IF(COUNTA(D252:E252)=0,"",SUM(D252:E252))</f>
        <v>798</v>
      </c>
      <c r="G252" s="52" t="n">
        <f aca="false">IF(OR(F252="",F252=0),"",D252/F252)</f>
        <v>0.701754385964912</v>
      </c>
      <c r="H252" s="52" t="n">
        <f aca="false">IF(OR(F252="",F252=0),"",E252/F252)</f>
        <v>0.298245614035088</v>
      </c>
      <c r="I252" s="21" t="s">
        <v>122</v>
      </c>
      <c r="J252" s="53" t="n">
        <v>1.80877416096373</v>
      </c>
      <c r="K252" s="52" t="n">
        <f aca="false">IF(G252="","",MAX(0,G252-J252/100))</f>
        <v>0.683666644355275</v>
      </c>
      <c r="L252" s="52" t="n">
        <f aca="false">IF(G252="","",MIN(1,G252+J252/100))</f>
        <v>0.71984212757455</v>
      </c>
      <c r="M252" s="37" t="n">
        <f aca="false">IF(F252="","",ROUND(F252*J252/100,0))</f>
        <v>14</v>
      </c>
      <c r="P252" s="54" t="n">
        <v>20.768412941915</v>
      </c>
      <c r="Q252" s="55" t="n">
        <f aca="false">T252*$H$5</f>
        <v>798.341340075854</v>
      </c>
      <c r="R252" s="56" t="n">
        <f aca="false">MAX(0,MIN(1,P252/100+$D$5))</f>
        <v>0.701187364308038</v>
      </c>
      <c r="S252" s="57" t="s">
        <v>132</v>
      </c>
      <c r="T252" s="55" t="n">
        <v>798.341340075854</v>
      </c>
    </row>
    <row r="253" customFormat="false" ht="15" hidden="false" customHeight="false" outlineLevel="0" collapsed="false">
      <c r="A253" s="21" t="s">
        <v>377</v>
      </c>
      <c r="B253" s="21" t="s">
        <v>252</v>
      </c>
      <c r="C253" s="21" t="s">
        <v>407</v>
      </c>
      <c r="D253" s="37" t="n">
        <f aca="false">ROUND(Q253*R253,0)</f>
        <v>467</v>
      </c>
      <c r="E253" s="37" t="n">
        <f aca="false">ROUND(Q253,0)-D253</f>
        <v>215</v>
      </c>
      <c r="F253" s="37" t="n">
        <f aca="false">IF(COUNTA(D253:E253)=0,"",SUM(D253:E253))</f>
        <v>682</v>
      </c>
      <c r="G253" s="52" t="n">
        <f aca="false">IF(OR(F253="",F253=0),"",D253/F253)</f>
        <v>0.68475073313783</v>
      </c>
      <c r="H253" s="52" t="n">
        <f aca="false">IF(OR(F253="",F253=0),"",E253/F253)</f>
        <v>0.31524926686217</v>
      </c>
      <c r="I253" s="21" t="s">
        <v>122</v>
      </c>
      <c r="J253" s="53" t="n">
        <v>3.02363014511423</v>
      </c>
      <c r="K253" s="52" t="n">
        <f aca="false">IF(G253="","",MAX(0,G253-J253/100))</f>
        <v>0.654514431686688</v>
      </c>
      <c r="L253" s="52" t="n">
        <f aca="false">IF(G253="","",MIN(1,G253+J253/100))</f>
        <v>0.714987034588972</v>
      </c>
      <c r="M253" s="37" t="n">
        <f aca="false">IF(F253="","",ROUND(F253*J253/100,0))</f>
        <v>21</v>
      </c>
      <c r="P253" s="54" t="n">
        <v>19.0830065300839</v>
      </c>
      <c r="Q253" s="55" t="n">
        <f aca="false">T253*$H$5</f>
        <v>682.091267235719</v>
      </c>
      <c r="R253" s="56" t="n">
        <f aca="false">MAX(0,MIN(1,P253/100+$D$5))</f>
        <v>0.684333300189727</v>
      </c>
      <c r="S253" s="57" t="s">
        <v>123</v>
      </c>
      <c r="T253" s="55" t="n">
        <v>682.091267235719</v>
      </c>
    </row>
    <row r="254" customFormat="false" ht="15" hidden="false" customHeight="false" outlineLevel="0" collapsed="false">
      <c r="A254" s="21" t="s">
        <v>377</v>
      </c>
      <c r="B254" s="21" t="s">
        <v>252</v>
      </c>
      <c r="C254" s="21" t="s">
        <v>408</v>
      </c>
      <c r="D254" s="37" t="n">
        <f aca="false">ROUND(Q254*R254,0)</f>
        <v>538</v>
      </c>
      <c r="E254" s="37" t="n">
        <f aca="false">ROUND(Q254,0)-D254</f>
        <v>247</v>
      </c>
      <c r="F254" s="37" t="n">
        <f aca="false">IF(COUNTA(D254:E254)=0,"",SUM(D254:E254))</f>
        <v>785</v>
      </c>
      <c r="G254" s="52" t="n">
        <f aca="false">IF(OR(F254="",F254=0),"",D254/F254)</f>
        <v>0.685350318471338</v>
      </c>
      <c r="H254" s="52" t="n">
        <f aca="false">IF(OR(F254="",F254=0),"",E254/F254)</f>
        <v>0.314649681528662</v>
      </c>
      <c r="I254" s="21" t="s">
        <v>122</v>
      </c>
      <c r="J254" s="53" t="n">
        <v>1.80877416096373</v>
      </c>
      <c r="K254" s="52" t="n">
        <f aca="false">IF(G254="","",MAX(0,G254-J254/100))</f>
        <v>0.6672625768617</v>
      </c>
      <c r="L254" s="52" t="n">
        <f aca="false">IF(G254="","",MIN(1,G254+J254/100))</f>
        <v>0.703438060080975</v>
      </c>
      <c r="M254" s="37" t="n">
        <f aca="false">IF(F254="","",ROUND(F254*J254/100,0))</f>
        <v>14</v>
      </c>
      <c r="P254" s="54" t="n">
        <v>19.0864788373122</v>
      </c>
      <c r="Q254" s="55" t="n">
        <f aca="false">T254*$H$5</f>
        <v>785.450874831763</v>
      </c>
      <c r="R254" s="56" t="n">
        <f aca="false">MAX(0,MIN(1,P254/100+$D$5))</f>
        <v>0.68436802326201</v>
      </c>
      <c r="S254" s="57" t="s">
        <v>132</v>
      </c>
      <c r="T254" s="55" t="n">
        <v>785.450874831763</v>
      </c>
    </row>
    <row r="255" customFormat="false" ht="15" hidden="false" customHeight="false" outlineLevel="0" collapsed="false">
      <c r="A255" s="21" t="s">
        <v>377</v>
      </c>
      <c r="B255" s="21" t="s">
        <v>252</v>
      </c>
      <c r="C255" s="21" t="s">
        <v>409</v>
      </c>
      <c r="D255" s="37" t="n">
        <f aca="false">ROUND(Q255*R255,0)</f>
        <v>898</v>
      </c>
      <c r="E255" s="37" t="n">
        <f aca="false">ROUND(Q255,0)-D255</f>
        <v>530</v>
      </c>
      <c r="F255" s="37" t="n">
        <f aca="false">IF(COUNTA(D255:E255)=0,"",SUM(D255:E255))</f>
        <v>1428</v>
      </c>
      <c r="G255" s="52" t="n">
        <f aca="false">IF(OR(F255="",F255=0),"",D255/F255)</f>
        <v>0.628851540616247</v>
      </c>
      <c r="H255" s="52" t="n">
        <f aca="false">IF(OR(F255="",F255=0),"",E255/F255)</f>
        <v>0.371148459383754</v>
      </c>
      <c r="I255" s="21" t="s">
        <v>223</v>
      </c>
      <c r="J255" s="53" t="n">
        <v>1.24981746705324</v>
      </c>
      <c r="K255" s="52" t="n">
        <f aca="false">IF(G255="","",MAX(0,G255-J255/100))</f>
        <v>0.616353365945714</v>
      </c>
      <c r="L255" s="52" t="n">
        <f aca="false">IF(G255="","",MIN(1,G255+J255/100))</f>
        <v>0.641349715286779</v>
      </c>
      <c r="M255" s="37" t="n">
        <f aca="false">IF(F255="","",ROUND(F255*J255/100,0))</f>
        <v>18</v>
      </c>
      <c r="P255" s="54" t="n">
        <v>13.540564995807</v>
      </c>
      <c r="Q255" s="55" t="n">
        <f aca="false">T255*$H$5</f>
        <v>1428.36591156443</v>
      </c>
      <c r="R255" s="56" t="n">
        <f aca="false">MAX(0,MIN(1,P255/100+$D$5))</f>
        <v>0.628908884846958</v>
      </c>
      <c r="S255" s="57" t="s">
        <v>225</v>
      </c>
      <c r="T255" s="55" t="n">
        <v>1428.36591156443</v>
      </c>
    </row>
    <row r="256" customFormat="false" ht="15" hidden="false" customHeight="false" outlineLevel="0" collapsed="false">
      <c r="A256" s="21" t="s">
        <v>377</v>
      </c>
      <c r="B256" s="21" t="s">
        <v>410</v>
      </c>
      <c r="C256" s="21" t="s">
        <v>411</v>
      </c>
      <c r="D256" s="37" t="n">
        <f aca="false">ROUND(Q256*R256,0)</f>
        <v>387</v>
      </c>
      <c r="E256" s="37" t="n">
        <f aca="false">ROUND(Q256,0)-D256</f>
        <v>332</v>
      </c>
      <c r="F256" s="37" t="n">
        <f aca="false">IF(COUNTA(D256:E256)=0,"",SUM(D256:E256))</f>
        <v>719</v>
      </c>
      <c r="G256" s="52" t="n">
        <f aca="false">IF(OR(F256="",F256=0),"",D256/F256)</f>
        <v>0.538247566063978</v>
      </c>
      <c r="H256" s="52" t="n">
        <f aca="false">IF(OR(F256="",F256=0),"",E256/F256)</f>
        <v>0.461752433936022</v>
      </c>
      <c r="I256" s="21" t="s">
        <v>122</v>
      </c>
      <c r="J256" s="53" t="n">
        <v>3.02363014511423</v>
      </c>
      <c r="K256" s="52" t="n">
        <f aca="false">IF(G256="","",MAX(0,G256-J256/100))</f>
        <v>0.508011264612835</v>
      </c>
      <c r="L256" s="52" t="n">
        <f aca="false">IF(G256="","",MIN(1,G256+J256/100))</f>
        <v>0.56848386751512</v>
      </c>
      <c r="M256" s="37" t="n">
        <f aca="false">IF(F256="","",ROUND(F256*J256/100,0))</f>
        <v>22</v>
      </c>
      <c r="P256" s="54" t="n">
        <v>4.43754924557247</v>
      </c>
      <c r="Q256" s="55" t="n">
        <f aca="false">T256*$H$5</f>
        <v>718.755218216319</v>
      </c>
      <c r="R256" s="56" t="n">
        <f aca="false">MAX(0,MIN(1,P256/100+$D$5))</f>
        <v>0.537878727344613</v>
      </c>
      <c r="S256" s="57" t="s">
        <v>123</v>
      </c>
      <c r="T256" s="55" t="n">
        <v>718.755218216319</v>
      </c>
    </row>
    <row r="257" customFormat="false" ht="15" hidden="false" customHeight="false" outlineLevel="0" collapsed="false">
      <c r="A257" s="21" t="s">
        <v>377</v>
      </c>
      <c r="B257" s="21" t="s">
        <v>410</v>
      </c>
      <c r="C257" s="21" t="s">
        <v>412</v>
      </c>
      <c r="D257" s="37" t="n">
        <f aca="false">ROUND(Q257*R257,0)</f>
        <v>488</v>
      </c>
      <c r="E257" s="37" t="n">
        <f aca="false">ROUND(Q257,0)-D257</f>
        <v>441</v>
      </c>
      <c r="F257" s="37" t="n">
        <f aca="false">IF(COUNTA(D257:E257)=0,"",SUM(D257:E257))</f>
        <v>929</v>
      </c>
      <c r="G257" s="52" t="n">
        <f aca="false">IF(OR(F257="",F257=0),"",D257/F257)</f>
        <v>0.52529601722282</v>
      </c>
      <c r="H257" s="52" t="n">
        <f aca="false">IF(OR(F257="",F257=0),"",E257/F257)</f>
        <v>0.47470398277718</v>
      </c>
      <c r="I257" s="21" t="s">
        <v>122</v>
      </c>
      <c r="J257" s="53" t="n">
        <v>1.80877416096373</v>
      </c>
      <c r="K257" s="52" t="n">
        <f aca="false">IF(G257="","",MAX(0,G257-J257/100))</f>
        <v>0.507208275613183</v>
      </c>
      <c r="L257" s="52" t="n">
        <f aca="false">IF(G257="","",MIN(1,G257+J257/100))</f>
        <v>0.543383758832458</v>
      </c>
      <c r="M257" s="37" t="n">
        <f aca="false">IF(F257="","",ROUND(F257*J257/100,0))</f>
        <v>17</v>
      </c>
      <c r="P257" s="54" t="n">
        <v>3.12281221108838</v>
      </c>
      <c r="Q257" s="55" t="n">
        <f aca="false">T257*$H$5</f>
        <v>929.064439140811</v>
      </c>
      <c r="R257" s="56" t="n">
        <f aca="false">MAX(0,MIN(1,P257/100+$D$5))</f>
        <v>0.524731356999772</v>
      </c>
      <c r="S257" s="57" t="s">
        <v>132</v>
      </c>
      <c r="T257" s="55" t="n">
        <v>929.064439140811</v>
      </c>
    </row>
    <row r="258" customFormat="false" ht="15" hidden="false" customHeight="false" outlineLevel="0" collapsed="false">
      <c r="A258" s="21" t="s">
        <v>377</v>
      </c>
      <c r="B258" s="21" t="s">
        <v>410</v>
      </c>
      <c r="C258" s="21" t="s">
        <v>413</v>
      </c>
      <c r="D258" s="37" t="n">
        <f aca="false">ROUND(Q258*R258,0)</f>
        <v>552</v>
      </c>
      <c r="E258" s="37" t="n">
        <f aca="false">ROUND(Q258,0)-D258</f>
        <v>438</v>
      </c>
      <c r="F258" s="37" t="n">
        <f aca="false">IF(COUNTA(D258:E258)=0,"",SUM(D258:E258))</f>
        <v>990</v>
      </c>
      <c r="G258" s="52" t="n">
        <f aca="false">IF(OR(F258="",F258=0),"",D258/F258)</f>
        <v>0.557575757575758</v>
      </c>
      <c r="H258" s="52" t="n">
        <f aca="false">IF(OR(F258="",F258=0),"",E258/F258)</f>
        <v>0.442424242424242</v>
      </c>
      <c r="I258" s="21" t="s">
        <v>122</v>
      </c>
      <c r="J258" s="53" t="n">
        <v>1.80877416096373</v>
      </c>
      <c r="K258" s="52" t="n">
        <f aca="false">IF(G258="","",MAX(0,G258-J258/100))</f>
        <v>0.53948801596612</v>
      </c>
      <c r="L258" s="52" t="n">
        <f aca="false">IF(G258="","",MIN(1,G258+J258/100))</f>
        <v>0.575663499185395</v>
      </c>
      <c r="M258" s="37" t="n">
        <f aca="false">IF(F258="","",ROUND(F258*J258/100,0))</f>
        <v>18</v>
      </c>
      <c r="P258" s="54" t="n">
        <v>6.40828115450761</v>
      </c>
      <c r="Q258" s="55" t="n">
        <f aca="false">T258*$H$5</f>
        <v>990.257425742575</v>
      </c>
      <c r="R258" s="56" t="n">
        <f aca="false">MAX(0,MIN(1,P258/100+$D$5))</f>
        <v>0.557586046433964</v>
      </c>
      <c r="S258" s="57" t="s">
        <v>132</v>
      </c>
      <c r="T258" s="55" t="n">
        <v>990.257425742575</v>
      </c>
    </row>
    <row r="259" customFormat="false" ht="15" hidden="false" customHeight="false" outlineLevel="0" collapsed="false">
      <c r="A259" s="21" t="s">
        <v>377</v>
      </c>
      <c r="B259" s="21" t="s">
        <v>410</v>
      </c>
      <c r="C259" s="21" t="s">
        <v>414</v>
      </c>
      <c r="D259" s="37" t="n">
        <f aca="false">ROUND(Q259*R259,0)</f>
        <v>262</v>
      </c>
      <c r="E259" s="37" t="n">
        <f aca="false">ROUND(Q259,0)-D259</f>
        <v>252</v>
      </c>
      <c r="F259" s="37" t="n">
        <f aca="false">IF(COUNTA(D259:E259)=0,"",SUM(D259:E259))</f>
        <v>514</v>
      </c>
      <c r="G259" s="52" t="n">
        <f aca="false">IF(OR(F259="",F259=0),"",D259/F259)</f>
        <v>0.509727626459144</v>
      </c>
      <c r="H259" s="52" t="n">
        <f aca="false">IF(OR(F259="",F259=0),"",E259/F259)</f>
        <v>0.490272373540856</v>
      </c>
      <c r="I259" s="21" t="s">
        <v>122</v>
      </c>
      <c r="J259" s="53" t="n">
        <v>3.02363014511423</v>
      </c>
      <c r="K259" s="52" t="n">
        <f aca="false">IF(G259="","",MAX(0,G259-J259/100))</f>
        <v>0.479491325008002</v>
      </c>
      <c r="L259" s="52" t="n">
        <f aca="false">IF(G259="","",MIN(1,G259+J259/100))</f>
        <v>0.539963927910286</v>
      </c>
      <c r="M259" s="37" t="n">
        <f aca="false">IF(F259="","",ROUND(F259*J259/100,0))</f>
        <v>16</v>
      </c>
      <c r="P259" s="54" t="n">
        <v>1.55032028644927</v>
      </c>
      <c r="Q259" s="55" t="n">
        <f aca="false">T259*$H$5</f>
        <v>513.768181818182</v>
      </c>
      <c r="R259" s="56" t="n">
        <f aca="false">MAX(0,MIN(1,P259/100+$D$5))</f>
        <v>0.509006437753381</v>
      </c>
      <c r="S259" s="57" t="s">
        <v>123</v>
      </c>
      <c r="T259" s="55" t="n">
        <v>513.768181818182</v>
      </c>
    </row>
    <row r="260" customFormat="false" ht="15" hidden="false" customHeight="false" outlineLevel="0" collapsed="false">
      <c r="A260" s="21" t="s">
        <v>377</v>
      </c>
      <c r="B260" s="21" t="s">
        <v>410</v>
      </c>
      <c r="C260" s="21" t="s">
        <v>415</v>
      </c>
      <c r="D260" s="37" t="n">
        <f aca="false">ROUND(Q260*R260,0)</f>
        <v>445</v>
      </c>
      <c r="E260" s="37" t="n">
        <f aca="false">ROUND(Q260,0)-D260</f>
        <v>347</v>
      </c>
      <c r="F260" s="37" t="n">
        <f aca="false">IF(COUNTA(D260:E260)=0,"",SUM(D260:E260))</f>
        <v>792</v>
      </c>
      <c r="G260" s="52" t="n">
        <f aca="false">IF(OR(F260="",F260=0),"",D260/F260)</f>
        <v>0.561868686868687</v>
      </c>
      <c r="H260" s="52" t="n">
        <f aca="false">IF(OR(F260="",F260=0),"",E260/F260)</f>
        <v>0.438131313131313</v>
      </c>
      <c r="I260" s="21" t="s">
        <v>122</v>
      </c>
      <c r="J260" s="53" t="n">
        <v>1.80877416096373</v>
      </c>
      <c r="K260" s="52" t="n">
        <f aca="false">IF(G260="","",MAX(0,G260-J260/100))</f>
        <v>0.54378094525905</v>
      </c>
      <c r="L260" s="52" t="n">
        <f aca="false">IF(G260="","",MIN(1,G260+J260/100))</f>
        <v>0.579956428478324</v>
      </c>
      <c r="M260" s="37" t="n">
        <f aca="false">IF(F260="","",ROUND(F260*J260/100,0))</f>
        <v>14</v>
      </c>
      <c r="P260" s="54" t="n">
        <v>6.84066443213262</v>
      </c>
      <c r="Q260" s="55" t="n">
        <f aca="false">T260*$H$5</f>
        <v>792.466367713005</v>
      </c>
      <c r="R260" s="56" t="n">
        <f aca="false">MAX(0,MIN(1,P260/100+$D$5))</f>
        <v>0.561909879210214</v>
      </c>
      <c r="S260" s="57" t="s">
        <v>132</v>
      </c>
      <c r="T260" s="55" t="n">
        <v>792.466367713005</v>
      </c>
    </row>
    <row r="261" customFormat="false" ht="15" hidden="false" customHeight="false" outlineLevel="0" collapsed="false">
      <c r="A261" s="21" t="s">
        <v>377</v>
      </c>
      <c r="B261" s="21" t="s">
        <v>410</v>
      </c>
      <c r="C261" s="21" t="s">
        <v>416</v>
      </c>
      <c r="D261" s="37" t="n">
        <f aca="false">ROUND(Q261*R261,0)</f>
        <v>441</v>
      </c>
      <c r="E261" s="37" t="n">
        <f aca="false">ROUND(Q261,0)-D261</f>
        <v>399</v>
      </c>
      <c r="F261" s="37" t="n">
        <f aca="false">IF(COUNTA(D261:E261)=0,"",SUM(D261:E261))</f>
        <v>840</v>
      </c>
      <c r="G261" s="52" t="n">
        <f aca="false">IF(OR(F261="",F261=0),"",D261/F261)</f>
        <v>0.525</v>
      </c>
      <c r="H261" s="52" t="n">
        <f aca="false">IF(OR(F261="",F261=0),"",E261/F261)</f>
        <v>0.475</v>
      </c>
      <c r="I261" s="21" t="s">
        <v>122</v>
      </c>
      <c r="J261" s="53" t="n">
        <v>1.80877416096373</v>
      </c>
      <c r="K261" s="52" t="n">
        <f aca="false">IF(G261="","",MAX(0,G261-J261/100))</f>
        <v>0.506912258390363</v>
      </c>
      <c r="L261" s="52" t="n">
        <f aca="false">IF(G261="","",MIN(1,G261+J261/100))</f>
        <v>0.543087741609637</v>
      </c>
      <c r="M261" s="37" t="n">
        <f aca="false">IF(F261="","",ROUND(F261*J261/100,0))</f>
        <v>15</v>
      </c>
      <c r="P261" s="54" t="n">
        <v>3.21945602259975</v>
      </c>
      <c r="Q261" s="55" t="n">
        <f aca="false">T261*$H$5</f>
        <v>839.707716289945</v>
      </c>
      <c r="R261" s="56" t="n">
        <f aca="false">MAX(0,MIN(1,P261/100+$D$5))</f>
        <v>0.525697795114886</v>
      </c>
      <c r="S261" s="57" t="s">
        <v>132</v>
      </c>
      <c r="T261" s="55" t="n">
        <v>839.707716289945</v>
      </c>
    </row>
    <row r="262" customFormat="false" ht="15" hidden="false" customHeight="false" outlineLevel="0" collapsed="false">
      <c r="A262" s="21" t="s">
        <v>377</v>
      </c>
      <c r="B262" s="21" t="s">
        <v>410</v>
      </c>
      <c r="C262" s="21" t="s">
        <v>417</v>
      </c>
      <c r="D262" s="37" t="n">
        <f aca="false">ROUND(Q262*R262,0)</f>
        <v>285</v>
      </c>
      <c r="E262" s="37" t="n">
        <f aca="false">ROUND(Q262,0)-D262</f>
        <v>229</v>
      </c>
      <c r="F262" s="37" t="n">
        <f aca="false">IF(COUNTA(D262:E262)=0,"",SUM(D262:E262))</f>
        <v>514</v>
      </c>
      <c r="G262" s="52" t="n">
        <f aca="false">IF(OR(F262="",F262=0),"",D262/F262)</f>
        <v>0.554474708171206</v>
      </c>
      <c r="H262" s="52" t="n">
        <f aca="false">IF(OR(F262="",F262=0),"",E262/F262)</f>
        <v>0.445525291828794</v>
      </c>
      <c r="I262" s="21" t="s">
        <v>122</v>
      </c>
      <c r="J262" s="53" t="n">
        <v>3.02363014511423</v>
      </c>
      <c r="K262" s="52" t="n">
        <f aca="false">IF(G262="","",MAX(0,G262-J262/100))</f>
        <v>0.524238406720064</v>
      </c>
      <c r="L262" s="52" t="n">
        <f aca="false">IF(G262="","",MIN(1,G262+J262/100))</f>
        <v>0.584711009622349</v>
      </c>
      <c r="M262" s="37" t="n">
        <f aca="false">IF(F262="","",ROUND(F262*J262/100,0))</f>
        <v>16</v>
      </c>
      <c r="P262" s="54" t="n">
        <v>5.98915501114373</v>
      </c>
      <c r="Q262" s="55" t="n">
        <f aca="false">T262*$H$5</f>
        <v>514.18359375</v>
      </c>
      <c r="R262" s="56" t="n">
        <f aca="false">MAX(0,MIN(1,P262/100+$D$5))</f>
        <v>0.553394785000326</v>
      </c>
      <c r="S262" s="57" t="s">
        <v>123</v>
      </c>
      <c r="T262" s="55" t="n">
        <v>514.18359375</v>
      </c>
    </row>
    <row r="263" customFormat="false" ht="15" hidden="false" customHeight="false" outlineLevel="0" collapsed="false">
      <c r="A263" s="21" t="s">
        <v>377</v>
      </c>
      <c r="B263" s="21" t="s">
        <v>410</v>
      </c>
      <c r="C263" s="21" t="s">
        <v>418</v>
      </c>
      <c r="D263" s="37" t="n">
        <f aca="false">ROUND(Q263*R263,0)</f>
        <v>407</v>
      </c>
      <c r="E263" s="37" t="n">
        <f aca="false">ROUND(Q263,0)-D263</f>
        <v>299</v>
      </c>
      <c r="F263" s="37" t="n">
        <f aca="false">IF(COUNTA(D263:E263)=0,"",SUM(D263:E263))</f>
        <v>706</v>
      </c>
      <c r="G263" s="52" t="n">
        <f aca="false">IF(OR(F263="",F263=0),"",D263/F263)</f>
        <v>0.576487252124646</v>
      </c>
      <c r="H263" s="52" t="n">
        <f aca="false">IF(OR(F263="",F263=0),"",E263/F263)</f>
        <v>0.423512747875354</v>
      </c>
      <c r="I263" s="21" t="s">
        <v>122</v>
      </c>
      <c r="J263" s="53" t="n">
        <v>3.02363014511423</v>
      </c>
      <c r="K263" s="52" t="n">
        <f aca="false">IF(G263="","",MAX(0,G263-J263/100))</f>
        <v>0.546250950673504</v>
      </c>
      <c r="L263" s="52" t="n">
        <f aca="false">IF(G263="","",MIN(1,G263+J263/100))</f>
        <v>0.606723553575788</v>
      </c>
      <c r="M263" s="37" t="n">
        <f aca="false">IF(F263="","",ROUND(F263*J263/100,0))</f>
        <v>21</v>
      </c>
      <c r="P263" s="54" t="n">
        <v>8.25351308289757</v>
      </c>
      <c r="Q263" s="55" t="n">
        <f aca="false">T263*$H$5</f>
        <v>705.860894941634</v>
      </c>
      <c r="R263" s="56" t="n">
        <f aca="false">MAX(0,MIN(1,P263/100+$D$5))</f>
        <v>0.576038365717864</v>
      </c>
      <c r="S263" s="57" t="s">
        <v>123</v>
      </c>
      <c r="T263" s="55" t="n">
        <v>705.860894941634</v>
      </c>
    </row>
    <row r="264" customFormat="false" ht="15" hidden="false" customHeight="false" outlineLevel="0" collapsed="false">
      <c r="A264" s="21" t="s">
        <v>377</v>
      </c>
      <c r="B264" s="21" t="s">
        <v>410</v>
      </c>
      <c r="C264" s="21" t="s">
        <v>419</v>
      </c>
      <c r="D264" s="37" t="n">
        <f aca="false">ROUND(Q264*R264,0)</f>
        <v>255</v>
      </c>
      <c r="E264" s="37" t="n">
        <f aca="false">ROUND(Q264,0)-D264</f>
        <v>174</v>
      </c>
      <c r="F264" s="37" t="n">
        <f aca="false">IF(COUNTA(D264:E264)=0,"",SUM(D264:E264))</f>
        <v>429</v>
      </c>
      <c r="G264" s="52" t="n">
        <f aca="false">IF(OR(F264="",F264=0),"",D264/F264)</f>
        <v>0.594405594405594</v>
      </c>
      <c r="H264" s="52" t="n">
        <f aca="false">IF(OR(F264="",F264=0),"",E264/F264)</f>
        <v>0.405594405594406</v>
      </c>
      <c r="I264" s="21" t="s">
        <v>122</v>
      </c>
      <c r="J264" s="53" t="n">
        <v>3.02363014511423</v>
      </c>
      <c r="K264" s="52" t="n">
        <f aca="false">IF(G264="","",MAX(0,G264-J264/100))</f>
        <v>0.564169292954452</v>
      </c>
      <c r="L264" s="52" t="n">
        <f aca="false">IF(G264="","",MIN(1,G264+J264/100))</f>
        <v>0.624641895856737</v>
      </c>
      <c r="M264" s="37" t="n">
        <f aca="false">IF(F264="","",ROUND(F264*J264/100,0))</f>
        <v>13</v>
      </c>
      <c r="P264" s="54" t="n">
        <v>10.1549694742443</v>
      </c>
      <c r="Q264" s="55" t="n">
        <f aca="false">T264*$H$5</f>
        <v>429.344262295082</v>
      </c>
      <c r="R264" s="56" t="n">
        <f aca="false">MAX(0,MIN(1,P264/100+$D$5))</f>
        <v>0.595052929631331</v>
      </c>
      <c r="S264" s="57" t="s">
        <v>123</v>
      </c>
      <c r="T264" s="55" t="n">
        <v>429.344262295082</v>
      </c>
    </row>
    <row r="265" customFormat="false" ht="15" hidden="false" customHeight="false" outlineLevel="0" collapsed="false">
      <c r="A265" s="21" t="s">
        <v>377</v>
      </c>
      <c r="B265" s="21" t="s">
        <v>410</v>
      </c>
      <c r="C265" s="21" t="s">
        <v>420</v>
      </c>
      <c r="D265" s="37" t="n">
        <f aca="false">ROUND(Q265*R265,0)</f>
        <v>279</v>
      </c>
      <c r="E265" s="37" t="n">
        <f aca="false">ROUND(Q265,0)-D265</f>
        <v>265</v>
      </c>
      <c r="F265" s="37" t="n">
        <f aca="false">IF(COUNTA(D265:E265)=0,"",SUM(D265:E265))</f>
        <v>544</v>
      </c>
      <c r="G265" s="52" t="n">
        <f aca="false">IF(OR(F265="",F265=0),"",D265/F265)</f>
        <v>0.512867647058824</v>
      </c>
      <c r="H265" s="52" t="n">
        <f aca="false">IF(OR(F265="",F265=0),"",E265/F265)</f>
        <v>0.487132352941176</v>
      </c>
      <c r="I265" s="21" t="s">
        <v>122</v>
      </c>
      <c r="J265" s="53" t="n">
        <v>3.02363014511423</v>
      </c>
      <c r="K265" s="52" t="n">
        <f aca="false">IF(G265="","",MAX(0,G265-J265/100))</f>
        <v>0.482631345607681</v>
      </c>
      <c r="L265" s="52" t="n">
        <f aca="false">IF(G265="","",MIN(1,G265+J265/100))</f>
        <v>0.543103948509966</v>
      </c>
      <c r="M265" s="37" t="n">
        <f aca="false">IF(F265="","",ROUND(F265*J265/100,0))</f>
        <v>16</v>
      </c>
      <c r="P265" s="54" t="n">
        <v>1.97101264772608</v>
      </c>
      <c r="Q265" s="55" t="n">
        <f aca="false">T265*$H$5</f>
        <v>543.75093399751</v>
      </c>
      <c r="R265" s="56" t="n">
        <f aca="false">MAX(0,MIN(1,P265/100+$D$5))</f>
        <v>0.513213361366149</v>
      </c>
      <c r="S265" s="57" t="s">
        <v>123</v>
      </c>
      <c r="T265" s="55" t="n">
        <v>543.75093399751</v>
      </c>
    </row>
    <row r="266" customFormat="false" ht="15" hidden="false" customHeight="false" outlineLevel="0" collapsed="false">
      <c r="A266" s="21" t="s">
        <v>377</v>
      </c>
      <c r="B266" s="21" t="s">
        <v>410</v>
      </c>
      <c r="C266" s="21" t="s">
        <v>421</v>
      </c>
      <c r="D266" s="37" t="n">
        <f aca="false">ROUND(Q266*R266,0)</f>
        <v>349</v>
      </c>
      <c r="E266" s="37" t="n">
        <f aca="false">ROUND(Q266,0)-D266</f>
        <v>304</v>
      </c>
      <c r="F266" s="37" t="n">
        <f aca="false">IF(COUNTA(D266:E266)=0,"",SUM(D266:E266))</f>
        <v>653</v>
      </c>
      <c r="G266" s="52" t="n">
        <f aca="false">IF(OR(F266="",F266=0),"",D266/F266)</f>
        <v>0.534456355283308</v>
      </c>
      <c r="H266" s="52" t="n">
        <f aca="false">IF(OR(F266="",F266=0),"",E266/F266)</f>
        <v>0.465543644716692</v>
      </c>
      <c r="I266" s="21" t="s">
        <v>122</v>
      </c>
      <c r="J266" s="53" t="n">
        <v>3.02363014511423</v>
      </c>
      <c r="K266" s="52" t="n">
        <f aca="false">IF(G266="","",MAX(0,G266-J266/100))</f>
        <v>0.504220053832166</v>
      </c>
      <c r="L266" s="52" t="n">
        <f aca="false">IF(G266="","",MIN(1,G266+J266/100))</f>
        <v>0.56469265673445</v>
      </c>
      <c r="M266" s="37" t="n">
        <f aca="false">IF(F266="","",ROUND(F266*J266/100,0))</f>
        <v>20</v>
      </c>
      <c r="P266" s="54" t="n">
        <v>4.06161480412369</v>
      </c>
      <c r="Q266" s="55" t="n">
        <f aca="false">T266*$H$5</f>
        <v>652.778593913956</v>
      </c>
      <c r="R266" s="56" t="n">
        <f aca="false">MAX(0,MIN(1,P266/100+$D$5))</f>
        <v>0.534119382930125</v>
      </c>
      <c r="S266" s="57" t="s">
        <v>123</v>
      </c>
      <c r="T266" s="55" t="n">
        <v>652.778593913956</v>
      </c>
    </row>
    <row r="267" customFormat="false" ht="15" hidden="false" customHeight="false" outlineLevel="0" collapsed="false">
      <c r="A267" s="21" t="s">
        <v>377</v>
      </c>
      <c r="B267" s="21" t="s">
        <v>410</v>
      </c>
      <c r="C267" s="21" t="s">
        <v>422</v>
      </c>
      <c r="D267" s="37" t="n">
        <f aca="false">ROUND(Q267*R267,0)</f>
        <v>438</v>
      </c>
      <c r="E267" s="37" t="n">
        <f aca="false">ROUND(Q267,0)-D267</f>
        <v>332</v>
      </c>
      <c r="F267" s="37" t="n">
        <f aca="false">IF(COUNTA(D267:E267)=0,"",SUM(D267:E267))</f>
        <v>770</v>
      </c>
      <c r="G267" s="52" t="n">
        <f aca="false">IF(OR(F267="",F267=0),"",D267/F267)</f>
        <v>0.568831168831169</v>
      </c>
      <c r="H267" s="52" t="n">
        <f aca="false">IF(OR(F267="",F267=0),"",E267/F267)</f>
        <v>0.431168831168831</v>
      </c>
      <c r="I267" s="21" t="s">
        <v>122</v>
      </c>
      <c r="J267" s="53" t="n">
        <v>3.02363014511423</v>
      </c>
      <c r="K267" s="52" t="n">
        <f aca="false">IF(G267="","",MAX(0,G267-J267/100))</f>
        <v>0.538594867380027</v>
      </c>
      <c r="L267" s="52" t="n">
        <f aca="false">IF(G267="","",MIN(1,G267+J267/100))</f>
        <v>0.599067470282311</v>
      </c>
      <c r="M267" s="37" t="n">
        <f aca="false">IF(F267="","",ROUND(F267*J267/100,0))</f>
        <v>23</v>
      </c>
      <c r="P267" s="54" t="n">
        <v>7.5265823758892</v>
      </c>
      <c r="Q267" s="55" t="n">
        <f aca="false">T267*$H$5</f>
        <v>770.401725790987</v>
      </c>
      <c r="R267" s="56" t="n">
        <f aca="false">MAX(0,MIN(1,P267/100+$D$5))</f>
        <v>0.56876905864778</v>
      </c>
      <c r="S267" s="57" t="s">
        <v>123</v>
      </c>
      <c r="T267" s="55" t="n">
        <v>770.401725790987</v>
      </c>
    </row>
    <row r="268" customFormat="false" ht="15" hidden="false" customHeight="false" outlineLevel="0" collapsed="false">
      <c r="A268" s="21" t="s">
        <v>377</v>
      </c>
      <c r="B268" s="21" t="s">
        <v>410</v>
      </c>
      <c r="C268" s="21" t="s">
        <v>423</v>
      </c>
      <c r="D268" s="37" t="n">
        <f aca="false">ROUND(Q268*R268,0)</f>
        <v>341</v>
      </c>
      <c r="E268" s="37" t="n">
        <f aca="false">ROUND(Q268,0)-D268</f>
        <v>326</v>
      </c>
      <c r="F268" s="37" t="n">
        <f aca="false">IF(COUNTA(D268:E268)=0,"",SUM(D268:E268))</f>
        <v>667</v>
      </c>
      <c r="G268" s="52" t="n">
        <f aca="false">IF(OR(F268="",F268=0),"",D268/F268)</f>
        <v>0.511244377811094</v>
      </c>
      <c r="H268" s="52" t="n">
        <f aca="false">IF(OR(F268="",F268=0),"",E268/F268)</f>
        <v>0.488755622188906</v>
      </c>
      <c r="I268" s="21" t="s">
        <v>122</v>
      </c>
      <c r="J268" s="53" t="n">
        <v>3.02363014511423</v>
      </c>
      <c r="K268" s="52" t="n">
        <f aca="false">IF(G268="","",MAX(0,G268-J268/100))</f>
        <v>0.481008076359952</v>
      </c>
      <c r="L268" s="52" t="n">
        <f aca="false">IF(G268="","",MIN(1,G268+J268/100))</f>
        <v>0.541480679262237</v>
      </c>
      <c r="M268" s="37" t="n">
        <f aca="false">IF(F268="","",ROUND(F268*J268/100,0))</f>
        <v>20</v>
      </c>
      <c r="P268" s="54" t="n">
        <v>1.70974423900368</v>
      </c>
      <c r="Q268" s="55" t="n">
        <f aca="false">T268*$H$5</f>
        <v>666.944444444445</v>
      </c>
      <c r="R268" s="56" t="n">
        <f aca="false">MAX(0,MIN(1,P268/100+$D$5))</f>
        <v>0.510600677278925</v>
      </c>
      <c r="S268" s="57" t="s">
        <v>123</v>
      </c>
      <c r="T268" s="55" t="n">
        <v>666.944444444445</v>
      </c>
    </row>
    <row r="269" customFormat="false" ht="15" hidden="false" customHeight="false" outlineLevel="0" collapsed="false">
      <c r="A269" s="21" t="s">
        <v>377</v>
      </c>
      <c r="B269" s="21" t="s">
        <v>410</v>
      </c>
      <c r="C269" s="21" t="s">
        <v>424</v>
      </c>
      <c r="D269" s="37" t="n">
        <f aca="false">ROUND(Q269*R269,0)</f>
        <v>750</v>
      </c>
      <c r="E269" s="37" t="n">
        <f aca="false">ROUND(Q269,0)-D269</f>
        <v>576</v>
      </c>
      <c r="F269" s="37" t="n">
        <f aca="false">IF(COUNTA(D269:E269)=0,"",SUM(D269:E269))</f>
        <v>1326</v>
      </c>
      <c r="G269" s="52" t="n">
        <f aca="false">IF(OR(F269="",F269=0),"",D269/F269)</f>
        <v>0.565610859728507</v>
      </c>
      <c r="H269" s="52" t="n">
        <f aca="false">IF(OR(F269="",F269=0),"",E269/F269)</f>
        <v>0.434389140271493</v>
      </c>
      <c r="I269" s="21" t="s">
        <v>122</v>
      </c>
      <c r="J269" s="53" t="n">
        <v>1.24981746705324</v>
      </c>
      <c r="K269" s="52" t="n">
        <f aca="false">IF(G269="","",MAX(0,G269-J269/100))</f>
        <v>0.553112685057974</v>
      </c>
      <c r="L269" s="52" t="n">
        <f aca="false">IF(G269="","",MIN(1,G269+J269/100))</f>
        <v>0.578109034399039</v>
      </c>
      <c r="M269" s="37" t="n">
        <f aca="false">IF(F269="","",ROUND(F269*J269/100,0))</f>
        <v>17</v>
      </c>
      <c r="P269" s="54" t="n">
        <v>7.21178363098588</v>
      </c>
      <c r="Q269" s="55" t="n">
        <f aca="false">T269*$H$5</f>
        <v>1325.7421875</v>
      </c>
      <c r="R269" s="56" t="n">
        <f aca="false">MAX(0,MIN(1,P269/100+$D$5))</f>
        <v>0.565621071198747</v>
      </c>
      <c r="S269" s="57" t="s">
        <v>225</v>
      </c>
      <c r="T269" s="55" t="n">
        <v>1325.7421875</v>
      </c>
    </row>
    <row r="270" customFormat="false" ht="15" hidden="false" customHeight="false" outlineLevel="0" collapsed="false">
      <c r="A270" s="21" t="s">
        <v>377</v>
      </c>
      <c r="B270" s="21" t="s">
        <v>410</v>
      </c>
      <c r="C270" s="21" t="s">
        <v>425</v>
      </c>
      <c r="D270" s="37" t="n">
        <f aca="false">ROUND(Q270*R270,0)</f>
        <v>411</v>
      </c>
      <c r="E270" s="37" t="n">
        <f aca="false">ROUND(Q270,0)-D270</f>
        <v>391</v>
      </c>
      <c r="F270" s="37" t="n">
        <f aca="false">IF(COUNTA(D270:E270)=0,"",SUM(D270:E270))</f>
        <v>802</v>
      </c>
      <c r="G270" s="52" t="n">
        <f aca="false">IF(OR(F270="",F270=0),"",D270/F270)</f>
        <v>0.512468827930175</v>
      </c>
      <c r="H270" s="52" t="n">
        <f aca="false">IF(OR(F270="",F270=0),"",E270/F270)</f>
        <v>0.487531172069825</v>
      </c>
      <c r="I270" s="21" t="s">
        <v>122</v>
      </c>
      <c r="J270" s="53" t="n">
        <v>1.80877416096373</v>
      </c>
      <c r="K270" s="52" t="n">
        <f aca="false">IF(G270="","",MAX(0,G270-J270/100))</f>
        <v>0.494381086320537</v>
      </c>
      <c r="L270" s="52" t="n">
        <f aca="false">IF(G270="","",MIN(1,G270+J270/100))</f>
        <v>0.530556569539812</v>
      </c>
      <c r="M270" s="37" t="n">
        <f aca="false">IF(F270="","",ROUND(F270*J270/100,0))</f>
        <v>15</v>
      </c>
      <c r="P270" s="54" t="n">
        <v>1.81957892842875</v>
      </c>
      <c r="Q270" s="55" t="n">
        <f aca="false">T270*$H$5</f>
        <v>802.258193445243</v>
      </c>
      <c r="R270" s="56" t="n">
        <f aca="false">MAX(0,MIN(1,P270/100+$D$5))</f>
        <v>0.511699024173176</v>
      </c>
      <c r="S270" s="57" t="s">
        <v>132</v>
      </c>
      <c r="T270" s="55" t="n">
        <v>802.258193445243</v>
      </c>
    </row>
    <row r="271" customFormat="false" ht="15" hidden="false" customHeight="false" outlineLevel="0" collapsed="false">
      <c r="A271" s="21" t="s">
        <v>377</v>
      </c>
      <c r="B271" s="21" t="s">
        <v>410</v>
      </c>
      <c r="C271" s="21" t="s">
        <v>426</v>
      </c>
      <c r="D271" s="37" t="n">
        <f aca="false">ROUND(Q271*R271,0)</f>
        <v>409</v>
      </c>
      <c r="E271" s="37" t="n">
        <f aca="false">ROUND(Q271,0)-D271</f>
        <v>374</v>
      </c>
      <c r="F271" s="37" t="n">
        <f aca="false">IF(COUNTA(D271:E271)=0,"",SUM(D271:E271))</f>
        <v>783</v>
      </c>
      <c r="G271" s="52" t="n">
        <f aca="false">IF(OR(F271="",F271=0),"",D271/F271)</f>
        <v>0.52234993614304</v>
      </c>
      <c r="H271" s="52" t="n">
        <f aca="false">IF(OR(F271="",F271=0),"",E271/F271)</f>
        <v>0.47765006385696</v>
      </c>
      <c r="I271" s="21" t="s">
        <v>122</v>
      </c>
      <c r="J271" s="53" t="n">
        <v>1.80877416096373</v>
      </c>
      <c r="K271" s="52" t="n">
        <f aca="false">IF(G271="","",MAX(0,G271-J271/100))</f>
        <v>0.504262194533402</v>
      </c>
      <c r="L271" s="52" t="n">
        <f aca="false">IF(G271="","",MIN(1,G271+J271/100))</f>
        <v>0.540437677752677</v>
      </c>
      <c r="M271" s="37" t="n">
        <f aca="false">IF(F271="","",ROUND(F271*J271/100,0))</f>
        <v>14</v>
      </c>
      <c r="P271" s="54" t="n">
        <v>2.96016211770957</v>
      </c>
      <c r="Q271" s="55" t="n">
        <f aca="false">T271*$H$5</f>
        <v>782.654941373534</v>
      </c>
      <c r="R271" s="56" t="n">
        <f aca="false">MAX(0,MIN(1,P271/100+$D$5))</f>
        <v>0.523104856065984</v>
      </c>
      <c r="S271" s="57" t="s">
        <v>132</v>
      </c>
      <c r="T271" s="55" t="n">
        <v>782.654941373534</v>
      </c>
    </row>
    <row r="272" customFormat="false" ht="15" hidden="false" customHeight="false" outlineLevel="0" collapsed="false">
      <c r="A272" s="21" t="s">
        <v>377</v>
      </c>
      <c r="B272" s="21" t="s">
        <v>410</v>
      </c>
      <c r="C272" s="21" t="s">
        <v>427</v>
      </c>
      <c r="D272" s="37" t="n">
        <f aca="false">ROUND(Q272*R272,0)</f>
        <v>394</v>
      </c>
      <c r="E272" s="37" t="n">
        <f aca="false">ROUND(Q272,0)-D272</f>
        <v>363</v>
      </c>
      <c r="F272" s="37" t="n">
        <f aca="false">IF(COUNTA(D272:E272)=0,"",SUM(D272:E272))</f>
        <v>757</v>
      </c>
      <c r="G272" s="52" t="n">
        <f aca="false">IF(OR(F272="",F272=0),"",D272/F272)</f>
        <v>0.520475561426684</v>
      </c>
      <c r="H272" s="52" t="n">
        <f aca="false">IF(OR(F272="",F272=0),"",E272/F272)</f>
        <v>0.479524438573316</v>
      </c>
      <c r="I272" s="21" t="s">
        <v>122</v>
      </c>
      <c r="J272" s="53" t="n">
        <v>3.02363014511423</v>
      </c>
      <c r="K272" s="52" t="n">
        <f aca="false">IF(G272="","",MAX(0,G272-J272/100))</f>
        <v>0.490239259975542</v>
      </c>
      <c r="L272" s="52" t="n">
        <f aca="false">IF(G272="","",MIN(1,G272+J272/100))</f>
        <v>0.550711862877827</v>
      </c>
      <c r="M272" s="37" t="n">
        <f aca="false">IF(F272="","",ROUND(F272*J272/100,0))</f>
        <v>23</v>
      </c>
      <c r="P272" s="54" t="n">
        <v>2.68815162860823</v>
      </c>
      <c r="Q272" s="55" t="n">
        <f aca="false">T272*$H$5</f>
        <v>757.186813186813</v>
      </c>
      <c r="R272" s="56" t="n">
        <f aca="false">MAX(0,MIN(1,P272/100+$D$5))</f>
        <v>0.52038475117497</v>
      </c>
      <c r="S272" s="57" t="s">
        <v>123</v>
      </c>
      <c r="T272" s="55" t="n">
        <v>757.186813186813</v>
      </c>
    </row>
    <row r="273" customFormat="false" ht="15" hidden="false" customHeight="false" outlineLevel="0" collapsed="false">
      <c r="A273" s="21" t="s">
        <v>377</v>
      </c>
      <c r="B273" s="21" t="s">
        <v>428</v>
      </c>
      <c r="C273" s="21" t="s">
        <v>429</v>
      </c>
      <c r="D273" s="37" t="n">
        <f aca="false">ROUND(Q273*R273,0)</f>
        <v>728</v>
      </c>
      <c r="E273" s="37" t="n">
        <f aca="false">ROUND(Q273,0)-D273</f>
        <v>1130</v>
      </c>
      <c r="F273" s="37" t="n">
        <f aca="false">IF(COUNTA(D273:E273)=0,"",SUM(D273:E273))</f>
        <v>1858</v>
      </c>
      <c r="G273" s="52" t="n">
        <f aca="false">IF(OR(F273="",F273=0),"",D273/F273)</f>
        <v>0.391819160387513</v>
      </c>
      <c r="H273" s="52" t="n">
        <f aca="false">IF(OR(F273="",F273=0),"",E273/F273)</f>
        <v>0.608180839612487</v>
      </c>
      <c r="I273" s="21" t="s">
        <v>122</v>
      </c>
      <c r="J273" s="53" t="n">
        <v>1.24981746705324</v>
      </c>
      <c r="K273" s="52" t="n">
        <f aca="false">IF(G273="","",MAX(0,G273-J273/100))</f>
        <v>0.379320985716981</v>
      </c>
      <c r="L273" s="52" t="n">
        <f aca="false">IF(G273="","",MIN(1,G273+J273/100))</f>
        <v>0.404317335058046</v>
      </c>
      <c r="M273" s="37" t="n">
        <f aca="false">IF(F273="","",ROUND(F273*J273/100,0))</f>
        <v>23</v>
      </c>
      <c r="P273" s="54" t="n">
        <v>-10.1411080357169</v>
      </c>
      <c r="Q273" s="55" t="n">
        <f aca="false">T273*$H$5</f>
        <v>1857.89473684211</v>
      </c>
      <c r="R273" s="56" t="n">
        <f aca="false">MAX(0,MIN(1,P273/100+$D$5))</f>
        <v>0.39209215453172</v>
      </c>
      <c r="S273" s="57" t="s">
        <v>225</v>
      </c>
      <c r="T273" s="55" t="n">
        <v>1857.89473684211</v>
      </c>
    </row>
    <row r="274" customFormat="false" ht="15" hidden="false" customHeight="false" outlineLevel="0" collapsed="false">
      <c r="A274" s="21" t="s">
        <v>377</v>
      </c>
      <c r="B274" s="21" t="s">
        <v>428</v>
      </c>
      <c r="C274" s="21" t="s">
        <v>430</v>
      </c>
      <c r="D274" s="37" t="n">
        <f aca="false">ROUND(Q274*R274,0)</f>
        <v>664</v>
      </c>
      <c r="E274" s="37" t="n">
        <f aca="false">ROUND(Q274,0)-D274</f>
        <v>936</v>
      </c>
      <c r="F274" s="37" t="n">
        <f aca="false">IF(COUNTA(D274:E274)=0,"",SUM(D274:E274))</f>
        <v>1600</v>
      </c>
      <c r="G274" s="52" t="n">
        <f aca="false">IF(OR(F274="",F274=0),"",D274/F274)</f>
        <v>0.415</v>
      </c>
      <c r="H274" s="52" t="n">
        <f aca="false">IF(OR(F274="",F274=0),"",E274/F274)</f>
        <v>0.585</v>
      </c>
      <c r="I274" s="21" t="s">
        <v>122</v>
      </c>
      <c r="J274" s="53" t="n">
        <v>1.24981746705324</v>
      </c>
      <c r="K274" s="52" t="n">
        <f aca="false">IF(G274="","",MAX(0,G274-J274/100))</f>
        <v>0.402501825329468</v>
      </c>
      <c r="L274" s="52" t="n">
        <f aca="false">IF(G274="","",MIN(1,G274+J274/100))</f>
        <v>0.427498174670532</v>
      </c>
      <c r="M274" s="37" t="n">
        <f aca="false">IF(F274="","",ROUND(F274*J274/100,0))</f>
        <v>20</v>
      </c>
      <c r="P274" s="54" t="n">
        <v>-7.88377856588435</v>
      </c>
      <c r="Q274" s="55" t="n">
        <f aca="false">T274*$H$5</f>
        <v>1600.33208176888</v>
      </c>
      <c r="R274" s="56" t="n">
        <f aca="false">MAX(0,MIN(1,P274/100+$D$5))</f>
        <v>0.414665449230045</v>
      </c>
      <c r="S274" s="57" t="s">
        <v>225</v>
      </c>
      <c r="T274" s="55" t="n">
        <v>1600.33208176888</v>
      </c>
    </row>
    <row r="275" customFormat="false" ht="15" hidden="false" customHeight="false" outlineLevel="0" collapsed="false">
      <c r="A275" s="21" t="s">
        <v>377</v>
      </c>
      <c r="B275" s="21" t="s">
        <v>428</v>
      </c>
      <c r="C275" s="21" t="s">
        <v>431</v>
      </c>
      <c r="D275" s="37" t="n">
        <f aca="false">ROUND(Q275*R275,0)</f>
        <v>343</v>
      </c>
      <c r="E275" s="37" t="n">
        <f aca="false">ROUND(Q275,0)-D275</f>
        <v>620</v>
      </c>
      <c r="F275" s="37" t="n">
        <f aca="false">IF(COUNTA(D275:E275)=0,"",SUM(D275:E275))</f>
        <v>963</v>
      </c>
      <c r="G275" s="52" t="n">
        <f aca="false">IF(OR(F275="",F275=0),"",D275/F275)</f>
        <v>0.356178608515057</v>
      </c>
      <c r="H275" s="52" t="n">
        <f aca="false">IF(OR(F275="",F275=0),"",E275/F275)</f>
        <v>0.643821391484943</v>
      </c>
      <c r="I275" s="21" t="s">
        <v>122</v>
      </c>
      <c r="J275" s="53" t="n">
        <v>1.80877416096373</v>
      </c>
      <c r="K275" s="52" t="n">
        <f aca="false">IF(G275="","",MAX(0,G275-J275/100))</f>
        <v>0.33809086690542</v>
      </c>
      <c r="L275" s="52" t="n">
        <f aca="false">IF(G275="","",MIN(1,G275+J275/100))</f>
        <v>0.374266350124694</v>
      </c>
      <c r="M275" s="37" t="n">
        <f aca="false">IF(F275="","",ROUND(F275*J275/100,0))</f>
        <v>17</v>
      </c>
      <c r="P275" s="54" t="n">
        <v>-13.7337857415099</v>
      </c>
      <c r="Q275" s="55" t="n">
        <f aca="false">T275*$H$5</f>
        <v>963.38125</v>
      </c>
      <c r="R275" s="56" t="n">
        <f aca="false">MAX(0,MIN(1,P275/100+$D$5))</f>
        <v>0.35616537747379</v>
      </c>
      <c r="S275" s="57" t="s">
        <v>132</v>
      </c>
      <c r="T275" s="55" t="n">
        <v>963.38125</v>
      </c>
    </row>
    <row r="276" customFormat="false" ht="15" hidden="false" customHeight="false" outlineLevel="0" collapsed="false">
      <c r="A276" s="21" t="s">
        <v>377</v>
      </c>
      <c r="B276" s="21" t="s">
        <v>432</v>
      </c>
      <c r="C276" s="21" t="s">
        <v>432</v>
      </c>
      <c r="D276" s="37" t="n">
        <f aca="false">ROUND(Q276*R276,0)</f>
        <v>35</v>
      </c>
      <c r="E276" s="37" t="n">
        <f aca="false">ROUND(Q276,0)-D276</f>
        <v>62</v>
      </c>
      <c r="F276" s="37" t="n">
        <f aca="false">IF(COUNTA(D276:E276)=0,"",SUM(D276:E276))</f>
        <v>97</v>
      </c>
      <c r="G276" s="52" t="n">
        <f aca="false">IF(OR(F276="",F276=0),"",D276/F276)</f>
        <v>0.360824742268041</v>
      </c>
      <c r="H276" s="52" t="n">
        <f aca="false">IF(OR(F276="",F276=0),"",E276/F276)</f>
        <v>0.639175257731959</v>
      </c>
      <c r="I276" s="21" t="s">
        <v>122</v>
      </c>
      <c r="J276" s="53" t="n">
        <v>3.02363014511423</v>
      </c>
      <c r="K276" s="52" t="n">
        <f aca="false">IF(G276="","",MAX(0,G276-J276/100))</f>
        <v>0.330588440816899</v>
      </c>
      <c r="L276" s="52" t="n">
        <f aca="false">IF(G276="","",MIN(1,G276+J276/100))</f>
        <v>0.391061043719184</v>
      </c>
      <c r="M276" s="37" t="n">
        <f aca="false">IF(F276="","",ROUND(F276*J276/100,0))</f>
        <v>3</v>
      </c>
      <c r="P276" s="54" t="n">
        <v>-13.7974899306088</v>
      </c>
      <c r="Q276" s="55" t="n">
        <f aca="false">T276*$H$5</f>
        <v>97.2992700729927</v>
      </c>
      <c r="R276" s="56" t="n">
        <f aca="false">MAX(0,MIN(1,P276/100+$D$5))</f>
        <v>0.355528335582801</v>
      </c>
      <c r="S276" s="57" t="s">
        <v>123</v>
      </c>
      <c r="T276" s="55" t="n">
        <v>97.2992700729927</v>
      </c>
    </row>
    <row r="277" customFormat="false" ht="15" hidden="false" customHeight="false" outlineLevel="0" collapsed="false">
      <c r="A277" s="21" t="s">
        <v>377</v>
      </c>
      <c r="B277" s="21" t="s">
        <v>433</v>
      </c>
      <c r="C277" s="21" t="s">
        <v>434</v>
      </c>
      <c r="D277" s="37" t="n">
        <f aca="false">ROUND(Q277*R277,0)</f>
        <v>614</v>
      </c>
      <c r="E277" s="37" t="n">
        <f aca="false">ROUND(Q277,0)-D277</f>
        <v>803</v>
      </c>
      <c r="F277" s="37" t="n">
        <f aca="false">IF(COUNTA(D277:E277)=0,"",SUM(D277:E277))</f>
        <v>1417</v>
      </c>
      <c r="G277" s="52" t="n">
        <f aca="false">IF(OR(F277="",F277=0),"",D277/F277)</f>
        <v>0.433309809456598</v>
      </c>
      <c r="H277" s="52" t="n">
        <f aca="false">IF(OR(F277="",F277=0),"",E277/F277)</f>
        <v>0.566690190543402</v>
      </c>
      <c r="I277" s="21" t="s">
        <v>122</v>
      </c>
      <c r="J277" s="53" t="n">
        <v>1.24981746705324</v>
      </c>
      <c r="K277" s="52" t="n">
        <f aca="false">IF(G277="","",MAX(0,G277-J277/100))</f>
        <v>0.420811634786066</v>
      </c>
      <c r="L277" s="52" t="n">
        <f aca="false">IF(G277="","",MIN(1,G277+J277/100))</f>
        <v>0.445807984127131</v>
      </c>
      <c r="M277" s="37" t="n">
        <f aca="false">IF(F277="","",ROUND(F277*J277/100,0))</f>
        <v>18</v>
      </c>
      <c r="P277" s="54" t="n">
        <v>-6.05118397269875</v>
      </c>
      <c r="Q277" s="55" t="n">
        <f aca="false">T277*$H$5</f>
        <v>1417.27954319762</v>
      </c>
      <c r="R277" s="56" t="n">
        <f aca="false">MAX(0,MIN(1,P277/100+$D$5))</f>
        <v>0.432991395161901</v>
      </c>
      <c r="S277" s="57" t="s">
        <v>225</v>
      </c>
      <c r="T277" s="55" t="n">
        <v>1417.27954319762</v>
      </c>
    </row>
    <row r="278" customFormat="false" ht="15" hidden="false" customHeight="false" outlineLevel="0" collapsed="false">
      <c r="A278" s="21" t="s">
        <v>377</v>
      </c>
      <c r="B278" s="21" t="s">
        <v>433</v>
      </c>
      <c r="C278" s="21" t="s">
        <v>435</v>
      </c>
      <c r="D278" s="37" t="n">
        <f aca="false">ROUND(Q278*R278,0)</f>
        <v>561</v>
      </c>
      <c r="E278" s="37" t="n">
        <f aca="false">ROUND(Q278,0)-D278</f>
        <v>664</v>
      </c>
      <c r="F278" s="37" t="n">
        <f aca="false">IF(COUNTA(D278:E278)=0,"",SUM(D278:E278))</f>
        <v>1225</v>
      </c>
      <c r="G278" s="52" t="n">
        <f aca="false">IF(OR(F278="",F278=0),"",D278/F278)</f>
        <v>0.457959183673469</v>
      </c>
      <c r="H278" s="52" t="n">
        <f aca="false">IF(OR(F278="",F278=0),"",E278/F278)</f>
        <v>0.542040816326531</v>
      </c>
      <c r="I278" s="21" t="s">
        <v>122</v>
      </c>
      <c r="J278" s="53" t="n">
        <v>1.24981746705324</v>
      </c>
      <c r="K278" s="52" t="n">
        <f aca="false">IF(G278="","",MAX(0,G278-J278/100))</f>
        <v>0.445461009002937</v>
      </c>
      <c r="L278" s="52" t="n">
        <f aca="false">IF(G278="","",MIN(1,G278+J278/100))</f>
        <v>0.470457358344002</v>
      </c>
      <c r="M278" s="37" t="n">
        <f aca="false">IF(F278="","",ROUND(F278*J278/100,0))</f>
        <v>15</v>
      </c>
      <c r="P278" s="54" t="n">
        <v>-3.56080336949576</v>
      </c>
      <c r="Q278" s="55" t="n">
        <f aca="false">T278*$H$5</f>
        <v>1224.74062660503</v>
      </c>
      <c r="R278" s="56" t="n">
        <f aca="false">MAX(0,MIN(1,P278/100+$D$5))</f>
        <v>0.457895201193931</v>
      </c>
      <c r="S278" s="57" t="s">
        <v>225</v>
      </c>
      <c r="T278" s="55" t="n">
        <v>1224.74062660503</v>
      </c>
    </row>
    <row r="279" customFormat="false" ht="15" hidden="false" customHeight="false" outlineLevel="0" collapsed="false">
      <c r="A279" s="21" t="s">
        <v>377</v>
      </c>
      <c r="B279" s="21" t="s">
        <v>436</v>
      </c>
      <c r="C279" s="21" t="s">
        <v>436</v>
      </c>
      <c r="D279" s="37" t="n">
        <f aca="false">ROUND(Q279*R279,0)</f>
        <v>146</v>
      </c>
      <c r="E279" s="37" t="n">
        <f aca="false">ROUND(Q279,0)-D279</f>
        <v>214</v>
      </c>
      <c r="F279" s="37" t="n">
        <f aca="false">IF(COUNTA(D279:E279)=0,"",SUM(D279:E279))</f>
        <v>360</v>
      </c>
      <c r="G279" s="52" t="n">
        <f aca="false">IF(OR(F279="",F279=0),"",D279/F279)</f>
        <v>0.405555555555556</v>
      </c>
      <c r="H279" s="52" t="n">
        <f aca="false">IF(OR(F279="",F279=0),"",E279/F279)</f>
        <v>0.594444444444444</v>
      </c>
      <c r="I279" s="21" t="s">
        <v>122</v>
      </c>
      <c r="J279" s="53" t="n">
        <v>3.02363014511423</v>
      </c>
      <c r="K279" s="52" t="n">
        <f aca="false">IF(G279="","",MAX(0,G279-J279/100))</f>
        <v>0.375319254104413</v>
      </c>
      <c r="L279" s="52" t="n">
        <f aca="false">IF(G279="","",MIN(1,G279+J279/100))</f>
        <v>0.435791857006698</v>
      </c>
      <c r="M279" s="37" t="n">
        <f aca="false">IF(F279="","",ROUND(F279*J279/100,0))</f>
        <v>11</v>
      </c>
      <c r="P279" s="54" t="n">
        <v>-8.86866285482925</v>
      </c>
      <c r="Q279" s="55" t="n">
        <f aca="false">T279*$H$5</f>
        <v>360.236842105263</v>
      </c>
      <c r="R279" s="56" t="n">
        <f aca="false">MAX(0,MIN(1,P279/100+$D$5))</f>
        <v>0.404816606340596</v>
      </c>
      <c r="S279" s="57" t="s">
        <v>123</v>
      </c>
      <c r="T279" s="55" t="n">
        <v>360.236842105263</v>
      </c>
    </row>
    <row r="280" customFormat="false" ht="15" hidden="false" customHeight="false" outlineLevel="0" collapsed="false">
      <c r="A280" s="21" t="s">
        <v>377</v>
      </c>
      <c r="B280" s="21" t="s">
        <v>437</v>
      </c>
      <c r="C280" s="21" t="s">
        <v>438</v>
      </c>
      <c r="D280" s="37" t="n">
        <f aca="false">ROUND(Q280*R280,0)</f>
        <v>1129</v>
      </c>
      <c r="E280" s="37" t="n">
        <f aca="false">ROUND(Q280,0)-D280</f>
        <v>736</v>
      </c>
      <c r="F280" s="37" t="n">
        <f aca="false">IF(COUNTA(D280:E280)=0,"",SUM(D280:E280))</f>
        <v>1865</v>
      </c>
      <c r="G280" s="52" t="n">
        <f aca="false">IF(OR(F280="",F280=0),"",D280/F280)</f>
        <v>0.605361930294906</v>
      </c>
      <c r="H280" s="52" t="n">
        <f aca="false">IF(OR(F280="",F280=0),"",E280/F280)</f>
        <v>0.394638069705094</v>
      </c>
      <c r="I280" s="21" t="s">
        <v>223</v>
      </c>
      <c r="J280" s="53" t="n">
        <v>1.24981746705324</v>
      </c>
      <c r="K280" s="52" t="n">
        <f aca="false">IF(G280="","",MAX(0,G280-J280/100))</f>
        <v>0.592863755624374</v>
      </c>
      <c r="L280" s="52" t="n">
        <f aca="false">IF(G280="","",MIN(1,G280+J280/100))</f>
        <v>0.617860104965439</v>
      </c>
      <c r="M280" s="37" t="n">
        <f aca="false">IF(F280="","",ROUND(F280*J280/100,0))</f>
        <v>23</v>
      </c>
      <c r="P280" s="54" t="n">
        <v>11.1807139150851</v>
      </c>
      <c r="Q280" s="55" t="n">
        <f aca="false">T280*$H$5</f>
        <v>1864.58361114764</v>
      </c>
      <c r="R280" s="56" t="n">
        <f aca="false">MAX(0,MIN(1,P280/100+$D$5))</f>
        <v>0.605310374039739</v>
      </c>
      <c r="S280" s="57" t="s">
        <v>225</v>
      </c>
      <c r="T280" s="55" t="n">
        <v>1864.58361114764</v>
      </c>
    </row>
    <row r="281" customFormat="false" ht="15" hidden="false" customHeight="false" outlineLevel="0" collapsed="false">
      <c r="A281" s="21" t="s">
        <v>377</v>
      </c>
      <c r="B281" s="21" t="s">
        <v>437</v>
      </c>
      <c r="C281" s="21" t="s">
        <v>439</v>
      </c>
      <c r="D281" s="37" t="n">
        <f aca="false">ROUND(Q281*R281,0)</f>
        <v>492</v>
      </c>
      <c r="E281" s="37" t="n">
        <f aca="false">ROUND(Q281,0)-D281</f>
        <v>288</v>
      </c>
      <c r="F281" s="37" t="n">
        <f aca="false">IF(COUNTA(D281:E281)=0,"",SUM(D281:E281))</f>
        <v>780</v>
      </c>
      <c r="G281" s="52" t="n">
        <f aca="false">IF(OR(F281="",F281=0),"",D281/F281)</f>
        <v>0.630769230769231</v>
      </c>
      <c r="H281" s="52" t="n">
        <f aca="false">IF(OR(F281="",F281=0),"",E281/F281)</f>
        <v>0.369230769230769</v>
      </c>
      <c r="I281" s="21" t="s">
        <v>122</v>
      </c>
      <c r="J281" s="53" t="n">
        <v>1.80877416096373</v>
      </c>
      <c r="K281" s="52" t="n">
        <f aca="false">IF(G281="","",MAX(0,G281-J281/100))</f>
        <v>0.612681489159593</v>
      </c>
      <c r="L281" s="52" t="n">
        <f aca="false">IF(G281="","",MIN(1,G281+J281/100))</f>
        <v>0.648856972378868</v>
      </c>
      <c r="M281" s="37" t="n">
        <f aca="false">IF(F281="","",ROUND(F281*J281/100,0))</f>
        <v>14</v>
      </c>
      <c r="P281" s="54" t="n">
        <v>13.6710613313982</v>
      </c>
      <c r="Q281" s="55" t="n">
        <f aca="false">T281*$H$5</f>
        <v>779.911439114391</v>
      </c>
      <c r="R281" s="56" t="n">
        <f aca="false">MAX(0,MIN(1,P281/100+$D$5))</f>
        <v>0.63021384820287</v>
      </c>
      <c r="S281" s="57" t="s">
        <v>132</v>
      </c>
      <c r="T281" s="55" t="n">
        <v>779.911439114391</v>
      </c>
    </row>
    <row r="282" customFormat="false" ht="15" hidden="false" customHeight="false" outlineLevel="0" collapsed="false">
      <c r="A282" s="21" t="s">
        <v>377</v>
      </c>
      <c r="B282" s="21" t="s">
        <v>437</v>
      </c>
      <c r="C282" s="21" t="s">
        <v>440</v>
      </c>
      <c r="D282" s="37" t="n">
        <f aca="false">ROUND(Q282*R282,0)</f>
        <v>423</v>
      </c>
      <c r="E282" s="37" t="n">
        <f aca="false">ROUND(Q282,0)-D282</f>
        <v>180</v>
      </c>
      <c r="F282" s="37" t="n">
        <f aca="false">IF(COUNTA(D282:E282)=0,"",SUM(D282:E282))</f>
        <v>603</v>
      </c>
      <c r="G282" s="52" t="n">
        <f aca="false">IF(OR(F282="",F282=0),"",D282/F282)</f>
        <v>0.701492537313433</v>
      </c>
      <c r="H282" s="52" t="n">
        <f aca="false">IF(OR(F282="",F282=0),"",E282/F282)</f>
        <v>0.298507462686567</v>
      </c>
      <c r="I282" s="21" t="s">
        <v>122</v>
      </c>
      <c r="J282" s="53" t="n">
        <v>3.02363014511423</v>
      </c>
      <c r="K282" s="52" t="n">
        <f aca="false">IF(G282="","",MAX(0,G282-J282/100))</f>
        <v>0.671256235862291</v>
      </c>
      <c r="L282" s="52" t="n">
        <f aca="false">IF(G282="","",MIN(1,G282+J282/100))</f>
        <v>0.731728838764575</v>
      </c>
      <c r="M282" s="37" t="n">
        <f aca="false">IF(F282="","",ROUND(F282*J282/100,0))</f>
        <v>18</v>
      </c>
      <c r="P282" s="54" t="n">
        <v>20.8372313944925</v>
      </c>
      <c r="Q282" s="55" t="n">
        <f aca="false">T282*$H$5</f>
        <v>602.870201096892</v>
      </c>
      <c r="R282" s="56" t="n">
        <f aca="false">MAX(0,MIN(1,P282/100+$D$5))</f>
        <v>0.701875548833813</v>
      </c>
      <c r="S282" s="57" t="s">
        <v>123</v>
      </c>
      <c r="T282" s="55" t="n">
        <v>602.870201096892</v>
      </c>
    </row>
    <row r="283" customFormat="false" ht="15" hidden="false" customHeight="false" outlineLevel="0" collapsed="false">
      <c r="A283" s="21" t="s">
        <v>377</v>
      </c>
      <c r="B283" s="21" t="s">
        <v>437</v>
      </c>
      <c r="C283" s="21" t="s">
        <v>441</v>
      </c>
      <c r="D283" s="37" t="n">
        <f aca="false">ROUND(Q283*R283,0)</f>
        <v>593</v>
      </c>
      <c r="E283" s="37" t="n">
        <f aca="false">ROUND(Q283,0)-D283</f>
        <v>228</v>
      </c>
      <c r="F283" s="37" t="n">
        <f aca="false">IF(COUNTA(D283:E283)=0,"",SUM(D283:E283))</f>
        <v>821</v>
      </c>
      <c r="G283" s="52" t="n">
        <f aca="false">IF(OR(F283="",F283=0),"",D283/F283)</f>
        <v>0.722289890377588</v>
      </c>
      <c r="H283" s="52" t="n">
        <f aca="false">IF(OR(F283="",F283=0),"",E283/F283)</f>
        <v>0.277710109622412</v>
      </c>
      <c r="I283" s="21" t="s">
        <v>122</v>
      </c>
      <c r="J283" s="53" t="n">
        <v>1.80877416096373</v>
      </c>
      <c r="K283" s="52" t="n">
        <f aca="false">IF(G283="","",MAX(0,G283-J283/100))</f>
        <v>0.704202148767951</v>
      </c>
      <c r="L283" s="52" t="n">
        <f aca="false">IF(G283="","",MIN(1,G283+J283/100))</f>
        <v>0.740377631987226</v>
      </c>
      <c r="M283" s="37" t="n">
        <f aca="false">IF(F283="","",ROUND(F283*J283/100,0))</f>
        <v>15</v>
      </c>
      <c r="P283" s="54" t="n">
        <v>22.9215739993858</v>
      </c>
      <c r="Q283" s="55" t="n">
        <f aca="false">T283*$H$5</f>
        <v>820.6703125</v>
      </c>
      <c r="R283" s="56" t="n">
        <f aca="false">MAX(0,MIN(1,P283/100+$D$5))</f>
        <v>0.722718974882746</v>
      </c>
      <c r="S283" s="57" t="s">
        <v>132</v>
      </c>
      <c r="T283" s="55" t="n">
        <v>820.6703125</v>
      </c>
    </row>
    <row r="284" customFormat="false" ht="15" hidden="false" customHeight="false" outlineLevel="0" collapsed="false">
      <c r="A284" s="21" t="s">
        <v>377</v>
      </c>
      <c r="B284" s="21" t="s">
        <v>437</v>
      </c>
      <c r="C284" s="21" t="s">
        <v>442</v>
      </c>
      <c r="D284" s="37" t="n">
        <f aca="false">ROUND(Q284*R284,0)</f>
        <v>455</v>
      </c>
      <c r="E284" s="37" t="n">
        <f aca="false">ROUND(Q284,0)-D284</f>
        <v>136</v>
      </c>
      <c r="F284" s="37" t="n">
        <f aca="false">IF(COUNTA(D284:E284)=0,"",SUM(D284:E284))</f>
        <v>591</v>
      </c>
      <c r="G284" s="52" t="n">
        <f aca="false">IF(OR(F284="",F284=0),"",D284/F284)</f>
        <v>0.769881556683587</v>
      </c>
      <c r="H284" s="52" t="n">
        <f aca="false">IF(OR(F284="",F284=0),"",E284/F284)</f>
        <v>0.230118443316413</v>
      </c>
      <c r="I284" s="21" t="s">
        <v>122</v>
      </c>
      <c r="J284" s="53" t="n">
        <v>3.02363014511423</v>
      </c>
      <c r="K284" s="52" t="n">
        <f aca="false">IF(G284="","",MAX(0,G284-J284/100))</f>
        <v>0.739645255232445</v>
      </c>
      <c r="L284" s="52" t="n">
        <f aca="false">IF(G284="","",MIN(1,G284+J284/100))</f>
        <v>0.80011785813473</v>
      </c>
      <c r="M284" s="37" t="n">
        <f aca="false">IF(F284="","",ROUND(F284*J284/100,0))</f>
        <v>18</v>
      </c>
      <c r="P284" s="54" t="n">
        <v>27.6524117226454</v>
      </c>
      <c r="Q284" s="55" t="n">
        <f aca="false">T284*$H$5</f>
        <v>590.669623059868</v>
      </c>
      <c r="R284" s="56" t="n">
        <f aca="false">MAX(0,MIN(1,P284/100+$D$5))</f>
        <v>0.770027352115343</v>
      </c>
      <c r="S284" s="57" t="s">
        <v>123</v>
      </c>
      <c r="T284" s="55" t="n">
        <v>590.669623059868</v>
      </c>
    </row>
    <row r="285" customFormat="false" ht="15" hidden="false" customHeight="false" outlineLevel="0" collapsed="false">
      <c r="A285" s="21" t="s">
        <v>377</v>
      </c>
      <c r="B285" s="21" t="s">
        <v>437</v>
      </c>
      <c r="C285" s="21" t="s">
        <v>443</v>
      </c>
      <c r="D285" s="37" t="n">
        <f aca="false">ROUND(Q285*R285,0)</f>
        <v>472</v>
      </c>
      <c r="E285" s="37" t="n">
        <f aca="false">ROUND(Q285,0)-D285</f>
        <v>219</v>
      </c>
      <c r="F285" s="37" t="n">
        <f aca="false">IF(COUNTA(D285:E285)=0,"",SUM(D285:E285))</f>
        <v>691</v>
      </c>
      <c r="G285" s="52" t="n">
        <f aca="false">IF(OR(F285="",F285=0),"",D285/F285)</f>
        <v>0.683068017366136</v>
      </c>
      <c r="H285" s="52" t="n">
        <f aca="false">IF(OR(F285="",F285=0),"",E285/F285)</f>
        <v>0.316931982633864</v>
      </c>
      <c r="I285" s="21" t="s">
        <v>122</v>
      </c>
      <c r="J285" s="53" t="n">
        <v>3.02363014511423</v>
      </c>
      <c r="K285" s="52" t="n">
        <f aca="false">IF(G285="","",MAX(0,G285-J285/100))</f>
        <v>0.652831715914994</v>
      </c>
      <c r="L285" s="52" t="n">
        <f aca="false">IF(G285="","",MIN(1,G285+J285/100))</f>
        <v>0.713304318817278</v>
      </c>
      <c r="M285" s="37" t="n">
        <f aca="false">IF(F285="","",ROUND(F285*J285/100,0))</f>
        <v>21</v>
      </c>
      <c r="P285" s="54" t="n">
        <v>18.8860372325862</v>
      </c>
      <c r="Q285" s="55" t="n">
        <f aca="false">T285*$H$5</f>
        <v>691.24526600541</v>
      </c>
      <c r="R285" s="56" t="n">
        <f aca="false">MAX(0,MIN(1,P285/100+$D$5))</f>
        <v>0.68236360721475</v>
      </c>
      <c r="S285" s="57" t="s">
        <v>123</v>
      </c>
      <c r="T285" s="55" t="n">
        <v>691.24526600541</v>
      </c>
    </row>
    <row r="286" customFormat="false" ht="15" hidden="false" customHeight="false" outlineLevel="0" collapsed="false">
      <c r="A286" s="21" t="s">
        <v>377</v>
      </c>
      <c r="B286" s="21" t="s">
        <v>437</v>
      </c>
      <c r="C286" s="21" t="s">
        <v>444</v>
      </c>
      <c r="D286" s="37" t="n">
        <f aca="false">ROUND(Q286*R286,0)</f>
        <v>338</v>
      </c>
      <c r="E286" s="37" t="n">
        <f aca="false">ROUND(Q286,0)-D286</f>
        <v>172</v>
      </c>
      <c r="F286" s="37" t="n">
        <f aca="false">IF(COUNTA(D286:E286)=0,"",SUM(D286:E286))</f>
        <v>510</v>
      </c>
      <c r="G286" s="52" t="n">
        <f aca="false">IF(OR(F286="",F286=0),"",D286/F286)</f>
        <v>0.662745098039216</v>
      </c>
      <c r="H286" s="52" t="n">
        <f aca="false">IF(OR(F286="",F286=0),"",E286/F286)</f>
        <v>0.337254901960784</v>
      </c>
      <c r="I286" s="21" t="s">
        <v>122</v>
      </c>
      <c r="J286" s="53" t="n">
        <v>3.02363014511423</v>
      </c>
      <c r="K286" s="52" t="n">
        <f aca="false">IF(G286="","",MAX(0,G286-J286/100))</f>
        <v>0.632508796588073</v>
      </c>
      <c r="L286" s="52" t="n">
        <f aca="false">IF(G286="","",MIN(1,G286+J286/100))</f>
        <v>0.692981399490358</v>
      </c>
      <c r="M286" s="37" t="n">
        <f aca="false">IF(F286="","",ROUND(F286*J286/100,0))</f>
        <v>15</v>
      </c>
      <c r="P286" s="54" t="n">
        <v>16.9924650852719</v>
      </c>
      <c r="Q286" s="55" t="n">
        <f aca="false">T286*$H$5</f>
        <v>510.153409090909</v>
      </c>
      <c r="R286" s="56" t="n">
        <f aca="false">MAX(0,MIN(1,P286/100+$D$5))</f>
        <v>0.663427885741607</v>
      </c>
      <c r="S286" s="57" t="s">
        <v>123</v>
      </c>
      <c r="T286" s="55" t="n">
        <v>510.153409090909</v>
      </c>
    </row>
    <row r="287" customFormat="false" ht="15" hidden="false" customHeight="false" outlineLevel="0" collapsed="false">
      <c r="A287" s="21" t="s">
        <v>377</v>
      </c>
      <c r="B287" s="21" t="s">
        <v>437</v>
      </c>
      <c r="C287" s="21" t="s">
        <v>445</v>
      </c>
      <c r="D287" s="37" t="n">
        <f aca="false">ROUND(Q287*R287,0)</f>
        <v>144</v>
      </c>
      <c r="E287" s="37" t="n">
        <f aca="false">ROUND(Q287,0)-D287</f>
        <v>59</v>
      </c>
      <c r="F287" s="37" t="n">
        <f aca="false">IF(COUNTA(D287:E287)=0,"",SUM(D287:E287))</f>
        <v>203</v>
      </c>
      <c r="G287" s="52" t="n">
        <f aca="false">IF(OR(F287="",F287=0),"",D287/F287)</f>
        <v>0.70935960591133</v>
      </c>
      <c r="H287" s="52" t="n">
        <f aca="false">IF(OR(F287="",F287=0),"",E287/F287)</f>
        <v>0.29064039408867</v>
      </c>
      <c r="I287" s="21" t="s">
        <v>122</v>
      </c>
      <c r="J287" s="53" t="n">
        <v>3.02363014511423</v>
      </c>
      <c r="K287" s="52" t="n">
        <f aca="false">IF(G287="","",MAX(0,G287-J287/100))</f>
        <v>0.679123304460188</v>
      </c>
      <c r="L287" s="52" t="n">
        <f aca="false">IF(G287="","",MIN(1,G287+J287/100))</f>
        <v>0.739595907362472</v>
      </c>
      <c r="M287" s="37" t="n">
        <f aca="false">IF(F287="","",ROUND(F287*J287/100,0))</f>
        <v>6</v>
      </c>
      <c r="P287" s="54" t="n">
        <v>21.5818822986461</v>
      </c>
      <c r="Q287" s="55" t="n">
        <f aca="false">T287*$H$5</f>
        <v>202.766550522648</v>
      </c>
      <c r="R287" s="56" t="n">
        <f aca="false">MAX(0,MIN(1,P287/100+$D$5))</f>
        <v>0.709322057875349</v>
      </c>
      <c r="S287" s="57" t="s">
        <v>123</v>
      </c>
      <c r="T287" s="55" t="n">
        <v>202.766550522648</v>
      </c>
    </row>
    <row r="288" customFormat="false" ht="15" hidden="false" customHeight="false" outlineLevel="0" collapsed="false">
      <c r="A288" s="21" t="s">
        <v>377</v>
      </c>
      <c r="B288" s="21" t="s">
        <v>437</v>
      </c>
      <c r="C288" s="21" t="s">
        <v>446</v>
      </c>
      <c r="D288" s="37" t="n">
        <f aca="false">ROUND(Q288*R288,0)</f>
        <v>225</v>
      </c>
      <c r="E288" s="37" t="n">
        <f aca="false">ROUND(Q288,0)-D288</f>
        <v>93</v>
      </c>
      <c r="F288" s="37" t="n">
        <f aca="false">IF(COUNTA(D288:E288)=0,"",SUM(D288:E288))</f>
        <v>318</v>
      </c>
      <c r="G288" s="52" t="n">
        <f aca="false">IF(OR(F288="",F288=0),"",D288/F288)</f>
        <v>0.707547169811321</v>
      </c>
      <c r="H288" s="52" t="n">
        <f aca="false">IF(OR(F288="",F288=0),"",E288/F288)</f>
        <v>0.292452830188679</v>
      </c>
      <c r="I288" s="21" t="s">
        <v>122</v>
      </c>
      <c r="J288" s="53" t="n">
        <v>3.02363014511423</v>
      </c>
      <c r="K288" s="52" t="n">
        <f aca="false">IF(G288="","",MAX(0,G288-J288/100))</f>
        <v>0.677310868360178</v>
      </c>
      <c r="L288" s="52" t="n">
        <f aca="false">IF(G288="","",MIN(1,G288+J288/100))</f>
        <v>0.737783471262463</v>
      </c>
      <c r="M288" s="37" t="n">
        <f aca="false">IF(F288="","",ROUND(F288*J288/100,0))</f>
        <v>10</v>
      </c>
      <c r="P288" s="54" t="n">
        <v>21.2525477273179</v>
      </c>
      <c r="Q288" s="55" t="n">
        <f aca="false">T288*$H$5</f>
        <v>318.271119842829</v>
      </c>
      <c r="R288" s="56" t="n">
        <f aca="false">MAX(0,MIN(1,P288/100+$D$5))</f>
        <v>0.706028712162067</v>
      </c>
      <c r="S288" s="57" t="s">
        <v>123</v>
      </c>
      <c r="T288" s="55" t="n">
        <v>318.271119842829</v>
      </c>
    </row>
    <row r="289" customFormat="false" ht="15" hidden="false" customHeight="false" outlineLevel="0" collapsed="false">
      <c r="A289" s="21" t="s">
        <v>377</v>
      </c>
      <c r="B289" s="21" t="s">
        <v>437</v>
      </c>
      <c r="C289" s="21" t="s">
        <v>447</v>
      </c>
      <c r="D289" s="37" t="n">
        <f aca="false">ROUND(Q289*R289,0)</f>
        <v>237</v>
      </c>
      <c r="E289" s="37" t="n">
        <f aca="false">ROUND(Q289,0)-D289</f>
        <v>114</v>
      </c>
      <c r="F289" s="37" t="n">
        <f aca="false">IF(COUNTA(D289:E289)=0,"",SUM(D289:E289))</f>
        <v>351</v>
      </c>
      <c r="G289" s="52" t="n">
        <f aca="false">IF(OR(F289="",F289=0),"",D289/F289)</f>
        <v>0.675213675213675</v>
      </c>
      <c r="H289" s="52" t="n">
        <f aca="false">IF(OR(F289="",F289=0),"",E289/F289)</f>
        <v>0.324786324786325</v>
      </c>
      <c r="I289" s="21" t="s">
        <v>122</v>
      </c>
      <c r="J289" s="53" t="n">
        <v>3.02363014511423</v>
      </c>
      <c r="K289" s="52" t="n">
        <f aca="false">IF(G289="","",MAX(0,G289-J289/100))</f>
        <v>0.644977373762533</v>
      </c>
      <c r="L289" s="52" t="n">
        <f aca="false">IF(G289="","",MIN(1,G289+J289/100))</f>
        <v>0.705449976664818</v>
      </c>
      <c r="M289" s="37" t="n">
        <f aca="false">IF(F289="","",ROUND(F289*J289/100,0))</f>
        <v>11</v>
      </c>
      <c r="P289" s="54" t="n">
        <v>18.323419555419</v>
      </c>
      <c r="Q289" s="55" t="n">
        <f aca="false">T289*$H$5</f>
        <v>350.591240875912</v>
      </c>
      <c r="R289" s="56" t="n">
        <f aca="false">MAX(0,MIN(1,P289/100+$D$5))</f>
        <v>0.676737430443078</v>
      </c>
      <c r="S289" s="57" t="s">
        <v>123</v>
      </c>
      <c r="T289" s="55" t="n">
        <v>350.591240875912</v>
      </c>
    </row>
    <row r="290" customFormat="false" ht="15" hidden="false" customHeight="false" outlineLevel="0" collapsed="false">
      <c r="A290" s="21" t="s">
        <v>377</v>
      </c>
      <c r="B290" s="21" t="s">
        <v>437</v>
      </c>
      <c r="C290" s="21" t="s">
        <v>448</v>
      </c>
      <c r="D290" s="37" t="n">
        <f aca="false">ROUND(Q290*R290,0)</f>
        <v>1021</v>
      </c>
      <c r="E290" s="37" t="n">
        <f aca="false">ROUND(Q290,0)-D290</f>
        <v>620</v>
      </c>
      <c r="F290" s="37" t="n">
        <f aca="false">IF(COUNTA(D290:E290)=0,"",SUM(D290:E290))</f>
        <v>1641</v>
      </c>
      <c r="G290" s="52" t="n">
        <f aca="false">IF(OR(F290="",F290=0),"",D290/F290)</f>
        <v>0.622181596587447</v>
      </c>
      <c r="H290" s="52" t="n">
        <f aca="false">IF(OR(F290="",F290=0),"",E290/F290)</f>
        <v>0.377818403412553</v>
      </c>
      <c r="I290" s="21" t="s">
        <v>223</v>
      </c>
      <c r="J290" s="53" t="n">
        <v>1.24981746705324</v>
      </c>
      <c r="K290" s="52" t="n">
        <f aca="false">IF(G290="","",MAX(0,G290-J290/100))</f>
        <v>0.609683421916914</v>
      </c>
      <c r="L290" s="52" t="n">
        <f aca="false">IF(G290="","",MIN(1,G290+J290/100))</f>
        <v>0.634679771257979</v>
      </c>
      <c r="M290" s="37" t="n">
        <f aca="false">IF(F290="","",ROUND(F290*J290/100,0))</f>
        <v>21</v>
      </c>
      <c r="P290" s="54" t="n">
        <v>12.8884897726167</v>
      </c>
      <c r="Q290" s="55" t="n">
        <f aca="false">T290*$H$5</f>
        <v>1641.003487384</v>
      </c>
      <c r="R290" s="56" t="n">
        <f aca="false">MAX(0,MIN(1,P290/100+$D$5))</f>
        <v>0.622388132615055</v>
      </c>
      <c r="S290" s="57" t="s">
        <v>225</v>
      </c>
      <c r="T290" s="55" t="n">
        <v>1641.003487384</v>
      </c>
    </row>
    <row r="291" customFormat="false" ht="15" hidden="false" customHeight="false" outlineLevel="0" collapsed="false">
      <c r="A291" s="21" t="s">
        <v>377</v>
      </c>
      <c r="B291" s="21" t="s">
        <v>437</v>
      </c>
      <c r="C291" s="21" t="s">
        <v>449</v>
      </c>
      <c r="D291" s="37" t="n">
        <f aca="false">ROUND(Q291*R291,0)</f>
        <v>628</v>
      </c>
      <c r="E291" s="37" t="n">
        <f aca="false">ROUND(Q291,0)-D291</f>
        <v>298</v>
      </c>
      <c r="F291" s="37" t="n">
        <f aca="false">IF(COUNTA(D291:E291)=0,"",SUM(D291:E291))</f>
        <v>926</v>
      </c>
      <c r="G291" s="52" t="n">
        <f aca="false">IF(OR(F291="",F291=0),"",D291/F291)</f>
        <v>0.678185745140389</v>
      </c>
      <c r="H291" s="52" t="n">
        <f aca="false">IF(OR(F291="",F291=0),"",E291/F291)</f>
        <v>0.321814254859611</v>
      </c>
      <c r="I291" s="21" t="s">
        <v>122</v>
      </c>
      <c r="J291" s="53" t="n">
        <v>1.80877416096373</v>
      </c>
      <c r="K291" s="52" t="n">
        <f aca="false">IF(G291="","",MAX(0,G291-J291/100))</f>
        <v>0.660098003530751</v>
      </c>
      <c r="L291" s="52" t="n">
        <f aca="false">IF(G291="","",MIN(1,G291+J291/100))</f>
        <v>0.696273486750026</v>
      </c>
      <c r="M291" s="37" t="n">
        <f aca="false">IF(F291="","",ROUND(F291*J291/100,0))</f>
        <v>17</v>
      </c>
      <c r="P291" s="54" t="n">
        <v>18.4604803523881</v>
      </c>
      <c r="Q291" s="55" t="n">
        <f aca="false">T291*$H$5</f>
        <v>925.647509578545</v>
      </c>
      <c r="R291" s="56" t="n">
        <f aca="false">MAX(0,MIN(1,P291/100+$D$5))</f>
        <v>0.67810803841277</v>
      </c>
      <c r="S291" s="57" t="s">
        <v>132</v>
      </c>
      <c r="T291" s="55" t="n">
        <v>925.647509578545</v>
      </c>
    </row>
    <row r="292" customFormat="false" ht="15" hidden="false" customHeight="false" outlineLevel="0" collapsed="false">
      <c r="A292" s="21" t="s">
        <v>377</v>
      </c>
      <c r="B292" s="21" t="s">
        <v>450</v>
      </c>
      <c r="C292" s="21" t="s">
        <v>451</v>
      </c>
      <c r="D292" s="37" t="n">
        <f aca="false">ROUND(Q292*R292,0)</f>
        <v>683</v>
      </c>
      <c r="E292" s="37" t="n">
        <f aca="false">ROUND(Q292,0)-D292</f>
        <v>679</v>
      </c>
      <c r="F292" s="37" t="n">
        <f aca="false">IF(COUNTA(D292:E292)=0,"",SUM(D292:E292))</f>
        <v>1362</v>
      </c>
      <c r="G292" s="52" t="n">
        <f aca="false">IF(OR(F292="",F292=0),"",D292/F292)</f>
        <v>0.501468428781204</v>
      </c>
      <c r="H292" s="52" t="n">
        <f aca="false">IF(OR(F292="",F292=0),"",E292/F292)</f>
        <v>0.498531571218796</v>
      </c>
      <c r="I292" s="21" t="s">
        <v>122</v>
      </c>
      <c r="J292" s="53" t="n">
        <v>1.24981746705324</v>
      </c>
      <c r="K292" s="52" t="n">
        <f aca="false">IF(G292="","",MAX(0,G292-J292/100))</f>
        <v>0.488970254110672</v>
      </c>
      <c r="L292" s="52" t="n">
        <f aca="false">IF(G292="","",MIN(1,G292+J292/100))</f>
        <v>0.513966603451737</v>
      </c>
      <c r="M292" s="37" t="n">
        <f aca="false">IF(F292="","",ROUND(F292*J292/100,0))</f>
        <v>17</v>
      </c>
      <c r="P292" s="54" t="n">
        <v>0.759351899358322</v>
      </c>
      <c r="Q292" s="55" t="n">
        <f aca="false">T292*$H$5</f>
        <v>1362.48372781065</v>
      </c>
      <c r="R292" s="56" t="n">
        <f aca="false">MAX(0,MIN(1,P292/100+$D$5))</f>
        <v>0.501096753882471</v>
      </c>
      <c r="S292" s="57" t="s">
        <v>225</v>
      </c>
      <c r="T292" s="55" t="n">
        <v>1362.48372781065</v>
      </c>
    </row>
    <row r="293" customFormat="false" ht="15" hidden="false" customHeight="false" outlineLevel="0" collapsed="false">
      <c r="A293" s="21" t="s">
        <v>377</v>
      </c>
      <c r="B293" s="21" t="s">
        <v>450</v>
      </c>
      <c r="C293" s="21" t="s">
        <v>452</v>
      </c>
      <c r="D293" s="37" t="n">
        <f aca="false">ROUND(Q293*R293,0)</f>
        <v>531</v>
      </c>
      <c r="E293" s="37" t="n">
        <f aca="false">ROUND(Q293,0)-D293</f>
        <v>552</v>
      </c>
      <c r="F293" s="37" t="n">
        <f aca="false">IF(COUNTA(D293:E293)=0,"",SUM(D293:E293))</f>
        <v>1083</v>
      </c>
      <c r="G293" s="52" t="n">
        <f aca="false">IF(OR(F293="",F293=0),"",D293/F293)</f>
        <v>0.490304709141274</v>
      </c>
      <c r="H293" s="52" t="n">
        <f aca="false">IF(OR(F293="",F293=0),"",E293/F293)</f>
        <v>0.509695290858726</v>
      </c>
      <c r="I293" s="21" t="s">
        <v>223</v>
      </c>
      <c r="J293" s="53" t="n">
        <v>1.80877416096373</v>
      </c>
      <c r="K293" s="52" t="n">
        <f aca="false">IF(G293="","",MAX(0,G293-J293/100))</f>
        <v>0.472216967531637</v>
      </c>
      <c r="L293" s="52" t="n">
        <f aca="false">IF(G293="","",MIN(1,G293+J293/100))</f>
        <v>0.508392450750912</v>
      </c>
      <c r="M293" s="37" t="n">
        <f aca="false">IF(F293="","",ROUND(F293*J293/100,0))</f>
        <v>20</v>
      </c>
      <c r="P293" s="54" t="n">
        <v>-0.334380160085098</v>
      </c>
      <c r="Q293" s="55" t="n">
        <f aca="false">T293*$H$5</f>
        <v>1083.11654558275</v>
      </c>
      <c r="R293" s="56" t="n">
        <f aca="false">MAX(0,MIN(1,P293/100+$D$5))</f>
        <v>0.490159433288037</v>
      </c>
      <c r="S293" s="57" t="s">
        <v>132</v>
      </c>
      <c r="T293" s="55" t="n">
        <v>1083.11654558275</v>
      </c>
    </row>
    <row r="294" customFormat="false" ht="15" hidden="false" customHeight="false" outlineLevel="0" collapsed="false">
      <c r="A294" s="21" t="s">
        <v>377</v>
      </c>
      <c r="B294" s="21" t="s">
        <v>450</v>
      </c>
      <c r="C294" s="21" t="s">
        <v>453</v>
      </c>
      <c r="D294" s="37" t="n">
        <f aca="false">ROUND(Q294*R294,0)</f>
        <v>316</v>
      </c>
      <c r="E294" s="37" t="n">
        <f aca="false">ROUND(Q294,0)-D294</f>
        <v>265</v>
      </c>
      <c r="F294" s="37" t="n">
        <f aca="false">IF(COUNTA(D294:E294)=0,"",SUM(D294:E294))</f>
        <v>581</v>
      </c>
      <c r="G294" s="52" t="n">
        <f aca="false">IF(OR(F294="",F294=0),"",D294/F294)</f>
        <v>0.543889845094664</v>
      </c>
      <c r="H294" s="52" t="n">
        <f aca="false">IF(OR(F294="",F294=0),"",E294/F294)</f>
        <v>0.456110154905336</v>
      </c>
      <c r="I294" s="21" t="s">
        <v>223</v>
      </c>
      <c r="J294" s="53" t="n">
        <v>3.02363014511423</v>
      </c>
      <c r="K294" s="52" t="n">
        <f aca="false">IF(G294="","",MAX(0,G294-J294/100))</f>
        <v>0.513653543643522</v>
      </c>
      <c r="L294" s="52" t="n">
        <f aca="false">IF(G294="","",MIN(1,G294+J294/100))</f>
        <v>0.574126146545807</v>
      </c>
      <c r="M294" s="37" t="n">
        <f aca="false">IF(F294="","",ROUND(F294*J294/100,0))</f>
        <v>18</v>
      </c>
      <c r="P294" s="54" t="n">
        <v>4.96298897774945</v>
      </c>
      <c r="Q294" s="55" t="n">
        <f aca="false">T294*$H$5</f>
        <v>581.03515541366</v>
      </c>
      <c r="R294" s="56" t="n">
        <f aca="false">MAX(0,MIN(1,P294/100+$D$5))</f>
        <v>0.543133124666383</v>
      </c>
      <c r="S294" s="57" t="s">
        <v>123</v>
      </c>
      <c r="T294" s="55" t="n">
        <v>581.03515541366</v>
      </c>
    </row>
    <row r="295" customFormat="false" ht="15" hidden="false" customHeight="false" outlineLevel="0" collapsed="false">
      <c r="A295" s="21" t="s">
        <v>377</v>
      </c>
      <c r="B295" s="21" t="s">
        <v>450</v>
      </c>
      <c r="C295" s="21" t="s">
        <v>454</v>
      </c>
      <c r="D295" s="37" t="n">
        <f aca="false">ROUND(Q295*R295,0)</f>
        <v>560</v>
      </c>
      <c r="E295" s="37" t="n">
        <f aca="false">ROUND(Q295,0)-D295</f>
        <v>557</v>
      </c>
      <c r="F295" s="37" t="n">
        <f aca="false">IF(COUNTA(D295:E295)=0,"",SUM(D295:E295))</f>
        <v>1117</v>
      </c>
      <c r="G295" s="52" t="n">
        <f aca="false">IF(OR(F295="",F295=0),"",D295/F295)</f>
        <v>0.501342882721576</v>
      </c>
      <c r="H295" s="52" t="n">
        <f aca="false">IF(OR(F295="",F295=0),"",E295/F295)</f>
        <v>0.498657117278424</v>
      </c>
      <c r="I295" s="21" t="s">
        <v>223</v>
      </c>
      <c r="J295" s="53" t="n">
        <v>1.80877416096373</v>
      </c>
      <c r="K295" s="52" t="n">
        <f aca="false">IF(G295="","",MAX(0,G295-J295/100))</f>
        <v>0.483255141111938</v>
      </c>
      <c r="L295" s="52" t="n">
        <f aca="false">IF(G295="","",MIN(1,G295+J295/100))</f>
        <v>0.519430624331213</v>
      </c>
      <c r="M295" s="37" t="n">
        <f aca="false">IF(F295="","",ROUND(F295*J295/100,0))</f>
        <v>20</v>
      </c>
      <c r="P295" s="54" t="n">
        <v>0.778522100846115</v>
      </c>
      <c r="Q295" s="55" t="n">
        <f aca="false">T295*$H$5</f>
        <v>1117.10097160812</v>
      </c>
      <c r="R295" s="56" t="n">
        <f aca="false">MAX(0,MIN(1,P295/100+$D$5))</f>
        <v>0.501288455897349</v>
      </c>
      <c r="S295" s="57" t="s">
        <v>132</v>
      </c>
      <c r="T295" s="55" t="n">
        <v>1117.10097160812</v>
      </c>
    </row>
    <row r="296" customFormat="false" ht="15" hidden="false" customHeight="false" outlineLevel="0" collapsed="false">
      <c r="A296" s="21" t="s">
        <v>377</v>
      </c>
      <c r="B296" s="21" t="s">
        <v>450</v>
      </c>
      <c r="C296" s="21" t="s">
        <v>455</v>
      </c>
      <c r="D296" s="37" t="n">
        <f aca="false">ROUND(Q296*R296,0)</f>
        <v>523</v>
      </c>
      <c r="E296" s="37" t="n">
        <f aca="false">ROUND(Q296,0)-D296</f>
        <v>490</v>
      </c>
      <c r="F296" s="37" t="n">
        <f aca="false">IF(COUNTA(D296:E296)=0,"",SUM(D296:E296))</f>
        <v>1013</v>
      </c>
      <c r="G296" s="52" t="n">
        <f aca="false">IF(OR(F296="",F296=0),"",D296/F296)</f>
        <v>0.516288252714709</v>
      </c>
      <c r="H296" s="52" t="n">
        <f aca="false">IF(OR(F296="",F296=0),"",E296/F296)</f>
        <v>0.483711747285291</v>
      </c>
      <c r="I296" s="21" t="s">
        <v>122</v>
      </c>
      <c r="J296" s="53" t="n">
        <v>1.80877416096373</v>
      </c>
      <c r="K296" s="52" t="n">
        <f aca="false">IF(G296="","",MAX(0,G296-J296/100))</f>
        <v>0.498200511105071</v>
      </c>
      <c r="L296" s="52" t="n">
        <f aca="false">IF(G296="","",MIN(1,G296+J296/100))</f>
        <v>0.534375994324346</v>
      </c>
      <c r="M296" s="37" t="n">
        <f aca="false">IF(F296="","",ROUND(F296*J296/100,0))</f>
        <v>18</v>
      </c>
      <c r="P296" s="54" t="n">
        <v>2.24494922977536</v>
      </c>
      <c r="Q296" s="55" t="n">
        <f aca="false">T296*$H$5</f>
        <v>1012.91514143095</v>
      </c>
      <c r="R296" s="56" t="n">
        <f aca="false">MAX(0,MIN(1,P296/100+$D$5))</f>
        <v>0.515952727186642</v>
      </c>
      <c r="S296" s="57" t="s">
        <v>132</v>
      </c>
      <c r="T296" s="55" t="n">
        <v>1012.91514143095</v>
      </c>
    </row>
    <row r="297" customFormat="false" ht="15" hidden="false" customHeight="false" outlineLevel="0" collapsed="false">
      <c r="A297" s="21" t="s">
        <v>377</v>
      </c>
      <c r="B297" s="21" t="s">
        <v>450</v>
      </c>
      <c r="C297" s="21" t="s">
        <v>456</v>
      </c>
      <c r="D297" s="37" t="n">
        <f aca="false">ROUND(Q297*R297,0)</f>
        <v>599</v>
      </c>
      <c r="E297" s="37" t="n">
        <f aca="false">ROUND(Q297,0)-D297</f>
        <v>620</v>
      </c>
      <c r="F297" s="37" t="n">
        <f aca="false">IF(COUNTA(D297:E297)=0,"",SUM(D297:E297))</f>
        <v>1219</v>
      </c>
      <c r="G297" s="52" t="n">
        <f aca="false">IF(OR(F297="",F297=0),"",D297/F297)</f>
        <v>0.491386382280558</v>
      </c>
      <c r="H297" s="52" t="n">
        <f aca="false">IF(OR(F297="",F297=0),"",E297/F297)</f>
        <v>0.508613617719442</v>
      </c>
      <c r="I297" s="21" t="s">
        <v>223</v>
      </c>
      <c r="J297" s="53" t="n">
        <v>1.24981746705324</v>
      </c>
      <c r="K297" s="52" t="n">
        <f aca="false">IF(G297="","",MAX(0,G297-J297/100))</f>
        <v>0.478888207610025</v>
      </c>
      <c r="L297" s="52" t="n">
        <f aca="false">IF(G297="","",MIN(1,G297+J297/100))</f>
        <v>0.50388455695109</v>
      </c>
      <c r="M297" s="37" t="n">
        <f aca="false">IF(F297="","",ROUND(F297*J297/100,0))</f>
        <v>15</v>
      </c>
      <c r="P297" s="54" t="n">
        <v>-0.197390137479652</v>
      </c>
      <c r="Q297" s="55" t="n">
        <f aca="false">T297*$H$5</f>
        <v>1219.05424968423</v>
      </c>
      <c r="R297" s="56" t="n">
        <f aca="false">MAX(0,MIN(1,P297/100+$D$5))</f>
        <v>0.491529333514092</v>
      </c>
      <c r="S297" s="57" t="s">
        <v>225</v>
      </c>
      <c r="T297" s="55" t="n">
        <v>1219.05424968423</v>
      </c>
    </row>
    <row r="298" customFormat="false" ht="15" hidden="false" customHeight="false" outlineLevel="0" collapsed="false">
      <c r="A298" s="21" t="s">
        <v>377</v>
      </c>
      <c r="B298" s="21" t="s">
        <v>450</v>
      </c>
      <c r="C298" s="21" t="s">
        <v>457</v>
      </c>
      <c r="D298" s="37" t="n">
        <f aca="false">ROUND(Q298*R298,0)</f>
        <v>274</v>
      </c>
      <c r="E298" s="37" t="n">
        <f aca="false">ROUND(Q298,0)-D298</f>
        <v>335</v>
      </c>
      <c r="F298" s="37" t="n">
        <f aca="false">IF(COUNTA(D298:E298)=0,"",SUM(D298:E298))</f>
        <v>609</v>
      </c>
      <c r="G298" s="52" t="n">
        <f aca="false">IF(OR(F298="",F298=0),"",D298/F298)</f>
        <v>0.44991789819376</v>
      </c>
      <c r="H298" s="52" t="n">
        <f aca="false">IF(OR(F298="",F298=0),"",E298/F298)</f>
        <v>0.55008210180624</v>
      </c>
      <c r="I298" s="21" t="s">
        <v>223</v>
      </c>
      <c r="J298" s="53" t="n">
        <v>3.02363014511423</v>
      </c>
      <c r="K298" s="52" t="n">
        <f aca="false">IF(G298="","",MAX(0,G298-J298/100))</f>
        <v>0.419681596742618</v>
      </c>
      <c r="L298" s="52" t="n">
        <f aca="false">IF(G298="","",MIN(1,G298+J298/100))</f>
        <v>0.480154199644903</v>
      </c>
      <c r="M298" s="37" t="n">
        <f aca="false">IF(F298="","",ROUND(F298*J298/100,0))</f>
        <v>18</v>
      </c>
      <c r="P298" s="54" t="n">
        <v>-4.30899153231607</v>
      </c>
      <c r="Q298" s="55" t="n">
        <f aca="false">T298*$H$5</f>
        <v>609.080306436487</v>
      </c>
      <c r="R298" s="56" t="n">
        <f aca="false">MAX(0,MIN(1,P298/100+$D$5))</f>
        <v>0.450413319565728</v>
      </c>
      <c r="S298" s="57" t="s">
        <v>123</v>
      </c>
      <c r="T298" s="55" t="n">
        <v>609.080306436487</v>
      </c>
    </row>
    <row r="299" customFormat="false" ht="15" hidden="false" customHeight="false" outlineLevel="0" collapsed="false">
      <c r="A299" s="21" t="s">
        <v>377</v>
      </c>
      <c r="B299" s="21" t="s">
        <v>458</v>
      </c>
      <c r="C299" s="21" t="s">
        <v>458</v>
      </c>
      <c r="D299" s="37" t="n">
        <f aca="false">ROUND(Q299*R299,0)</f>
        <v>484</v>
      </c>
      <c r="E299" s="37" t="n">
        <f aca="false">ROUND(Q299,0)-D299</f>
        <v>327</v>
      </c>
      <c r="F299" s="37" t="n">
        <f aca="false">IF(COUNTA(D299:E299)=0,"",SUM(D299:E299))</f>
        <v>811</v>
      </c>
      <c r="G299" s="52" t="n">
        <f aca="false">IF(OR(F299="",F299=0),"",D299/F299)</f>
        <v>0.596794081381011</v>
      </c>
      <c r="H299" s="52" t="n">
        <f aca="false">IF(OR(F299="",F299=0),"",E299/F299)</f>
        <v>0.403205918618989</v>
      </c>
      <c r="I299" s="21" t="s">
        <v>122</v>
      </c>
      <c r="J299" s="53" t="n">
        <v>1.80877416096373</v>
      </c>
      <c r="K299" s="52" t="n">
        <f aca="false">IF(G299="","",MAX(0,G299-J299/100))</f>
        <v>0.578706339771374</v>
      </c>
      <c r="L299" s="52" t="n">
        <f aca="false">IF(G299="","",MIN(1,G299+J299/100))</f>
        <v>0.614881822990648</v>
      </c>
      <c r="M299" s="37" t="n">
        <f aca="false">IF(F299="","",ROUND(F299*J299/100,0))</f>
        <v>15</v>
      </c>
      <c r="P299" s="54" t="n">
        <v>10.3482552467446</v>
      </c>
      <c r="Q299" s="55" t="n">
        <f aca="false">T299*$H$5</f>
        <v>811.2722513089</v>
      </c>
      <c r="R299" s="56" t="n">
        <f aca="false">MAX(0,MIN(1,P299/100+$D$5))</f>
        <v>0.596985787356335</v>
      </c>
      <c r="S299" s="57" t="s">
        <v>132</v>
      </c>
      <c r="T299" s="55" t="n">
        <v>811.2722513089</v>
      </c>
    </row>
    <row r="300" customFormat="false" ht="15" hidden="false" customHeight="false" outlineLevel="0" collapsed="false">
      <c r="A300" s="21" t="s">
        <v>377</v>
      </c>
      <c r="B300" s="21" t="s">
        <v>459</v>
      </c>
      <c r="C300" s="21" t="s">
        <v>459</v>
      </c>
      <c r="D300" s="37" t="n">
        <f aca="false">ROUND(Q300*R300,0)</f>
        <v>75</v>
      </c>
      <c r="E300" s="37" t="n">
        <f aca="false">ROUND(Q300,0)-D300</f>
        <v>69</v>
      </c>
      <c r="F300" s="37" t="n">
        <f aca="false">IF(COUNTA(D300:E300)=0,"",SUM(D300:E300))</f>
        <v>144</v>
      </c>
      <c r="G300" s="52" t="n">
        <f aca="false">IF(OR(F300="",F300=0),"",D300/F300)</f>
        <v>0.520833333333333</v>
      </c>
      <c r="H300" s="52" t="n">
        <f aca="false">IF(OR(F300="",F300=0),"",E300/F300)</f>
        <v>0.479166666666667</v>
      </c>
      <c r="I300" s="21" t="s">
        <v>122</v>
      </c>
      <c r="J300" s="53" t="n">
        <v>3.02363014511423</v>
      </c>
      <c r="K300" s="52" t="n">
        <f aca="false">IF(G300="","",MAX(0,G300-J300/100))</f>
        <v>0.490597031882191</v>
      </c>
      <c r="L300" s="52" t="n">
        <f aca="false">IF(G300="","",MIN(1,G300+J300/100))</f>
        <v>0.551069634784476</v>
      </c>
      <c r="M300" s="37" t="n">
        <f aca="false">IF(F300="","",ROUND(F300*J300/100,0))</f>
        <v>4</v>
      </c>
      <c r="P300" s="54" t="n">
        <v>2.53059509737224</v>
      </c>
      <c r="Q300" s="55" t="n">
        <f aca="false">T300*$H$5</f>
        <v>143.630597014925</v>
      </c>
      <c r="R300" s="56" t="n">
        <f aca="false">MAX(0,MIN(1,P300/100+$D$5))</f>
        <v>0.518809185862611</v>
      </c>
      <c r="S300" s="57" t="s">
        <v>123</v>
      </c>
      <c r="T300" s="55" t="n">
        <v>143.630597014925</v>
      </c>
    </row>
    <row r="301" customFormat="false" ht="15" hidden="false" customHeight="false" outlineLevel="0" collapsed="false">
      <c r="A301" s="21" t="s">
        <v>377</v>
      </c>
      <c r="B301" s="21" t="s">
        <v>284</v>
      </c>
      <c r="C301" s="21" t="s">
        <v>460</v>
      </c>
      <c r="D301" s="37" t="n">
        <f aca="false">ROUND(Q301*R301,0)</f>
        <v>762</v>
      </c>
      <c r="E301" s="37" t="n">
        <f aca="false">ROUND(Q301,0)-D301</f>
        <v>534</v>
      </c>
      <c r="F301" s="37" t="n">
        <f aca="false">IF(COUNTA(D301:E301)=0,"",SUM(D301:E301))</f>
        <v>1296</v>
      </c>
      <c r="G301" s="52" t="n">
        <f aca="false">IF(OR(F301="",F301=0),"",D301/F301)</f>
        <v>0.587962962962963</v>
      </c>
      <c r="H301" s="52" t="n">
        <f aca="false">IF(OR(F301="",F301=0),"",E301/F301)</f>
        <v>0.412037037037037</v>
      </c>
      <c r="I301" s="21" t="s">
        <v>122</v>
      </c>
      <c r="J301" s="53" t="n">
        <v>1.24981746705324</v>
      </c>
      <c r="K301" s="52" t="n">
        <f aca="false">IF(G301="","",MAX(0,G301-J301/100))</f>
        <v>0.575464788292431</v>
      </c>
      <c r="L301" s="52" t="n">
        <f aca="false">IF(G301="","",MIN(1,G301+J301/100))</f>
        <v>0.600461137633495</v>
      </c>
      <c r="M301" s="37" t="n">
        <f aca="false">IF(F301="","",ROUND(F301*J301/100,0))</f>
        <v>16</v>
      </c>
      <c r="P301" s="54" t="n">
        <v>9.42951746364582</v>
      </c>
      <c r="Q301" s="55" t="n">
        <f aca="false">T301*$H$5</f>
        <v>1296.13085052843</v>
      </c>
      <c r="R301" s="56" t="n">
        <f aca="false">MAX(0,MIN(1,P301/100+$D$5))</f>
        <v>0.587798409525347</v>
      </c>
      <c r="S301" s="57" t="s">
        <v>225</v>
      </c>
      <c r="T301" s="55" t="n">
        <v>1296.13085052843</v>
      </c>
    </row>
    <row r="302" customFormat="false" ht="15" hidden="false" customHeight="false" outlineLevel="0" collapsed="false">
      <c r="A302" s="21" t="s">
        <v>377</v>
      </c>
      <c r="B302" s="21" t="s">
        <v>284</v>
      </c>
      <c r="C302" s="21" t="s">
        <v>461</v>
      </c>
      <c r="D302" s="37" t="n">
        <f aca="false">ROUND(Q302*R302,0)</f>
        <v>734</v>
      </c>
      <c r="E302" s="37" t="n">
        <f aca="false">ROUND(Q302,0)-D302</f>
        <v>580</v>
      </c>
      <c r="F302" s="37" t="n">
        <f aca="false">IF(COUNTA(D302:E302)=0,"",SUM(D302:E302))</f>
        <v>1314</v>
      </c>
      <c r="G302" s="52" t="n">
        <f aca="false">IF(OR(F302="",F302=0),"",D302/F302)</f>
        <v>0.558599695585997</v>
      </c>
      <c r="H302" s="52" t="n">
        <f aca="false">IF(OR(F302="",F302=0),"",E302/F302)</f>
        <v>0.441400304414003</v>
      </c>
      <c r="I302" s="21" t="s">
        <v>122</v>
      </c>
      <c r="J302" s="53" t="n">
        <v>1.24981746705324</v>
      </c>
      <c r="K302" s="52" t="n">
        <f aca="false">IF(G302="","",MAX(0,G302-J302/100))</f>
        <v>0.546101520915465</v>
      </c>
      <c r="L302" s="52" t="n">
        <f aca="false">IF(G302="","",MIN(1,G302+J302/100))</f>
        <v>0.571097870256529</v>
      </c>
      <c r="M302" s="37" t="n">
        <f aca="false">IF(F302="","",ROUND(F302*J302/100,0))</f>
        <v>16</v>
      </c>
      <c r="P302" s="54" t="n">
        <v>6.516392797373</v>
      </c>
      <c r="Q302" s="55" t="n">
        <f aca="false">T302*$H$5</f>
        <v>1313.559</v>
      </c>
      <c r="R302" s="56" t="n">
        <f aca="false">MAX(0,MIN(1,P302/100+$D$5))</f>
        <v>0.558667162862618</v>
      </c>
      <c r="S302" s="57" t="s">
        <v>225</v>
      </c>
      <c r="T302" s="55" t="n">
        <v>1313.559</v>
      </c>
    </row>
    <row r="303" customFormat="false" ht="15" hidden="false" customHeight="false" outlineLevel="0" collapsed="false">
      <c r="A303" s="21" t="s">
        <v>377</v>
      </c>
      <c r="B303" s="21" t="s">
        <v>284</v>
      </c>
      <c r="C303" s="21" t="s">
        <v>462</v>
      </c>
      <c r="D303" s="37" t="n">
        <f aca="false">ROUND(Q303*R303,0)</f>
        <v>381</v>
      </c>
      <c r="E303" s="37" t="n">
        <f aca="false">ROUND(Q303,0)-D303</f>
        <v>349</v>
      </c>
      <c r="F303" s="37" t="n">
        <f aca="false">IF(COUNTA(D303:E303)=0,"",SUM(D303:E303))</f>
        <v>730</v>
      </c>
      <c r="G303" s="52" t="n">
        <f aca="false">IF(OR(F303="",F303=0),"",D303/F303)</f>
        <v>0.521917808219178</v>
      </c>
      <c r="H303" s="52" t="n">
        <f aca="false">IF(OR(F303="",F303=0),"",E303/F303)</f>
        <v>0.478082191780822</v>
      </c>
      <c r="I303" s="21" t="s">
        <v>122</v>
      </c>
      <c r="J303" s="53" t="n">
        <v>3.02363014511423</v>
      </c>
      <c r="K303" s="52" t="n">
        <f aca="false">IF(G303="","",MAX(0,G303-J303/100))</f>
        <v>0.491681506768036</v>
      </c>
      <c r="L303" s="52" t="n">
        <f aca="false">IF(G303="","",MIN(1,G303+J303/100))</f>
        <v>0.55215410967032</v>
      </c>
      <c r="M303" s="37" t="n">
        <f aca="false">IF(F303="","",ROUND(F303*J303/100,0))</f>
        <v>22</v>
      </c>
      <c r="P303" s="54" t="n">
        <v>2.79559598259371</v>
      </c>
      <c r="Q303" s="55" t="n">
        <f aca="false">T303*$H$5</f>
        <v>730.386706948641</v>
      </c>
      <c r="R303" s="56" t="n">
        <f aca="false">MAX(0,MIN(1,P303/100+$D$5))</f>
        <v>0.521459194714825</v>
      </c>
      <c r="S303" s="57" t="s">
        <v>123</v>
      </c>
      <c r="T303" s="55" t="n">
        <v>730.386706948641</v>
      </c>
    </row>
    <row r="304" customFormat="false" ht="15" hidden="false" customHeight="false" outlineLevel="0" collapsed="false">
      <c r="A304" s="21" t="s">
        <v>377</v>
      </c>
      <c r="B304" s="21" t="s">
        <v>284</v>
      </c>
      <c r="C304" s="21" t="s">
        <v>463</v>
      </c>
      <c r="D304" s="37" t="n">
        <f aca="false">ROUND(Q304*R304,0)</f>
        <v>604</v>
      </c>
      <c r="E304" s="37" t="n">
        <f aca="false">ROUND(Q304,0)-D304</f>
        <v>551</v>
      </c>
      <c r="F304" s="37" t="n">
        <f aca="false">IF(COUNTA(D304:E304)=0,"",SUM(D304:E304))</f>
        <v>1155</v>
      </c>
      <c r="G304" s="52" t="n">
        <f aca="false">IF(OR(F304="",F304=0),"",D304/F304)</f>
        <v>0.522943722943723</v>
      </c>
      <c r="H304" s="52" t="n">
        <f aca="false">IF(OR(F304="",F304=0),"",E304/F304)</f>
        <v>0.477056277056277</v>
      </c>
      <c r="I304" s="21" t="s">
        <v>122</v>
      </c>
      <c r="J304" s="53" t="n">
        <v>1.80877416096373</v>
      </c>
      <c r="K304" s="52" t="n">
        <f aca="false">IF(G304="","",MAX(0,G304-J304/100))</f>
        <v>0.504855981334086</v>
      </c>
      <c r="L304" s="52" t="n">
        <f aca="false">IF(G304="","",MIN(1,G304+J304/100))</f>
        <v>0.54103146455336</v>
      </c>
      <c r="M304" s="37" t="n">
        <f aca="false">IF(F304="","",ROUND(F304*J304/100,0))</f>
        <v>21</v>
      </c>
      <c r="P304" s="54" t="n">
        <v>2.99746991162526</v>
      </c>
      <c r="Q304" s="55" t="n">
        <f aca="false">T304*$H$5</f>
        <v>1154.58674351585</v>
      </c>
      <c r="R304" s="56" t="n">
        <f aca="false">MAX(0,MIN(1,P304/100+$D$5))</f>
        <v>0.523477934005141</v>
      </c>
      <c r="S304" s="57" t="s">
        <v>132</v>
      </c>
      <c r="T304" s="55" t="n">
        <v>1154.58674351585</v>
      </c>
    </row>
    <row r="305" customFormat="false" ht="15" hidden="false" customHeight="false" outlineLevel="0" collapsed="false">
      <c r="A305" s="21" t="s">
        <v>377</v>
      </c>
      <c r="B305" s="21" t="s">
        <v>284</v>
      </c>
      <c r="C305" s="21" t="s">
        <v>464</v>
      </c>
      <c r="D305" s="37" t="n">
        <f aca="false">ROUND(Q305*R305,0)</f>
        <v>669</v>
      </c>
      <c r="E305" s="37" t="n">
        <f aca="false">ROUND(Q305,0)-D305</f>
        <v>532</v>
      </c>
      <c r="F305" s="37" t="n">
        <f aca="false">IF(COUNTA(D305:E305)=0,"",SUM(D305:E305))</f>
        <v>1201</v>
      </c>
      <c r="G305" s="52" t="n">
        <f aca="false">IF(OR(F305="",F305=0),"",D305/F305)</f>
        <v>0.557035803497086</v>
      </c>
      <c r="H305" s="52" t="n">
        <f aca="false">IF(OR(F305="",F305=0),"",E305/F305)</f>
        <v>0.442964196502914</v>
      </c>
      <c r="I305" s="21" t="s">
        <v>122</v>
      </c>
      <c r="J305" s="53" t="n">
        <v>1.24981746705324</v>
      </c>
      <c r="K305" s="52" t="n">
        <f aca="false">IF(G305="","",MAX(0,G305-J305/100))</f>
        <v>0.544537628826553</v>
      </c>
      <c r="L305" s="52" t="n">
        <f aca="false">IF(G305="","",MIN(1,G305+J305/100))</f>
        <v>0.569533978167618</v>
      </c>
      <c r="M305" s="37" t="n">
        <f aca="false">IF(F305="","",ROUND(F305*J305/100,0))</f>
        <v>15</v>
      </c>
      <c r="P305" s="54" t="n">
        <v>6.34511162797621</v>
      </c>
      <c r="Q305" s="55" t="n">
        <f aca="false">T305*$H$5</f>
        <v>1201.08993448481</v>
      </c>
      <c r="R305" s="56" t="n">
        <f aca="false">MAX(0,MIN(1,P305/100+$D$5))</f>
        <v>0.55695435116865</v>
      </c>
      <c r="S305" s="57" t="s">
        <v>225</v>
      </c>
      <c r="T305" s="55" t="n">
        <v>1201.08993448481</v>
      </c>
    </row>
    <row r="306" customFormat="false" ht="15" hidden="false" customHeight="false" outlineLevel="0" collapsed="false">
      <c r="A306" s="21" t="s">
        <v>377</v>
      </c>
      <c r="B306" s="21" t="s">
        <v>284</v>
      </c>
      <c r="C306" s="21" t="s">
        <v>465</v>
      </c>
      <c r="D306" s="37" t="n">
        <f aca="false">ROUND(Q306*R306,0)</f>
        <v>386</v>
      </c>
      <c r="E306" s="37" t="n">
        <f aca="false">ROUND(Q306,0)-D306</f>
        <v>344</v>
      </c>
      <c r="F306" s="37" t="n">
        <f aca="false">IF(COUNTA(D306:E306)=0,"",SUM(D306:E306))</f>
        <v>730</v>
      </c>
      <c r="G306" s="52" t="n">
        <f aca="false">IF(OR(F306="",F306=0),"",D306/F306)</f>
        <v>0.528767123287671</v>
      </c>
      <c r="H306" s="52" t="n">
        <f aca="false">IF(OR(F306="",F306=0),"",E306/F306)</f>
        <v>0.471232876712329</v>
      </c>
      <c r="I306" s="21" t="s">
        <v>122</v>
      </c>
      <c r="J306" s="53" t="n">
        <v>3.02363014511423</v>
      </c>
      <c r="K306" s="52" t="n">
        <f aca="false">IF(G306="","",MAX(0,G306-J306/100))</f>
        <v>0.498530821836529</v>
      </c>
      <c r="L306" s="52" t="n">
        <f aca="false">IF(G306="","",MIN(1,G306+J306/100))</f>
        <v>0.559003424738814</v>
      </c>
      <c r="M306" s="37" t="n">
        <f aca="false">IF(F306="","",ROUND(F306*J306/100,0))</f>
        <v>22</v>
      </c>
      <c r="P306" s="54" t="n">
        <v>3.5050286853064</v>
      </c>
      <c r="Q306" s="55" t="n">
        <f aca="false">T306*$H$5</f>
        <v>730.182352941177</v>
      </c>
      <c r="R306" s="56" t="n">
        <f aca="false">MAX(0,MIN(1,P306/100+$D$5))</f>
        <v>0.528553521741952</v>
      </c>
      <c r="S306" s="57" t="s">
        <v>123</v>
      </c>
      <c r="T306" s="55" t="n">
        <v>730.182352941177</v>
      </c>
    </row>
    <row r="307" customFormat="false" ht="15" hidden="false" customHeight="false" outlineLevel="0" collapsed="false">
      <c r="A307" s="21" t="s">
        <v>377</v>
      </c>
      <c r="B307" s="21" t="s">
        <v>466</v>
      </c>
      <c r="C307" s="21" t="s">
        <v>467</v>
      </c>
      <c r="D307" s="37" t="n">
        <f aca="false">ROUND(Q307*R307,0)</f>
        <v>460</v>
      </c>
      <c r="E307" s="37" t="n">
        <f aca="false">ROUND(Q307,0)-D307</f>
        <v>450</v>
      </c>
      <c r="F307" s="37" t="n">
        <f aca="false">IF(COUNTA(D307:E307)=0,"",SUM(D307:E307))</f>
        <v>910</v>
      </c>
      <c r="G307" s="52" t="n">
        <f aca="false">IF(OR(F307="",F307=0),"",D307/F307)</f>
        <v>0.505494505494506</v>
      </c>
      <c r="H307" s="52" t="n">
        <f aca="false">IF(OR(F307="",F307=0),"",E307/F307)</f>
        <v>0.494505494505495</v>
      </c>
      <c r="I307" s="21" t="s">
        <v>122</v>
      </c>
      <c r="J307" s="53" t="n">
        <v>1.80877416096373</v>
      </c>
      <c r="K307" s="52" t="n">
        <f aca="false">IF(G307="","",MAX(0,G307-J307/100))</f>
        <v>0.487406763884868</v>
      </c>
      <c r="L307" s="52" t="n">
        <f aca="false">IF(G307="","",MIN(1,G307+J307/100))</f>
        <v>0.523582247104143</v>
      </c>
      <c r="M307" s="37" t="n">
        <f aca="false">IF(F307="","",ROUND(F307*J307/100,0))</f>
        <v>16</v>
      </c>
      <c r="P307" s="54" t="n">
        <v>1.13609103411182</v>
      </c>
      <c r="Q307" s="55" t="n">
        <f aca="false">T307*$H$5</f>
        <v>910.483425414365</v>
      </c>
      <c r="R307" s="56" t="n">
        <f aca="false">MAX(0,MIN(1,P307/100+$D$5))</f>
        <v>0.504864145230006</v>
      </c>
      <c r="S307" s="57" t="s">
        <v>132</v>
      </c>
      <c r="T307" s="55" t="n">
        <v>910.483425414365</v>
      </c>
    </row>
    <row r="308" customFormat="false" ht="15" hidden="false" customHeight="false" outlineLevel="0" collapsed="false">
      <c r="A308" s="21" t="s">
        <v>377</v>
      </c>
      <c r="B308" s="21" t="s">
        <v>466</v>
      </c>
      <c r="C308" s="21" t="s">
        <v>468</v>
      </c>
      <c r="D308" s="37" t="n">
        <f aca="false">ROUND(Q308*R308,0)</f>
        <v>362</v>
      </c>
      <c r="E308" s="37" t="n">
        <f aca="false">ROUND(Q308,0)-D308</f>
        <v>339</v>
      </c>
      <c r="F308" s="37" t="n">
        <f aca="false">IF(COUNTA(D308:E308)=0,"",SUM(D308:E308))</f>
        <v>701</v>
      </c>
      <c r="G308" s="52" t="n">
        <f aca="false">IF(OR(F308="",F308=0),"",D308/F308)</f>
        <v>0.516405135520685</v>
      </c>
      <c r="H308" s="52" t="n">
        <f aca="false">IF(OR(F308="",F308=0),"",E308/F308)</f>
        <v>0.483594864479315</v>
      </c>
      <c r="I308" s="21" t="s">
        <v>122</v>
      </c>
      <c r="J308" s="53" t="n">
        <v>3.02363014511423</v>
      </c>
      <c r="K308" s="52" t="n">
        <f aca="false">IF(G308="","",MAX(0,G308-J308/100))</f>
        <v>0.486168834069543</v>
      </c>
      <c r="L308" s="52" t="n">
        <f aca="false">IF(G308="","",MIN(1,G308+J308/100))</f>
        <v>0.546641436971827</v>
      </c>
      <c r="M308" s="37" t="n">
        <f aca="false">IF(F308="","",ROUND(F308*J308/100,0))</f>
        <v>21</v>
      </c>
      <c r="P308" s="54" t="n">
        <v>2.32425249592186</v>
      </c>
      <c r="Q308" s="55" t="n">
        <f aca="false">T308*$H$5</f>
        <v>700.622033898305</v>
      </c>
      <c r="R308" s="56" t="n">
        <f aca="false">MAX(0,MIN(1,P308/100+$D$5))</f>
        <v>0.516745759848107</v>
      </c>
      <c r="S308" s="57" t="s">
        <v>123</v>
      </c>
      <c r="T308" s="55" t="n">
        <v>700.622033898305</v>
      </c>
    </row>
    <row r="309" customFormat="false" ht="15" hidden="false" customHeight="false" outlineLevel="0" collapsed="false">
      <c r="A309" s="21" t="s">
        <v>377</v>
      </c>
      <c r="B309" s="21" t="s">
        <v>466</v>
      </c>
      <c r="C309" s="21" t="s">
        <v>469</v>
      </c>
      <c r="D309" s="37" t="n">
        <f aca="false">ROUND(Q309*R309,0)</f>
        <v>540</v>
      </c>
      <c r="E309" s="37" t="n">
        <f aca="false">ROUND(Q309,0)-D309</f>
        <v>477</v>
      </c>
      <c r="F309" s="37" t="n">
        <f aca="false">IF(COUNTA(D309:E309)=0,"",SUM(D309:E309))</f>
        <v>1017</v>
      </c>
      <c r="G309" s="52" t="n">
        <f aca="false">IF(OR(F309="",F309=0),"",D309/F309)</f>
        <v>0.530973451327434</v>
      </c>
      <c r="H309" s="52" t="n">
        <f aca="false">IF(OR(F309="",F309=0),"",E309/F309)</f>
        <v>0.469026548672566</v>
      </c>
      <c r="I309" s="21" t="s">
        <v>122</v>
      </c>
      <c r="J309" s="53" t="n">
        <v>1.80877416096373</v>
      </c>
      <c r="K309" s="52" t="n">
        <f aca="false">IF(G309="","",MAX(0,G309-J309/100))</f>
        <v>0.512885709717796</v>
      </c>
      <c r="L309" s="52" t="n">
        <f aca="false">IF(G309="","",MIN(1,G309+J309/100))</f>
        <v>0.549061192937071</v>
      </c>
      <c r="M309" s="37" t="n">
        <f aca="false">IF(F309="","",ROUND(F309*J309/100,0))</f>
        <v>18</v>
      </c>
      <c r="P309" s="54" t="n">
        <v>3.75208683119181</v>
      </c>
      <c r="Q309" s="55" t="n">
        <f aca="false">T309*$H$5</f>
        <v>1016.60692951016</v>
      </c>
      <c r="R309" s="56" t="n">
        <f aca="false">MAX(0,MIN(1,P309/100+$D$5))</f>
        <v>0.531024103200806</v>
      </c>
      <c r="S309" s="57" t="s">
        <v>132</v>
      </c>
      <c r="T309" s="55" t="n">
        <v>1016.60692951016</v>
      </c>
    </row>
    <row r="310" customFormat="false" ht="15" hidden="false" customHeight="false" outlineLevel="0" collapsed="false">
      <c r="A310" s="21" t="s">
        <v>377</v>
      </c>
      <c r="B310" s="21" t="s">
        <v>470</v>
      </c>
      <c r="C310" s="21" t="s">
        <v>471</v>
      </c>
      <c r="D310" s="37" t="n">
        <f aca="false">ROUND(Q310*R310,0)</f>
        <v>469</v>
      </c>
      <c r="E310" s="37" t="n">
        <f aca="false">ROUND(Q310,0)-D310</f>
        <v>870</v>
      </c>
      <c r="F310" s="37" t="n">
        <f aca="false">IF(COUNTA(D310:E310)=0,"",SUM(D310:E310))</f>
        <v>1339</v>
      </c>
      <c r="G310" s="52" t="n">
        <f aca="false">IF(OR(F310="",F310=0),"",D310/F310)</f>
        <v>0.350261389096341</v>
      </c>
      <c r="H310" s="52" t="n">
        <f aca="false">IF(OR(F310="",F310=0),"",E310/F310)</f>
        <v>0.64973861090366</v>
      </c>
      <c r="I310" s="21" t="s">
        <v>122</v>
      </c>
      <c r="J310" s="53" t="n">
        <v>1.24981746705324</v>
      </c>
      <c r="K310" s="52" t="n">
        <f aca="false">IF(G310="","",MAX(0,G310-J310/100))</f>
        <v>0.337763214425808</v>
      </c>
      <c r="L310" s="52" t="n">
        <f aca="false">IF(G310="","",MIN(1,G310+J310/100))</f>
        <v>0.362759563766873</v>
      </c>
      <c r="M310" s="37" t="n">
        <f aca="false">IF(F310="","",ROUND(F310*J310/100,0))</f>
        <v>17</v>
      </c>
      <c r="P310" s="54" t="n">
        <v>-14.344762372995</v>
      </c>
      <c r="Q310" s="55" t="n">
        <f aca="false">T310*$H$5</f>
        <v>1338.7974025974</v>
      </c>
      <c r="R310" s="56" t="n">
        <f aca="false">MAX(0,MIN(1,P310/100+$D$5))</f>
        <v>0.350055611158938</v>
      </c>
      <c r="S310" s="57" t="s">
        <v>225</v>
      </c>
      <c r="T310" s="55" t="n">
        <v>1338.7974025974</v>
      </c>
    </row>
    <row r="311" customFormat="false" ht="15" hidden="false" customHeight="false" outlineLevel="0" collapsed="false">
      <c r="A311" s="21" t="s">
        <v>377</v>
      </c>
      <c r="B311" s="21" t="s">
        <v>470</v>
      </c>
      <c r="C311" s="21" t="s">
        <v>472</v>
      </c>
      <c r="D311" s="37" t="n">
        <f aca="false">ROUND(Q311*R311,0)</f>
        <v>528</v>
      </c>
      <c r="E311" s="37" t="n">
        <f aca="false">ROUND(Q311,0)-D311</f>
        <v>967</v>
      </c>
      <c r="F311" s="37" t="n">
        <f aca="false">IF(COUNTA(D311:E311)=0,"",SUM(D311:E311))</f>
        <v>1495</v>
      </c>
      <c r="G311" s="52" t="n">
        <f aca="false">IF(OR(F311="",F311=0),"",D311/F311)</f>
        <v>0.353177257525084</v>
      </c>
      <c r="H311" s="52" t="n">
        <f aca="false">IF(OR(F311="",F311=0),"",E311/F311)</f>
        <v>0.646822742474916</v>
      </c>
      <c r="I311" s="21" t="s">
        <v>122</v>
      </c>
      <c r="J311" s="53" t="n">
        <v>1.24981746705324</v>
      </c>
      <c r="K311" s="52" t="n">
        <f aca="false">IF(G311="","",MAX(0,G311-J311/100))</f>
        <v>0.340679082854551</v>
      </c>
      <c r="L311" s="52" t="n">
        <f aca="false">IF(G311="","",MIN(1,G311+J311/100))</f>
        <v>0.365675432195616</v>
      </c>
      <c r="M311" s="37" t="n">
        <f aca="false">IF(F311="","",ROUND(F311*J311/100,0))</f>
        <v>19</v>
      </c>
      <c r="P311" s="54" t="n">
        <v>-14.0140371320327</v>
      </c>
      <c r="Q311" s="55" t="n">
        <f aca="false">T311*$H$5</f>
        <v>1495.44556729444</v>
      </c>
      <c r="R311" s="56" t="n">
        <f aca="false">MAX(0,MIN(1,P311/100+$D$5))</f>
        <v>0.353362863568562</v>
      </c>
      <c r="S311" s="57" t="s">
        <v>225</v>
      </c>
      <c r="T311" s="55" t="n">
        <v>1495.44556729444</v>
      </c>
    </row>
    <row r="312" customFormat="false" ht="15" hidden="false" customHeight="false" outlineLevel="0" collapsed="false">
      <c r="A312" s="21" t="s">
        <v>377</v>
      </c>
      <c r="B312" s="21" t="s">
        <v>470</v>
      </c>
      <c r="C312" s="21" t="s">
        <v>473</v>
      </c>
      <c r="D312" s="37" t="n">
        <f aca="false">ROUND(Q312*R312,0)</f>
        <v>162</v>
      </c>
      <c r="E312" s="37" t="n">
        <f aca="false">ROUND(Q312,0)-D312</f>
        <v>348</v>
      </c>
      <c r="F312" s="37" t="n">
        <f aca="false">IF(COUNTA(D312:E312)=0,"",SUM(D312:E312))</f>
        <v>510</v>
      </c>
      <c r="G312" s="52" t="n">
        <f aca="false">IF(OR(F312="",F312=0),"",D312/F312)</f>
        <v>0.317647058823529</v>
      </c>
      <c r="H312" s="52" t="n">
        <f aca="false">IF(OR(F312="",F312=0),"",E312/F312)</f>
        <v>0.682352941176471</v>
      </c>
      <c r="I312" s="21" t="s">
        <v>122</v>
      </c>
      <c r="J312" s="53" t="n">
        <v>3.02363014511423</v>
      </c>
      <c r="K312" s="52" t="n">
        <f aca="false">IF(G312="","",MAX(0,G312-J312/100))</f>
        <v>0.287410757372387</v>
      </c>
      <c r="L312" s="52" t="n">
        <f aca="false">IF(G312="","",MIN(1,G312+J312/100))</f>
        <v>0.347883360274672</v>
      </c>
      <c r="M312" s="37" t="n">
        <f aca="false">IF(F312="","",ROUND(F312*J312/100,0))</f>
        <v>15</v>
      </c>
      <c r="P312" s="54" t="n">
        <v>-17.5699070574548</v>
      </c>
      <c r="Q312" s="55" t="n">
        <f aca="false">T312*$H$5</f>
        <v>509.948921679909</v>
      </c>
      <c r="R312" s="56" t="n">
        <f aca="false">MAX(0,MIN(1,P312/100+$D$5))</f>
        <v>0.317804164314341</v>
      </c>
      <c r="S312" s="57" t="s">
        <v>123</v>
      </c>
      <c r="T312" s="55" t="n">
        <v>509.948921679909</v>
      </c>
    </row>
    <row r="313" customFormat="false" ht="15" hidden="false" customHeight="false" outlineLevel="0" collapsed="false">
      <c r="A313" s="21" t="s">
        <v>377</v>
      </c>
      <c r="B313" s="21" t="s">
        <v>470</v>
      </c>
      <c r="C313" s="21" t="s">
        <v>474</v>
      </c>
      <c r="D313" s="37" t="n">
        <f aca="false">ROUND(Q313*R313,0)</f>
        <v>415</v>
      </c>
      <c r="E313" s="37" t="n">
        <f aca="false">ROUND(Q313,0)-D313</f>
        <v>746</v>
      </c>
      <c r="F313" s="37" t="n">
        <f aca="false">IF(COUNTA(D313:E313)=0,"",SUM(D313:E313))</f>
        <v>1161</v>
      </c>
      <c r="G313" s="52" t="n">
        <f aca="false">IF(OR(F313="",F313=0),"",D313/F313)</f>
        <v>0.357450473729543</v>
      </c>
      <c r="H313" s="52" t="n">
        <f aca="false">IF(OR(F313="",F313=0),"",E313/F313)</f>
        <v>0.642549526270457</v>
      </c>
      <c r="I313" s="21" t="s">
        <v>122</v>
      </c>
      <c r="J313" s="53" t="n">
        <v>1.80877416096373</v>
      </c>
      <c r="K313" s="52" t="n">
        <f aca="false">IF(G313="","",MAX(0,G313-J313/100))</f>
        <v>0.339362732119906</v>
      </c>
      <c r="L313" s="52" t="n">
        <f aca="false">IF(G313="","",MIN(1,G313+J313/100))</f>
        <v>0.375538215339181</v>
      </c>
      <c r="M313" s="37" t="n">
        <f aca="false">IF(F313="","",ROUND(F313*J313/100,0))</f>
        <v>21</v>
      </c>
      <c r="P313" s="54" t="n">
        <v>-13.5949750568714</v>
      </c>
      <c r="Q313" s="55" t="n">
        <f aca="false">T313*$H$5</f>
        <v>1161.2700729927</v>
      </c>
      <c r="R313" s="56" t="n">
        <f aca="false">MAX(0,MIN(1,P313/100+$D$5))</f>
        <v>0.357553484320175</v>
      </c>
      <c r="S313" s="57" t="s">
        <v>132</v>
      </c>
      <c r="T313" s="55" t="n">
        <v>1161.2700729927</v>
      </c>
    </row>
    <row r="314" customFormat="false" ht="15" hidden="false" customHeight="false" outlineLevel="0" collapsed="false">
      <c r="A314" s="21" t="s">
        <v>377</v>
      </c>
      <c r="B314" s="21" t="s">
        <v>470</v>
      </c>
      <c r="C314" s="21" t="s">
        <v>475</v>
      </c>
      <c r="D314" s="37" t="n">
        <f aca="false">ROUND(Q314*R314,0)</f>
        <v>304</v>
      </c>
      <c r="E314" s="37" t="n">
        <f aca="false">ROUND(Q314,0)-D314</f>
        <v>529</v>
      </c>
      <c r="F314" s="37" t="n">
        <f aca="false">IF(COUNTA(D314:E314)=0,"",SUM(D314:E314))</f>
        <v>833</v>
      </c>
      <c r="G314" s="52" t="n">
        <f aca="false">IF(OR(F314="",F314=0),"",D314/F314)</f>
        <v>0.364945978391357</v>
      </c>
      <c r="H314" s="52" t="n">
        <f aca="false">IF(OR(F314="",F314=0),"",E314/F314)</f>
        <v>0.635054021608643</v>
      </c>
      <c r="I314" s="21" t="s">
        <v>122</v>
      </c>
      <c r="J314" s="53" t="n">
        <v>1.80877416096373</v>
      </c>
      <c r="K314" s="52" t="n">
        <f aca="false">IF(G314="","",MAX(0,G314-J314/100))</f>
        <v>0.346858236781719</v>
      </c>
      <c r="L314" s="52" t="n">
        <f aca="false">IF(G314="","",MIN(1,G314+J314/100))</f>
        <v>0.383033720000994</v>
      </c>
      <c r="M314" s="37" t="n">
        <f aca="false">IF(F314="","",ROUND(F314*J314/100,0))</f>
        <v>15</v>
      </c>
      <c r="P314" s="54" t="n">
        <v>-12.9016709896852</v>
      </c>
      <c r="Q314" s="55" t="n">
        <f aca="false">T314*$H$5</f>
        <v>833.484320557492</v>
      </c>
      <c r="R314" s="56" t="n">
        <f aca="false">MAX(0,MIN(1,P314/100+$D$5))</f>
        <v>0.364486524992036</v>
      </c>
      <c r="S314" s="57" t="s">
        <v>132</v>
      </c>
      <c r="T314" s="55" t="n">
        <v>833.484320557492</v>
      </c>
    </row>
    <row r="315" customFormat="false" ht="15" hidden="false" customHeight="false" outlineLevel="0" collapsed="false">
      <c r="A315" s="21" t="s">
        <v>377</v>
      </c>
      <c r="B315" s="21" t="s">
        <v>476</v>
      </c>
      <c r="C315" s="21" t="s">
        <v>477</v>
      </c>
      <c r="D315" s="37" t="n">
        <f aca="false">ROUND(Q315*R315,0)</f>
        <v>172</v>
      </c>
      <c r="E315" s="37" t="n">
        <f aca="false">ROUND(Q315,0)-D315</f>
        <v>303</v>
      </c>
      <c r="F315" s="37" t="n">
        <f aca="false">IF(COUNTA(D315:E315)=0,"",SUM(D315:E315))</f>
        <v>475</v>
      </c>
      <c r="G315" s="52" t="n">
        <f aca="false">IF(OR(F315="",F315=0),"",D315/F315)</f>
        <v>0.362105263157895</v>
      </c>
      <c r="H315" s="52" t="n">
        <f aca="false">IF(OR(F315="",F315=0),"",E315/F315)</f>
        <v>0.637894736842105</v>
      </c>
      <c r="I315" s="21" t="s">
        <v>122</v>
      </c>
      <c r="J315" s="53" t="n">
        <v>3.02363014511423</v>
      </c>
      <c r="K315" s="52" t="n">
        <f aca="false">IF(G315="","",MAX(0,G315-J315/100))</f>
        <v>0.331868961706752</v>
      </c>
      <c r="L315" s="52" t="n">
        <f aca="false">IF(G315="","",MIN(1,G315+J315/100))</f>
        <v>0.392341564609037</v>
      </c>
      <c r="M315" s="37" t="n">
        <f aca="false">IF(F315="","",ROUND(F315*J315/100,0))</f>
        <v>14</v>
      </c>
      <c r="P315" s="54" t="n">
        <v>-13.0711746214063</v>
      </c>
      <c r="Q315" s="55" t="n">
        <f aca="false">T315*$H$5</f>
        <v>474.666666666667</v>
      </c>
      <c r="R315" s="56" t="n">
        <f aca="false">MAX(0,MIN(1,P315/100+$D$5))</f>
        <v>0.362791488674825</v>
      </c>
      <c r="S315" s="57" t="s">
        <v>123</v>
      </c>
      <c r="T315" s="55" t="n">
        <v>474.666666666667</v>
      </c>
    </row>
    <row r="316" customFormat="false" ht="15" hidden="false" customHeight="false" outlineLevel="0" collapsed="false">
      <c r="A316" s="21" t="s">
        <v>377</v>
      </c>
      <c r="B316" s="21" t="s">
        <v>476</v>
      </c>
      <c r="C316" s="21" t="s">
        <v>478</v>
      </c>
      <c r="D316" s="37" t="n">
        <f aca="false">ROUND(Q316*R316,0)</f>
        <v>300</v>
      </c>
      <c r="E316" s="37" t="n">
        <f aca="false">ROUND(Q316,0)-D316</f>
        <v>584</v>
      </c>
      <c r="F316" s="37" t="n">
        <f aca="false">IF(COUNTA(D316:E316)=0,"",SUM(D316:E316))</f>
        <v>884</v>
      </c>
      <c r="G316" s="52" t="n">
        <f aca="false">IF(OR(F316="",F316=0),"",D316/F316)</f>
        <v>0.339366515837104</v>
      </c>
      <c r="H316" s="52" t="n">
        <f aca="false">IF(OR(F316="",F316=0),"",E316/F316)</f>
        <v>0.660633484162896</v>
      </c>
      <c r="I316" s="21" t="s">
        <v>122</v>
      </c>
      <c r="J316" s="53" t="n">
        <v>1.80877416096373</v>
      </c>
      <c r="K316" s="52" t="n">
        <f aca="false">IF(G316="","",MAX(0,G316-J316/100))</f>
        <v>0.321278774227467</v>
      </c>
      <c r="L316" s="52" t="n">
        <f aca="false">IF(G316="","",MIN(1,G316+J316/100))</f>
        <v>0.357454257446741</v>
      </c>
      <c r="M316" s="37" t="n">
        <f aca="false">IF(F316="","",ROUND(F316*J316/100,0))</f>
        <v>16</v>
      </c>
      <c r="P316" s="54" t="n">
        <v>-15.39825863594</v>
      </c>
      <c r="Q316" s="55" t="n">
        <f aca="false">T316*$H$5</f>
        <v>884.185372918175</v>
      </c>
      <c r="R316" s="56" t="n">
        <f aca="false">MAX(0,MIN(1,P316/100+$D$5))</f>
        <v>0.339520648529489</v>
      </c>
      <c r="S316" s="57" t="s">
        <v>132</v>
      </c>
      <c r="T316" s="55" t="n">
        <v>884.185372918175</v>
      </c>
    </row>
    <row r="317" customFormat="false" ht="15" hidden="false" customHeight="false" outlineLevel="0" collapsed="false">
      <c r="A317" s="21" t="s">
        <v>377</v>
      </c>
      <c r="B317" s="21" t="s">
        <v>479</v>
      </c>
      <c r="C317" s="21" t="s">
        <v>480</v>
      </c>
      <c r="D317" s="37" t="n">
        <f aca="false">ROUND(Q317*R317,0)</f>
        <v>37</v>
      </c>
      <c r="E317" s="37" t="n">
        <f aca="false">ROUND(Q317,0)-D317</f>
        <v>51</v>
      </c>
      <c r="F317" s="37" t="n">
        <f aca="false">IF(COUNTA(D317:E317)=0,"",SUM(D317:E317))</f>
        <v>88</v>
      </c>
      <c r="G317" s="52" t="n">
        <f aca="false">IF(OR(F317="",F317=0),"",D317/F317)</f>
        <v>0.420454545454545</v>
      </c>
      <c r="H317" s="52" t="n">
        <f aca="false">IF(OR(F317="",F317=0),"",E317/F317)</f>
        <v>0.579545454545455</v>
      </c>
      <c r="I317" s="21" t="s">
        <v>223</v>
      </c>
      <c r="J317" s="53" t="n">
        <v>3.02363014511423</v>
      </c>
      <c r="K317" s="52" t="n">
        <f aca="false">IF(G317="","",MAX(0,G317-J317/100))</f>
        <v>0.390218244003403</v>
      </c>
      <c r="L317" s="52" t="n">
        <f aca="false">IF(G317="","",MIN(1,G317+J317/100))</f>
        <v>0.450690846905688</v>
      </c>
      <c r="M317" s="37" t="n">
        <f aca="false">IF(F317="","",ROUND(F317*J317/100,0))</f>
        <v>3</v>
      </c>
      <c r="P317" s="54" t="n">
        <v>-6.76582485370725</v>
      </c>
      <c r="Q317" s="55" t="n">
        <f aca="false">T317*$H$5</f>
        <v>87.7428325123506</v>
      </c>
      <c r="R317" s="56" t="n">
        <f aca="false">MAX(0,MIN(1,P317/100+$D$5))</f>
        <v>0.425844986351816</v>
      </c>
      <c r="S317" s="57" t="s">
        <v>123</v>
      </c>
      <c r="T317" s="55" t="n">
        <v>87.7428325123506</v>
      </c>
    </row>
    <row r="318" customFormat="false" ht="15" hidden="false" customHeight="false" outlineLevel="0" collapsed="false">
      <c r="A318" s="21" t="s">
        <v>377</v>
      </c>
      <c r="B318" s="21" t="s">
        <v>479</v>
      </c>
      <c r="C318" s="21" t="s">
        <v>481</v>
      </c>
      <c r="D318" s="37" t="n">
        <f aca="false">ROUND(Q318*R318,0)</f>
        <v>552</v>
      </c>
      <c r="E318" s="37" t="n">
        <f aca="false">ROUND(Q318,0)-D318</f>
        <v>595</v>
      </c>
      <c r="F318" s="37" t="n">
        <f aca="false">IF(COUNTA(D318:E318)=0,"",SUM(D318:E318))</f>
        <v>1147</v>
      </c>
      <c r="G318" s="52" t="n">
        <f aca="false">IF(OR(F318="",F318=0),"",D318/F318)</f>
        <v>0.481255448997385</v>
      </c>
      <c r="H318" s="52" t="n">
        <f aca="false">IF(OR(F318="",F318=0),"",E318/F318)</f>
        <v>0.518744551002616</v>
      </c>
      <c r="I318" s="21" t="s">
        <v>223</v>
      </c>
      <c r="J318" s="53" t="n">
        <v>1.80877416096373</v>
      </c>
      <c r="K318" s="52" t="n">
        <f aca="false">IF(G318="","",MAX(0,G318-J318/100))</f>
        <v>0.463167707387747</v>
      </c>
      <c r="L318" s="52" t="n">
        <f aca="false">IF(G318="","",MIN(1,G318+J318/100))</f>
        <v>0.499343190607022</v>
      </c>
      <c r="M318" s="37" t="n">
        <f aca="false">IF(F318="","",ROUND(F318*J318/100,0))</f>
        <v>21</v>
      </c>
      <c r="P318" s="54" t="n">
        <v>-1.22709993784506</v>
      </c>
      <c r="Q318" s="55" t="n">
        <f aca="false">T318*$H$5</f>
        <v>1146.70056333032</v>
      </c>
      <c r="R318" s="56" t="n">
        <f aca="false">MAX(0,MIN(1,P318/100+$D$5))</f>
        <v>0.481232235510438</v>
      </c>
      <c r="S318" s="57" t="s">
        <v>132</v>
      </c>
      <c r="T318" s="55" t="n">
        <v>1146.70056333032</v>
      </c>
    </row>
    <row r="319" customFormat="false" ht="15" hidden="false" customHeight="false" outlineLevel="0" collapsed="false">
      <c r="A319" s="21" t="s">
        <v>377</v>
      </c>
      <c r="B319" s="21" t="s">
        <v>479</v>
      </c>
      <c r="C319" s="21" t="s">
        <v>482</v>
      </c>
      <c r="D319" s="37" t="n">
        <f aca="false">ROUND(Q319*R319,0)</f>
        <v>433</v>
      </c>
      <c r="E319" s="37" t="n">
        <f aca="false">ROUND(Q319,0)-D319</f>
        <v>541</v>
      </c>
      <c r="F319" s="37" t="n">
        <f aca="false">IF(COUNTA(D319:E319)=0,"",SUM(D319:E319))</f>
        <v>974</v>
      </c>
      <c r="G319" s="52" t="n">
        <f aca="false">IF(OR(F319="",F319=0),"",D319/F319)</f>
        <v>0.444558521560575</v>
      </c>
      <c r="H319" s="52" t="n">
        <f aca="false">IF(OR(F319="",F319=0),"",E319/F319)</f>
        <v>0.555441478439425</v>
      </c>
      <c r="I319" s="21" t="s">
        <v>122</v>
      </c>
      <c r="J319" s="53" t="n">
        <v>1.80877416096373</v>
      </c>
      <c r="K319" s="52" t="n">
        <f aca="false">IF(G319="","",MAX(0,G319-J319/100))</f>
        <v>0.426470779950938</v>
      </c>
      <c r="L319" s="52" t="n">
        <f aca="false">IF(G319="","",MIN(1,G319+J319/100))</f>
        <v>0.462646263170212</v>
      </c>
      <c r="M319" s="37" t="n">
        <f aca="false">IF(F319="","",ROUND(F319*J319/100,0))</f>
        <v>18</v>
      </c>
      <c r="P319" s="54" t="n">
        <v>-4.88764340613502</v>
      </c>
      <c r="Q319" s="55" t="n">
        <f aca="false">T319*$H$5</f>
        <v>973.779572994807</v>
      </c>
      <c r="R319" s="56" t="n">
        <f aca="false">MAX(0,MIN(1,P319/100+$D$5))</f>
        <v>0.444626800827538</v>
      </c>
      <c r="S319" s="57" t="s">
        <v>132</v>
      </c>
      <c r="T319" s="55" t="n">
        <v>973.779572994807</v>
      </c>
    </row>
    <row r="320" customFormat="false" ht="15" hidden="false" customHeight="false" outlineLevel="0" collapsed="false">
      <c r="A320" s="21" t="s">
        <v>377</v>
      </c>
      <c r="B320" s="21" t="s">
        <v>479</v>
      </c>
      <c r="C320" s="21" t="s">
        <v>483</v>
      </c>
      <c r="D320" s="37" t="n">
        <f aca="false">ROUND(Q320*R320,0)</f>
        <v>513</v>
      </c>
      <c r="E320" s="37" t="n">
        <f aca="false">ROUND(Q320,0)-D320</f>
        <v>621</v>
      </c>
      <c r="F320" s="37" t="n">
        <f aca="false">IF(COUNTA(D320:E320)=0,"",SUM(D320:E320))</f>
        <v>1134</v>
      </c>
      <c r="G320" s="52" t="n">
        <f aca="false">IF(OR(F320="",F320=0),"",D320/F320)</f>
        <v>0.452380952380952</v>
      </c>
      <c r="H320" s="52" t="n">
        <f aca="false">IF(OR(F320="",F320=0),"",E320/F320)</f>
        <v>0.547619047619048</v>
      </c>
      <c r="I320" s="21" t="s">
        <v>223</v>
      </c>
      <c r="J320" s="53" t="n">
        <v>1.80877416096373</v>
      </c>
      <c r="K320" s="52" t="n">
        <f aca="false">IF(G320="","",MAX(0,G320-J320/100))</f>
        <v>0.434293210771315</v>
      </c>
      <c r="L320" s="52" t="n">
        <f aca="false">IF(G320="","",MIN(1,G320+J320/100))</f>
        <v>0.47046869399059</v>
      </c>
      <c r="M320" s="37" t="n">
        <f aca="false">IF(F320="","",ROUND(F320*J320/100,0))</f>
        <v>21</v>
      </c>
      <c r="P320" s="54" t="n">
        <v>-4.12909149259881</v>
      </c>
      <c r="Q320" s="55" t="n">
        <f aca="false">T320*$H$5</f>
        <v>1133.54529874144</v>
      </c>
      <c r="R320" s="56" t="n">
        <f aca="false">MAX(0,MIN(1,P320/100+$D$5))</f>
        <v>0.4522123199629</v>
      </c>
      <c r="S320" s="57" t="s">
        <v>132</v>
      </c>
      <c r="T320" s="55" t="n">
        <v>1133.54529874144</v>
      </c>
    </row>
    <row r="321" customFormat="false" ht="15" hidden="false" customHeight="false" outlineLevel="0" collapsed="false">
      <c r="A321" s="21" t="s">
        <v>377</v>
      </c>
      <c r="B321" s="21" t="s">
        <v>484</v>
      </c>
      <c r="C321" s="21" t="s">
        <v>485</v>
      </c>
      <c r="D321" s="37" t="n">
        <f aca="false">ROUND(Q321*R321,0)</f>
        <v>495</v>
      </c>
      <c r="E321" s="37" t="n">
        <f aca="false">ROUND(Q321,0)-D321</f>
        <v>445</v>
      </c>
      <c r="F321" s="37" t="n">
        <f aca="false">IF(COUNTA(D321:E321)=0,"",SUM(D321:E321))</f>
        <v>940</v>
      </c>
      <c r="G321" s="52" t="n">
        <f aca="false">IF(OR(F321="",F321=0),"",D321/F321)</f>
        <v>0.526595744680851</v>
      </c>
      <c r="H321" s="52" t="n">
        <f aca="false">IF(OR(F321="",F321=0),"",E321/F321)</f>
        <v>0.473404255319149</v>
      </c>
      <c r="I321" s="21" t="s">
        <v>122</v>
      </c>
      <c r="J321" s="53" t="n">
        <v>1.80877416096373</v>
      </c>
      <c r="K321" s="52" t="n">
        <f aca="false">IF(G321="","",MAX(0,G321-J321/100))</f>
        <v>0.508508003071214</v>
      </c>
      <c r="L321" s="52" t="n">
        <f aca="false">IF(G321="","",MIN(1,G321+J321/100))</f>
        <v>0.544683486290488</v>
      </c>
      <c r="M321" s="37" t="n">
        <f aca="false">IF(F321="","",ROUND(F321*J321/100,0))</f>
        <v>17</v>
      </c>
      <c r="P321" s="54" t="n">
        <v>3.36066783862123</v>
      </c>
      <c r="Q321" s="55" t="n">
        <f aca="false">T321*$H$5</f>
        <v>939.568965517241</v>
      </c>
      <c r="R321" s="56" t="n">
        <f aca="false">MAX(0,MIN(1,P321/100+$D$5))</f>
        <v>0.527109913275101</v>
      </c>
      <c r="S321" s="57" t="s">
        <v>132</v>
      </c>
      <c r="T321" s="55" t="n">
        <v>939.568965517241</v>
      </c>
    </row>
    <row r="322" customFormat="false" ht="15" hidden="false" customHeight="false" outlineLevel="0" collapsed="false">
      <c r="A322" s="21" t="s">
        <v>377</v>
      </c>
      <c r="B322" s="21" t="s">
        <v>484</v>
      </c>
      <c r="C322" s="21" t="s">
        <v>486</v>
      </c>
      <c r="D322" s="37" t="n">
        <f aca="false">ROUND(Q322*R322,0)</f>
        <v>531</v>
      </c>
      <c r="E322" s="37" t="n">
        <f aca="false">ROUND(Q322,0)-D322</f>
        <v>672</v>
      </c>
      <c r="F322" s="37" t="n">
        <f aca="false">IF(COUNTA(D322:E322)=0,"",SUM(D322:E322))</f>
        <v>1203</v>
      </c>
      <c r="G322" s="52" t="n">
        <f aca="false">IF(OR(F322="",F322=0),"",D322/F322)</f>
        <v>0.44139650872818</v>
      </c>
      <c r="H322" s="52" t="n">
        <f aca="false">IF(OR(F322="",F322=0),"",E322/F322)</f>
        <v>0.55860349127182</v>
      </c>
      <c r="I322" s="21" t="s">
        <v>122</v>
      </c>
      <c r="J322" s="53" t="n">
        <v>1.24981746705324</v>
      </c>
      <c r="K322" s="52" t="n">
        <f aca="false">IF(G322="","",MAX(0,G322-J322/100))</f>
        <v>0.428898334057647</v>
      </c>
      <c r="L322" s="52" t="n">
        <f aca="false">IF(G322="","",MIN(1,G322+J322/100))</f>
        <v>0.453894683398712</v>
      </c>
      <c r="M322" s="37" t="n">
        <f aca="false">IF(F322="","",ROUND(F322*J322/100,0))</f>
        <v>15</v>
      </c>
      <c r="P322" s="54" t="n">
        <v>-5.16892999016893</v>
      </c>
      <c r="Q322" s="55" t="n">
        <f aca="false">T322*$H$5</f>
        <v>1202.75915948276</v>
      </c>
      <c r="R322" s="56" t="n">
        <f aca="false">MAX(0,MIN(1,P322/100+$D$5))</f>
        <v>0.441813934987199</v>
      </c>
      <c r="S322" s="57" t="s">
        <v>225</v>
      </c>
      <c r="T322" s="55" t="n">
        <v>1202.75915948276</v>
      </c>
    </row>
    <row r="323" customFormat="false" ht="15" hidden="false" customHeight="false" outlineLevel="0" collapsed="false">
      <c r="A323" s="21" t="s">
        <v>377</v>
      </c>
      <c r="B323" s="21" t="s">
        <v>484</v>
      </c>
      <c r="C323" s="21" t="s">
        <v>487</v>
      </c>
      <c r="D323" s="37" t="n">
        <f aca="false">ROUND(Q323*R323,0)</f>
        <v>577</v>
      </c>
      <c r="E323" s="37" t="n">
        <f aca="false">ROUND(Q323,0)-D323</f>
        <v>808</v>
      </c>
      <c r="F323" s="37" t="n">
        <f aca="false">IF(COUNTA(D323:E323)=0,"",SUM(D323:E323))</f>
        <v>1385</v>
      </c>
      <c r="G323" s="52" t="n">
        <f aca="false">IF(OR(F323="",F323=0),"",D323/F323)</f>
        <v>0.416606498194946</v>
      </c>
      <c r="H323" s="52" t="n">
        <f aca="false">IF(OR(F323="",F323=0),"",E323/F323)</f>
        <v>0.583393501805054</v>
      </c>
      <c r="I323" s="21" t="s">
        <v>223</v>
      </c>
      <c r="J323" s="53" t="n">
        <v>1.24981746705324</v>
      </c>
      <c r="K323" s="52" t="n">
        <f aca="false">IF(G323="","",MAX(0,G323-J323/100))</f>
        <v>0.404108323524413</v>
      </c>
      <c r="L323" s="52" t="n">
        <f aca="false">IF(G323="","",MIN(1,G323+J323/100))</f>
        <v>0.429104672865478</v>
      </c>
      <c r="M323" s="37" t="n">
        <f aca="false">IF(F323="","",ROUND(F323*J323/100,0))</f>
        <v>17</v>
      </c>
      <c r="P323" s="54" t="n">
        <v>-7.67171117175872</v>
      </c>
      <c r="Q323" s="55" t="n">
        <f aca="false">T323*$H$5</f>
        <v>1385.41170521152</v>
      </c>
      <c r="R323" s="56" t="n">
        <f aca="false">MAX(0,MIN(1,P323/100+$D$5))</f>
        <v>0.416786123171301</v>
      </c>
      <c r="S323" s="57" t="s">
        <v>225</v>
      </c>
      <c r="T323" s="55" t="n">
        <v>1385.41170521152</v>
      </c>
    </row>
    <row r="324" customFormat="false" ht="15" hidden="false" customHeight="false" outlineLevel="0" collapsed="false">
      <c r="A324" s="21" t="s">
        <v>377</v>
      </c>
      <c r="B324" s="21" t="s">
        <v>484</v>
      </c>
      <c r="C324" s="21" t="s">
        <v>488</v>
      </c>
      <c r="D324" s="37" t="n">
        <f aca="false">ROUND(Q324*R324,0)</f>
        <v>379</v>
      </c>
      <c r="E324" s="37" t="n">
        <f aca="false">ROUND(Q324,0)-D324</f>
        <v>348</v>
      </c>
      <c r="F324" s="37" t="n">
        <f aca="false">IF(COUNTA(D324:E324)=0,"",SUM(D324:E324))</f>
        <v>727</v>
      </c>
      <c r="G324" s="52" t="n">
        <f aca="false">IF(OR(F324="",F324=0),"",D324/F324)</f>
        <v>0.521320495185695</v>
      </c>
      <c r="H324" s="52" t="n">
        <f aca="false">IF(OR(F324="",F324=0),"",E324/F324)</f>
        <v>0.478679504814305</v>
      </c>
      <c r="I324" s="21" t="s">
        <v>122</v>
      </c>
      <c r="J324" s="53" t="n">
        <v>3.02363014511423</v>
      </c>
      <c r="K324" s="52" t="n">
        <f aca="false">IF(G324="","",MAX(0,G324-J324/100))</f>
        <v>0.491084193734552</v>
      </c>
      <c r="L324" s="52" t="n">
        <f aca="false">IF(G324="","",MIN(1,G324+J324/100))</f>
        <v>0.551556796636837</v>
      </c>
      <c r="M324" s="37" t="n">
        <f aca="false">IF(F324="","",ROUND(F324*J324/100,0))</f>
        <v>22</v>
      </c>
      <c r="P324" s="54" t="n">
        <v>2.73436513050123</v>
      </c>
      <c r="Q324" s="55" t="n">
        <f aca="false">T324*$H$5</f>
        <v>727.410579345088</v>
      </c>
      <c r="R324" s="56" t="n">
        <f aca="false">MAX(0,MIN(1,P324/100+$D$5))</f>
        <v>0.520846886193901</v>
      </c>
      <c r="S324" s="57" t="s">
        <v>123</v>
      </c>
      <c r="T324" s="55" t="n">
        <v>727.410579345088</v>
      </c>
    </row>
    <row r="325" customFormat="false" ht="15" hidden="false" customHeight="false" outlineLevel="0" collapsed="false">
      <c r="A325" s="21" t="s">
        <v>377</v>
      </c>
      <c r="B325" s="21" t="s">
        <v>484</v>
      </c>
      <c r="C325" s="21" t="s">
        <v>489</v>
      </c>
      <c r="D325" s="37" t="n">
        <f aca="false">ROUND(Q325*R325,0)</f>
        <v>361</v>
      </c>
      <c r="E325" s="37" t="n">
        <f aca="false">ROUND(Q325,0)-D325</f>
        <v>485</v>
      </c>
      <c r="F325" s="37" t="n">
        <f aca="false">IF(COUNTA(D325:E325)=0,"",SUM(D325:E325))</f>
        <v>846</v>
      </c>
      <c r="G325" s="52" t="n">
        <f aca="false">IF(OR(F325="",F325=0),"",D325/F325)</f>
        <v>0.426713947990544</v>
      </c>
      <c r="H325" s="52" t="n">
        <f aca="false">IF(OR(F325="",F325=0),"",E325/F325)</f>
        <v>0.573286052009456</v>
      </c>
      <c r="I325" s="21" t="s">
        <v>122</v>
      </c>
      <c r="J325" s="53" t="n">
        <v>1.80877416096373</v>
      </c>
      <c r="K325" s="52" t="n">
        <f aca="false">IF(G325="","",MAX(0,G325-J325/100))</f>
        <v>0.408626206380906</v>
      </c>
      <c r="L325" s="52" t="n">
        <f aca="false">IF(G325="","",MIN(1,G325+J325/100))</f>
        <v>0.444801689600181</v>
      </c>
      <c r="M325" s="37" t="n">
        <f aca="false">IF(F325="","",ROUND(F325*J325/100,0))</f>
        <v>15</v>
      </c>
      <c r="P325" s="54" t="n">
        <v>-6.70820295966384</v>
      </c>
      <c r="Q325" s="55" t="n">
        <f aca="false">T325*$H$5</f>
        <v>845.732235701906</v>
      </c>
      <c r="R325" s="56" t="n">
        <f aca="false">MAX(0,MIN(1,P325/100+$D$5))</f>
        <v>0.42642120529225</v>
      </c>
      <c r="S325" s="57" t="s">
        <v>132</v>
      </c>
      <c r="T325" s="55" t="n">
        <v>845.732235701906</v>
      </c>
    </row>
    <row r="326" customFormat="false" ht="15" hidden="false" customHeight="false" outlineLevel="0" collapsed="false">
      <c r="A326" s="21" t="s">
        <v>377</v>
      </c>
      <c r="B326" s="21" t="s">
        <v>484</v>
      </c>
      <c r="C326" s="21" t="s">
        <v>490</v>
      </c>
      <c r="D326" s="37" t="n">
        <f aca="false">ROUND(Q326*R326,0)</f>
        <v>1651</v>
      </c>
      <c r="E326" s="37" t="n">
        <f aca="false">ROUND(Q326,0)-D326</f>
        <v>1843</v>
      </c>
      <c r="F326" s="37" t="n">
        <f aca="false">IF(COUNTA(D326:E326)=0,"",SUM(D326:E326))</f>
        <v>3494</v>
      </c>
      <c r="G326" s="52" t="n">
        <f aca="false">IF(OR(F326="",F326=0),"",D326/F326)</f>
        <v>0.472524327418432</v>
      </c>
      <c r="H326" s="52" t="n">
        <f aca="false">IF(OR(F326="",F326=0),"",E326/F326)</f>
        <v>0.527475672581568</v>
      </c>
      <c r="I326" s="21" t="s">
        <v>223</v>
      </c>
      <c r="J326" s="53" t="n">
        <v>1.24981746705324</v>
      </c>
      <c r="K326" s="52" t="n">
        <f aca="false">IF(G326="","",MAX(0,G326-J326/100))</f>
        <v>0.460026152747899</v>
      </c>
      <c r="L326" s="52" t="n">
        <f aca="false">IF(G326="","",MIN(1,G326+J326/100))</f>
        <v>0.485022502088964</v>
      </c>
      <c r="M326" s="37" t="n">
        <f aca="false">IF(F326="","",ROUND(F326*J326/100,0))</f>
        <v>44</v>
      </c>
      <c r="P326" s="54" t="n">
        <v>-2.08219737163993</v>
      </c>
      <c r="Q326" s="55" t="n">
        <f aca="false">T326*$H$5</f>
        <v>3493.82614316946</v>
      </c>
      <c r="R326" s="56" t="n">
        <f aca="false">MAX(0,MIN(1,P326/100+$D$5))</f>
        <v>0.472681261172489</v>
      </c>
      <c r="S326" s="57" t="s">
        <v>225</v>
      </c>
      <c r="T326" s="55" t="n">
        <v>3493.82614316946</v>
      </c>
    </row>
    <row r="327" customFormat="false" ht="15" hidden="false" customHeight="false" outlineLevel="0" collapsed="false">
      <c r="A327" s="21" t="s">
        <v>377</v>
      </c>
      <c r="B327" s="21" t="s">
        <v>491</v>
      </c>
      <c r="C327" s="21" t="s">
        <v>492</v>
      </c>
      <c r="D327" s="37" t="n">
        <f aca="false">ROUND(Q327*R327,0)</f>
        <v>336</v>
      </c>
      <c r="E327" s="37" t="n">
        <f aca="false">ROUND(Q327,0)-D327</f>
        <v>616</v>
      </c>
      <c r="F327" s="37" t="n">
        <f aca="false">IF(COUNTA(D327:E327)=0,"",SUM(D327:E327))</f>
        <v>952</v>
      </c>
      <c r="G327" s="52" t="n">
        <f aca="false">IF(OR(F327="",F327=0),"",D327/F327)</f>
        <v>0.352941176470588</v>
      </c>
      <c r="H327" s="52" t="n">
        <f aca="false">IF(OR(F327="",F327=0),"",E327/F327)</f>
        <v>0.647058823529412</v>
      </c>
      <c r="I327" s="21" t="s">
        <v>122</v>
      </c>
      <c r="J327" s="53" t="n">
        <v>1.80877416096373</v>
      </c>
      <c r="K327" s="52" t="n">
        <f aca="false">IF(G327="","",MAX(0,G327-J327/100))</f>
        <v>0.334853434860951</v>
      </c>
      <c r="L327" s="52" t="n">
        <f aca="false">IF(G327="","",MIN(1,G327+J327/100))</f>
        <v>0.371028918080226</v>
      </c>
      <c r="M327" s="37" t="n">
        <f aca="false">IF(F327="","",ROUND(F327*J327/100,0))</f>
        <v>17</v>
      </c>
      <c r="P327" s="54" t="n">
        <v>-14.0987759294841</v>
      </c>
      <c r="Q327" s="55" t="n">
        <f aca="false">T327*$H$5</f>
        <v>951.894508670521</v>
      </c>
      <c r="R327" s="56" t="n">
        <f aca="false">MAX(0,MIN(1,P327/100+$D$5))</f>
        <v>0.352515475594047</v>
      </c>
      <c r="S327" s="57" t="s">
        <v>132</v>
      </c>
      <c r="T327" s="55" t="n">
        <v>951.894508670521</v>
      </c>
    </row>
    <row r="328" customFormat="false" ht="15" hidden="false" customHeight="false" outlineLevel="0" collapsed="false">
      <c r="A328" s="21" t="s">
        <v>377</v>
      </c>
      <c r="B328" s="21" t="s">
        <v>491</v>
      </c>
      <c r="C328" s="21" t="s">
        <v>493</v>
      </c>
      <c r="D328" s="37" t="n">
        <f aca="false">ROUND(Q328*R328,0)</f>
        <v>665</v>
      </c>
      <c r="E328" s="37" t="n">
        <f aca="false">ROUND(Q328,0)-D328</f>
        <v>1243</v>
      </c>
      <c r="F328" s="37" t="n">
        <f aca="false">IF(COUNTA(D328:E328)=0,"",SUM(D328:E328))</f>
        <v>1908</v>
      </c>
      <c r="G328" s="52" t="n">
        <f aca="false">IF(OR(F328="",F328=0),"",D328/F328)</f>
        <v>0.34853249475891</v>
      </c>
      <c r="H328" s="52" t="n">
        <f aca="false">IF(OR(F328="",F328=0),"",E328/F328)</f>
        <v>0.65146750524109</v>
      </c>
      <c r="I328" s="21" t="s">
        <v>122</v>
      </c>
      <c r="J328" s="53" t="n">
        <v>1.24981746705324</v>
      </c>
      <c r="K328" s="52" t="n">
        <f aca="false">IF(G328="","",MAX(0,G328-J328/100))</f>
        <v>0.336034320088377</v>
      </c>
      <c r="L328" s="52" t="n">
        <f aca="false">IF(G328="","",MIN(1,G328+J328/100))</f>
        <v>0.361030669429442</v>
      </c>
      <c r="M328" s="37" t="n">
        <f aca="false">IF(F328="","",ROUND(F328*J328/100,0))</f>
        <v>24</v>
      </c>
      <c r="P328" s="54" t="n">
        <v>-14.5136984355173</v>
      </c>
      <c r="Q328" s="55" t="n">
        <f aca="false">T328*$H$5</f>
        <v>1907.80833039181</v>
      </c>
      <c r="R328" s="56" t="n">
        <f aca="false">MAX(0,MIN(1,P328/100+$D$5))</f>
        <v>0.348366250533715</v>
      </c>
      <c r="S328" s="57" t="s">
        <v>225</v>
      </c>
      <c r="T328" s="55" t="n">
        <v>1907.80833039181</v>
      </c>
    </row>
    <row r="329" customFormat="false" ht="15" hidden="false" customHeight="false" outlineLevel="0" collapsed="false">
      <c r="A329" s="21" t="s">
        <v>377</v>
      </c>
      <c r="B329" s="21" t="s">
        <v>491</v>
      </c>
      <c r="C329" s="21" t="s">
        <v>494</v>
      </c>
      <c r="D329" s="37" t="n">
        <f aca="false">ROUND(Q329*R329,0)</f>
        <v>441</v>
      </c>
      <c r="E329" s="37" t="n">
        <f aca="false">ROUND(Q329,0)-D329</f>
        <v>906</v>
      </c>
      <c r="F329" s="37" t="n">
        <f aca="false">IF(COUNTA(D329:E329)=0,"",SUM(D329:E329))</f>
        <v>1347</v>
      </c>
      <c r="G329" s="52" t="n">
        <f aca="false">IF(OR(F329="",F329=0),"",D329/F329)</f>
        <v>0.32739420935412</v>
      </c>
      <c r="H329" s="52" t="n">
        <f aca="false">IF(OR(F329="",F329=0),"",E329/F329)</f>
        <v>0.67260579064588</v>
      </c>
      <c r="I329" s="21" t="s">
        <v>122</v>
      </c>
      <c r="J329" s="53" t="n">
        <v>1.24981746705324</v>
      </c>
      <c r="K329" s="52" t="n">
        <f aca="false">IF(G329="","",MAX(0,G329-J329/100))</f>
        <v>0.314896034683588</v>
      </c>
      <c r="L329" s="52" t="n">
        <f aca="false">IF(G329="","",MIN(1,G329+J329/100))</f>
        <v>0.339892384024653</v>
      </c>
      <c r="M329" s="37" t="n">
        <f aca="false">IF(F329="","",ROUND(F329*J329/100,0))</f>
        <v>17</v>
      </c>
      <c r="P329" s="54" t="n">
        <v>-16.5829276411226</v>
      </c>
      <c r="Q329" s="55" t="n">
        <f aca="false">T329*$H$5</f>
        <v>1347</v>
      </c>
      <c r="R329" s="56" t="n">
        <f aca="false">MAX(0,MIN(1,P329/100+$D$5))</f>
        <v>0.327673958477662</v>
      </c>
      <c r="S329" s="57" t="s">
        <v>225</v>
      </c>
      <c r="T329" s="55" t="n">
        <v>1347</v>
      </c>
    </row>
    <row r="330" customFormat="false" ht="15" hidden="false" customHeight="false" outlineLevel="0" collapsed="false">
      <c r="A330" s="21" t="s">
        <v>377</v>
      </c>
      <c r="B330" s="21" t="s">
        <v>491</v>
      </c>
      <c r="C330" s="21" t="s">
        <v>495</v>
      </c>
      <c r="D330" s="37" t="n">
        <f aca="false">ROUND(Q330*R330,0)</f>
        <v>211</v>
      </c>
      <c r="E330" s="37" t="n">
        <f aca="false">ROUND(Q330,0)-D330</f>
        <v>429</v>
      </c>
      <c r="F330" s="37" t="n">
        <f aca="false">IF(COUNTA(D330:E330)=0,"",SUM(D330:E330))</f>
        <v>640</v>
      </c>
      <c r="G330" s="52" t="n">
        <f aca="false">IF(OR(F330="",F330=0),"",D330/F330)</f>
        <v>0.3296875</v>
      </c>
      <c r="H330" s="52" t="n">
        <f aca="false">IF(OR(F330="",F330=0),"",E330/F330)</f>
        <v>0.6703125</v>
      </c>
      <c r="I330" s="21" t="s">
        <v>122</v>
      </c>
      <c r="J330" s="53" t="n">
        <v>3.02363014511423</v>
      </c>
      <c r="K330" s="52" t="n">
        <f aca="false">IF(G330="","",MAX(0,G330-J330/100))</f>
        <v>0.299451198548858</v>
      </c>
      <c r="L330" s="52" t="n">
        <f aca="false">IF(G330="","",MIN(1,G330+J330/100))</f>
        <v>0.359923801451142</v>
      </c>
      <c r="M330" s="37" t="n">
        <f aca="false">IF(F330="","",ROUND(F330*J330/100,0))</f>
        <v>19</v>
      </c>
      <c r="P330" s="54" t="n">
        <v>-16.4342352472022</v>
      </c>
      <c r="Q330" s="55" t="n">
        <f aca="false">T330*$H$5</f>
        <v>640.169811320755</v>
      </c>
      <c r="R330" s="56" t="n">
        <f aca="false">MAX(0,MIN(1,P330/100+$D$5))</f>
        <v>0.329160882416866</v>
      </c>
      <c r="S330" s="57" t="s">
        <v>123</v>
      </c>
      <c r="T330" s="55" t="n">
        <v>640.169811320755</v>
      </c>
    </row>
    <row r="331" customFormat="false" ht="15" hidden="false" customHeight="false" outlineLevel="0" collapsed="false">
      <c r="A331" s="21" t="s">
        <v>377</v>
      </c>
      <c r="B331" s="21" t="s">
        <v>496</v>
      </c>
      <c r="C331" s="21" t="s">
        <v>497</v>
      </c>
      <c r="D331" s="37" t="n">
        <f aca="false">ROUND(Q331*R331,0)</f>
        <v>498</v>
      </c>
      <c r="E331" s="37" t="n">
        <f aca="false">ROUND(Q331,0)-D331</f>
        <v>480</v>
      </c>
      <c r="F331" s="37" t="n">
        <f aca="false">IF(COUNTA(D331:E331)=0,"",SUM(D331:E331))</f>
        <v>978</v>
      </c>
      <c r="G331" s="52" t="n">
        <f aca="false">IF(OR(F331="",F331=0),"",D331/F331)</f>
        <v>0.50920245398773</v>
      </c>
      <c r="H331" s="52" t="n">
        <f aca="false">IF(OR(F331="",F331=0),"",E331/F331)</f>
        <v>0.49079754601227</v>
      </c>
      <c r="I331" s="21" t="s">
        <v>122</v>
      </c>
      <c r="J331" s="53" t="n">
        <v>1.80877416096373</v>
      </c>
      <c r="K331" s="52" t="n">
        <f aca="false">IF(G331="","",MAX(0,G331-J331/100))</f>
        <v>0.491114712378093</v>
      </c>
      <c r="L331" s="52" t="n">
        <f aca="false">IF(G331="","",MIN(1,G331+J331/100))</f>
        <v>0.527290195597367</v>
      </c>
      <c r="M331" s="37" t="n">
        <f aca="false">IF(F331="","",ROUND(F331*J331/100,0))</f>
        <v>18</v>
      </c>
      <c r="P331" s="54" t="n">
        <v>1.55650374161447</v>
      </c>
      <c r="Q331" s="55" t="n">
        <f aca="false">T331*$H$5</f>
        <v>978.044260027662</v>
      </c>
      <c r="R331" s="56" t="n">
        <f aca="false">MAX(0,MIN(1,P331/100+$D$5))</f>
        <v>0.509068272305033</v>
      </c>
      <c r="S331" s="57" t="s">
        <v>132</v>
      </c>
      <c r="T331" s="55" t="n">
        <v>978.044260027662</v>
      </c>
    </row>
    <row r="332" customFormat="false" ht="15" hidden="false" customHeight="false" outlineLevel="0" collapsed="false">
      <c r="A332" s="21" t="s">
        <v>377</v>
      </c>
      <c r="B332" s="21" t="s">
        <v>496</v>
      </c>
      <c r="C332" s="21" t="s">
        <v>498</v>
      </c>
      <c r="D332" s="37" t="n">
        <f aca="false">ROUND(Q332*R332,0)</f>
        <v>403</v>
      </c>
      <c r="E332" s="37" t="n">
        <f aca="false">ROUND(Q332,0)-D332</f>
        <v>378</v>
      </c>
      <c r="F332" s="37" t="n">
        <f aca="false">IF(COUNTA(D332:E332)=0,"",SUM(D332:E332))</f>
        <v>781</v>
      </c>
      <c r="G332" s="52" t="n">
        <f aca="false">IF(OR(F332="",F332=0),"",D332/F332)</f>
        <v>0.516005121638924</v>
      </c>
      <c r="H332" s="52" t="n">
        <f aca="false">IF(OR(F332="",F332=0),"",E332/F332)</f>
        <v>0.483994878361076</v>
      </c>
      <c r="I332" s="21" t="s">
        <v>122</v>
      </c>
      <c r="J332" s="53" t="n">
        <v>1.80877416096373</v>
      </c>
      <c r="K332" s="52" t="n">
        <f aca="false">IF(G332="","",MAX(0,G332-J332/100))</f>
        <v>0.497917380029287</v>
      </c>
      <c r="L332" s="52" t="n">
        <f aca="false">IF(G332="","",MIN(1,G332+J332/100))</f>
        <v>0.534092863248562</v>
      </c>
      <c r="M332" s="37" t="n">
        <f aca="false">IF(F332="","",ROUND(F332*J332/100,0))</f>
        <v>14</v>
      </c>
      <c r="P332" s="54" t="n">
        <v>2.30380547506099</v>
      </c>
      <c r="Q332" s="55" t="n">
        <f aca="false">T332*$H$5</f>
        <v>780.745236414961</v>
      </c>
      <c r="R332" s="56" t="n">
        <f aca="false">MAX(0,MIN(1,P332/100+$D$5))</f>
        <v>0.516541289639498</v>
      </c>
      <c r="S332" s="57" t="s">
        <v>132</v>
      </c>
      <c r="T332" s="55" t="n">
        <v>780.745236414961</v>
      </c>
    </row>
    <row r="333" customFormat="false" ht="15" hidden="false" customHeight="false" outlineLevel="0" collapsed="false">
      <c r="A333" s="21" t="s">
        <v>377</v>
      </c>
      <c r="B333" s="21" t="s">
        <v>496</v>
      </c>
      <c r="C333" s="21" t="s">
        <v>499</v>
      </c>
      <c r="D333" s="37" t="n">
        <f aca="false">ROUND(Q333*R333,0)</f>
        <v>377</v>
      </c>
      <c r="E333" s="37" t="n">
        <f aca="false">ROUND(Q333,0)-D333</f>
        <v>380</v>
      </c>
      <c r="F333" s="37" t="n">
        <f aca="false">IF(COUNTA(D333:E333)=0,"",SUM(D333:E333))</f>
        <v>757</v>
      </c>
      <c r="G333" s="52" t="n">
        <f aca="false">IF(OR(F333="",F333=0),"",D333/F333)</f>
        <v>0.498018494055482</v>
      </c>
      <c r="H333" s="52" t="n">
        <f aca="false">IF(OR(F333="",F333=0),"",E333/F333)</f>
        <v>0.501981505944518</v>
      </c>
      <c r="I333" s="21" t="s">
        <v>122</v>
      </c>
      <c r="J333" s="53" t="n">
        <v>3.02363014511423</v>
      </c>
      <c r="K333" s="52" t="n">
        <f aca="false">IF(G333="","",MAX(0,G333-J333/100))</f>
        <v>0.46778219260434</v>
      </c>
      <c r="L333" s="52" t="n">
        <f aca="false">IF(G333="","",MIN(1,G333+J333/100))</f>
        <v>0.528254795506625</v>
      </c>
      <c r="M333" s="37" t="n">
        <f aca="false">IF(F333="","",ROUND(F333*J333/100,0))</f>
        <v>23</v>
      </c>
      <c r="P333" s="54" t="n">
        <v>0.439266222370318</v>
      </c>
      <c r="Q333" s="55" t="n">
        <f aca="false">T333*$H$5</f>
        <v>757.126771653543</v>
      </c>
      <c r="R333" s="56" t="n">
        <f aca="false">MAX(0,MIN(1,P333/100+$D$5))</f>
        <v>0.497895897112591</v>
      </c>
      <c r="S333" s="57" t="s">
        <v>123</v>
      </c>
      <c r="T333" s="55" t="n">
        <v>757.126771653543</v>
      </c>
    </row>
    <row r="334" customFormat="false" ht="15" hidden="false" customHeight="false" outlineLevel="0" collapsed="false">
      <c r="A334" s="21" t="s">
        <v>377</v>
      </c>
      <c r="B334" s="21" t="s">
        <v>500</v>
      </c>
      <c r="C334" s="21" t="s">
        <v>501</v>
      </c>
      <c r="D334" s="37" t="n">
        <f aca="false">ROUND(Q334*R334,0)</f>
        <v>178</v>
      </c>
      <c r="E334" s="37" t="n">
        <f aca="false">ROUND(Q334,0)-D334</f>
        <v>205</v>
      </c>
      <c r="F334" s="37" t="n">
        <f aca="false">IF(COUNTA(D334:E334)=0,"",SUM(D334:E334))</f>
        <v>383</v>
      </c>
      <c r="G334" s="52" t="n">
        <f aca="false">IF(OR(F334="",F334=0),"",D334/F334)</f>
        <v>0.464751958224543</v>
      </c>
      <c r="H334" s="52" t="n">
        <f aca="false">IF(OR(F334="",F334=0),"",E334/F334)</f>
        <v>0.535248041775457</v>
      </c>
      <c r="I334" s="21" t="s">
        <v>122</v>
      </c>
      <c r="J334" s="53" t="n">
        <v>3.02363014511423</v>
      </c>
      <c r="K334" s="52" t="n">
        <f aca="false">IF(G334="","",MAX(0,G334-J334/100))</f>
        <v>0.434515656773401</v>
      </c>
      <c r="L334" s="52" t="n">
        <f aca="false">IF(G334="","",MIN(1,G334+J334/100))</f>
        <v>0.494988259675685</v>
      </c>
      <c r="M334" s="37" t="n">
        <f aca="false">IF(F334="","",ROUND(F334*J334/100,0))</f>
        <v>12</v>
      </c>
      <c r="P334" s="54" t="n">
        <v>-2.93248503991842</v>
      </c>
      <c r="Q334" s="55" t="n">
        <f aca="false">T334*$H$5</f>
        <v>383.103139013453</v>
      </c>
      <c r="R334" s="56" t="n">
        <f aca="false">MAX(0,MIN(1,P334/100+$D$5))</f>
        <v>0.464178384489704</v>
      </c>
      <c r="S334" s="57" t="s">
        <v>123</v>
      </c>
      <c r="T334" s="55" t="n">
        <v>383.103139013453</v>
      </c>
    </row>
    <row r="335" customFormat="false" ht="15" hidden="false" customHeight="false" outlineLevel="0" collapsed="false">
      <c r="A335" s="21" t="s">
        <v>377</v>
      </c>
      <c r="B335" s="21" t="s">
        <v>500</v>
      </c>
      <c r="C335" s="21" t="s">
        <v>502</v>
      </c>
      <c r="D335" s="37" t="n">
        <f aca="false">ROUND(Q335*R335,0)</f>
        <v>538</v>
      </c>
      <c r="E335" s="37" t="n">
        <f aca="false">ROUND(Q335,0)-D335</f>
        <v>511</v>
      </c>
      <c r="F335" s="37" t="n">
        <f aca="false">IF(COUNTA(D335:E335)=0,"",SUM(D335:E335))</f>
        <v>1049</v>
      </c>
      <c r="G335" s="52" t="n">
        <f aca="false">IF(OR(F335="",F335=0),"",D335/F335)</f>
        <v>0.512869399428027</v>
      </c>
      <c r="H335" s="52" t="n">
        <f aca="false">IF(OR(F335="",F335=0),"",E335/F335)</f>
        <v>0.487130600571973</v>
      </c>
      <c r="I335" s="21" t="s">
        <v>122</v>
      </c>
      <c r="J335" s="53" t="n">
        <v>1.80877416096373</v>
      </c>
      <c r="K335" s="52" t="n">
        <f aca="false">IF(G335="","",MAX(0,G335-J335/100))</f>
        <v>0.494781657818389</v>
      </c>
      <c r="L335" s="52" t="n">
        <f aca="false">IF(G335="","",MIN(1,G335+J335/100))</f>
        <v>0.530957141037664</v>
      </c>
      <c r="M335" s="37" t="n">
        <f aca="false">IF(F335="","",ROUND(F335*J335/100,0))</f>
        <v>19</v>
      </c>
      <c r="P335" s="54" t="n">
        <v>1.89556403353326</v>
      </c>
      <c r="Q335" s="55" t="n">
        <f aca="false">T335*$H$5</f>
        <v>1049.22431259045</v>
      </c>
      <c r="R335" s="56" t="n">
        <f aca="false">MAX(0,MIN(1,P335/100+$D$5))</f>
        <v>0.512458875224221</v>
      </c>
      <c r="S335" s="57" t="s">
        <v>132</v>
      </c>
      <c r="T335" s="55" t="n">
        <v>1049.22431259045</v>
      </c>
    </row>
    <row r="336" customFormat="false" ht="15" hidden="false" customHeight="false" outlineLevel="0" collapsed="false">
      <c r="A336" s="21" t="s">
        <v>377</v>
      </c>
      <c r="B336" s="21" t="s">
        <v>503</v>
      </c>
      <c r="C336" s="21" t="s">
        <v>504</v>
      </c>
      <c r="D336" s="37" t="n">
        <f aca="false">ROUND(Q336*R336,0)</f>
        <v>506</v>
      </c>
      <c r="E336" s="37" t="n">
        <f aca="false">ROUND(Q336,0)-D336</f>
        <v>522</v>
      </c>
      <c r="F336" s="37" t="n">
        <f aca="false">IF(COUNTA(D336:E336)=0,"",SUM(D336:E336))</f>
        <v>1028</v>
      </c>
      <c r="G336" s="52" t="n">
        <f aca="false">IF(OR(F336="",F336=0),"",D336/F336)</f>
        <v>0.492217898832685</v>
      </c>
      <c r="H336" s="52" t="n">
        <f aca="false">IF(OR(F336="",F336=0),"",E336/F336)</f>
        <v>0.507782101167315</v>
      </c>
      <c r="I336" s="21" t="s">
        <v>122</v>
      </c>
      <c r="J336" s="53" t="n">
        <v>1.80877416096373</v>
      </c>
      <c r="K336" s="52" t="n">
        <f aca="false">IF(G336="","",MAX(0,G336-J336/100))</f>
        <v>0.474130157223048</v>
      </c>
      <c r="L336" s="52" t="n">
        <f aca="false">IF(G336="","",MIN(1,G336+J336/100))</f>
        <v>0.510305640442322</v>
      </c>
      <c r="M336" s="37" t="n">
        <f aca="false">IF(F336="","",ROUND(F336*J336/100,0))</f>
        <v>19</v>
      </c>
      <c r="P336" s="54" t="n">
        <v>-0.0898271380636476</v>
      </c>
      <c r="Q336" s="55" t="n">
        <f aca="false">T336*$H$5</f>
        <v>1027.55404570723</v>
      </c>
      <c r="R336" s="56" t="n">
        <f aca="false">MAX(0,MIN(1,P336/100+$D$5))</f>
        <v>0.492604963508252</v>
      </c>
      <c r="S336" s="57" t="s">
        <v>132</v>
      </c>
      <c r="T336" s="55" t="n">
        <v>1027.55404570723</v>
      </c>
    </row>
    <row r="337" customFormat="false" ht="15" hidden="false" customHeight="false" outlineLevel="0" collapsed="false">
      <c r="A337" s="21" t="s">
        <v>377</v>
      </c>
      <c r="B337" s="21" t="s">
        <v>503</v>
      </c>
      <c r="C337" s="21" t="s">
        <v>505</v>
      </c>
      <c r="D337" s="37" t="n">
        <f aca="false">ROUND(Q337*R337,0)</f>
        <v>443</v>
      </c>
      <c r="E337" s="37" t="n">
        <f aca="false">ROUND(Q337,0)-D337</f>
        <v>425</v>
      </c>
      <c r="F337" s="37" t="n">
        <f aca="false">IF(COUNTA(D337:E337)=0,"",SUM(D337:E337))</f>
        <v>868</v>
      </c>
      <c r="G337" s="52" t="n">
        <f aca="false">IF(OR(F337="",F337=0),"",D337/F337)</f>
        <v>0.51036866359447</v>
      </c>
      <c r="H337" s="52" t="n">
        <f aca="false">IF(OR(F337="",F337=0),"",E337/F337)</f>
        <v>0.48963133640553</v>
      </c>
      <c r="I337" s="21" t="s">
        <v>122</v>
      </c>
      <c r="J337" s="53" t="n">
        <v>1.80877416096373</v>
      </c>
      <c r="K337" s="52" t="n">
        <f aca="false">IF(G337="","",MAX(0,G337-J337/100))</f>
        <v>0.492280921984833</v>
      </c>
      <c r="L337" s="52" t="n">
        <f aca="false">IF(G337="","",MIN(1,G337+J337/100))</f>
        <v>0.528456405204107</v>
      </c>
      <c r="M337" s="37" t="n">
        <f aca="false">IF(F337="","",ROUND(F337*J337/100,0))</f>
        <v>16</v>
      </c>
      <c r="P337" s="54" t="n">
        <v>1.6754025775463</v>
      </c>
      <c r="Q337" s="55" t="n">
        <f aca="false">T337*$H$5</f>
        <v>867.502130249544</v>
      </c>
      <c r="R337" s="56" t="n">
        <f aca="false">MAX(0,MIN(1,P337/100+$D$5))</f>
        <v>0.510257260664351</v>
      </c>
      <c r="S337" s="57" t="s">
        <v>132</v>
      </c>
      <c r="T337" s="55" t="n">
        <v>867.502130249544</v>
      </c>
    </row>
    <row r="338" customFormat="false" ht="15" hidden="false" customHeight="false" outlineLevel="0" collapsed="false">
      <c r="A338" s="21" t="s">
        <v>377</v>
      </c>
      <c r="B338" s="21" t="s">
        <v>503</v>
      </c>
      <c r="C338" s="21" t="s">
        <v>506</v>
      </c>
      <c r="D338" s="37" t="n">
        <f aca="false">ROUND(Q338*R338,0)</f>
        <v>912</v>
      </c>
      <c r="E338" s="37" t="n">
        <f aca="false">ROUND(Q338,0)-D338</f>
        <v>962</v>
      </c>
      <c r="F338" s="37" t="n">
        <f aca="false">IF(COUNTA(D338:E338)=0,"",SUM(D338:E338))</f>
        <v>1874</v>
      </c>
      <c r="G338" s="52" t="n">
        <f aca="false">IF(OR(F338="",F338=0),"",D338/F338)</f>
        <v>0.486659551760939</v>
      </c>
      <c r="H338" s="52" t="n">
        <f aca="false">IF(OR(F338="",F338=0),"",E338/F338)</f>
        <v>0.513340448239061</v>
      </c>
      <c r="I338" s="21" t="s">
        <v>122</v>
      </c>
      <c r="J338" s="53" t="n">
        <v>1.24981746705324</v>
      </c>
      <c r="K338" s="52" t="n">
        <f aca="false">IF(G338="","",MAX(0,G338-J338/100))</f>
        <v>0.474161377090407</v>
      </c>
      <c r="L338" s="52" t="n">
        <f aca="false">IF(G338="","",MIN(1,G338+J338/100))</f>
        <v>0.499157726431472</v>
      </c>
      <c r="M338" s="37" t="n">
        <f aca="false">IF(F338="","",ROUND(F338*J338/100,0))</f>
        <v>23</v>
      </c>
      <c r="P338" s="54" t="n">
        <v>-0.688876423323185</v>
      </c>
      <c r="Q338" s="55" t="n">
        <f aca="false">T338*$H$5</f>
        <v>1873.94361294814</v>
      </c>
      <c r="R338" s="56" t="n">
        <f aca="false">MAX(0,MIN(1,P338/100+$D$5))</f>
        <v>0.486614470655656</v>
      </c>
      <c r="S338" s="57" t="s">
        <v>225</v>
      </c>
      <c r="T338" s="55" t="n">
        <v>1873.94361294814</v>
      </c>
    </row>
    <row r="339" customFormat="false" ht="15" hidden="false" customHeight="false" outlineLevel="0" collapsed="false">
      <c r="A339" s="21" t="s">
        <v>377</v>
      </c>
      <c r="B339" s="21" t="s">
        <v>503</v>
      </c>
      <c r="C339" s="21" t="s">
        <v>507</v>
      </c>
      <c r="D339" s="37" t="n">
        <f aca="false">ROUND(Q339*R339,0)</f>
        <v>183</v>
      </c>
      <c r="E339" s="37" t="n">
        <f aca="false">ROUND(Q339,0)-D339</f>
        <v>215</v>
      </c>
      <c r="F339" s="37" t="n">
        <f aca="false">IF(COUNTA(D339:E339)=0,"",SUM(D339:E339))</f>
        <v>398</v>
      </c>
      <c r="G339" s="52" t="n">
        <f aca="false">IF(OR(F339="",F339=0),"",D339/F339)</f>
        <v>0.459798994974874</v>
      </c>
      <c r="H339" s="52" t="n">
        <f aca="false">IF(OR(F339="",F339=0),"",E339/F339)</f>
        <v>0.540201005025126</v>
      </c>
      <c r="I339" s="21" t="s">
        <v>122</v>
      </c>
      <c r="J339" s="53" t="n">
        <v>3.02363014511423</v>
      </c>
      <c r="K339" s="52" t="n">
        <f aca="false">IF(G339="","",MAX(0,G339-J339/100))</f>
        <v>0.429562693523732</v>
      </c>
      <c r="L339" s="52" t="n">
        <f aca="false">IF(G339="","",MIN(1,G339+J339/100))</f>
        <v>0.490035296426017</v>
      </c>
      <c r="M339" s="37" t="n">
        <f aca="false">IF(F339="","",ROUND(F339*J339/100,0))</f>
        <v>12</v>
      </c>
      <c r="P339" s="54" t="n">
        <v>-3.47373440787599</v>
      </c>
      <c r="Q339" s="55" t="n">
        <f aca="false">T339*$H$5</f>
        <v>398.40616966581</v>
      </c>
      <c r="R339" s="56" t="n">
        <f aca="false">MAX(0,MIN(1,P339/100+$D$5))</f>
        <v>0.458765890810128</v>
      </c>
      <c r="S339" s="57" t="s">
        <v>123</v>
      </c>
      <c r="T339" s="55" t="n">
        <v>398.40616966581</v>
      </c>
    </row>
    <row r="340" customFormat="false" ht="15" hidden="false" customHeight="false" outlineLevel="0" collapsed="false">
      <c r="A340" s="21" t="s">
        <v>377</v>
      </c>
      <c r="B340" s="21" t="s">
        <v>508</v>
      </c>
      <c r="C340" s="21" t="s">
        <v>509</v>
      </c>
      <c r="D340" s="37" t="n">
        <f aca="false">ROUND(Q340*R340,0)</f>
        <v>688</v>
      </c>
      <c r="E340" s="37" t="n">
        <f aca="false">ROUND(Q340,0)-D340</f>
        <v>693</v>
      </c>
      <c r="F340" s="37" t="n">
        <f aca="false">IF(COUNTA(D340:E340)=0,"",SUM(D340:E340))</f>
        <v>1381</v>
      </c>
      <c r="G340" s="52" t="n">
        <f aca="false">IF(OR(F340="",F340=0),"",D340/F340)</f>
        <v>0.498189717595945</v>
      </c>
      <c r="H340" s="52" t="n">
        <f aca="false">IF(OR(F340="",F340=0),"",E340/F340)</f>
        <v>0.501810282404055</v>
      </c>
      <c r="I340" s="21" t="s">
        <v>122</v>
      </c>
      <c r="J340" s="53" t="n">
        <v>1.24981746705324</v>
      </c>
      <c r="K340" s="52" t="n">
        <f aca="false">IF(G340="","",MAX(0,G340-J340/100))</f>
        <v>0.485691542925413</v>
      </c>
      <c r="L340" s="52" t="n">
        <f aca="false">IF(G340="","",MIN(1,G340+J340/100))</f>
        <v>0.510687892266477</v>
      </c>
      <c r="M340" s="37" t="n">
        <f aca="false">IF(F340="","",ROUND(F340*J340/100,0))</f>
        <v>17</v>
      </c>
      <c r="P340" s="54" t="n">
        <v>0.470835221910643</v>
      </c>
      <c r="Q340" s="55" t="n">
        <f aca="false">T340*$H$5</f>
        <v>1380.50534255185</v>
      </c>
      <c r="R340" s="56" t="n">
        <f aca="false">MAX(0,MIN(1,P340/100+$D$5))</f>
        <v>0.498211587107995</v>
      </c>
      <c r="S340" s="57" t="s">
        <v>225</v>
      </c>
      <c r="T340" s="55" t="n">
        <v>1380.50534255185</v>
      </c>
    </row>
    <row r="341" customFormat="false" ht="15" hidden="false" customHeight="false" outlineLevel="0" collapsed="false">
      <c r="A341" s="21" t="s">
        <v>377</v>
      </c>
      <c r="B341" s="21" t="s">
        <v>508</v>
      </c>
      <c r="C341" s="21" t="s">
        <v>510</v>
      </c>
      <c r="D341" s="37" t="n">
        <f aca="false">ROUND(Q341*R341,0)</f>
        <v>156</v>
      </c>
      <c r="E341" s="37" t="n">
        <f aca="false">ROUND(Q341,0)-D341</f>
        <v>146</v>
      </c>
      <c r="F341" s="37" t="n">
        <f aca="false">IF(COUNTA(D341:E341)=0,"",SUM(D341:E341))</f>
        <v>302</v>
      </c>
      <c r="G341" s="52" t="n">
        <f aca="false">IF(OR(F341="",F341=0),"",D341/F341)</f>
        <v>0.516556291390729</v>
      </c>
      <c r="H341" s="52" t="n">
        <f aca="false">IF(OR(F341="",F341=0),"",E341/F341)</f>
        <v>0.483443708609272</v>
      </c>
      <c r="I341" s="21" t="s">
        <v>223</v>
      </c>
      <c r="J341" s="53" t="n">
        <v>3.02363014511423</v>
      </c>
      <c r="K341" s="52" t="n">
        <f aca="false">IF(G341="","",MAX(0,G341-J341/100))</f>
        <v>0.486319989939586</v>
      </c>
      <c r="L341" s="52" t="n">
        <f aca="false">IF(G341="","",MIN(1,G341+J341/100))</f>
        <v>0.546792592841871</v>
      </c>
      <c r="M341" s="37" t="n">
        <f aca="false">IF(F341="","",ROUND(F341*J341/100,0))</f>
        <v>9</v>
      </c>
      <c r="P341" s="54" t="n">
        <v>2.45861424238102</v>
      </c>
      <c r="Q341" s="55" t="n">
        <f aca="false">T341*$H$5</f>
        <v>301.77107159879</v>
      </c>
      <c r="R341" s="56" t="n">
        <f aca="false">MAX(0,MIN(1,P341/100+$D$5))</f>
        <v>0.518089377312698</v>
      </c>
      <c r="S341" s="57" t="s">
        <v>123</v>
      </c>
      <c r="T341" s="55" t="n">
        <v>301.77107159879</v>
      </c>
    </row>
    <row r="342" customFormat="false" ht="15" hidden="false" customHeight="false" outlineLevel="0" collapsed="false">
      <c r="A342" s="21" t="s">
        <v>377</v>
      </c>
      <c r="B342" s="21" t="s">
        <v>508</v>
      </c>
      <c r="C342" s="21" t="s">
        <v>511</v>
      </c>
      <c r="D342" s="37" t="n">
        <f aca="false">ROUND(Q342*R342,0)</f>
        <v>566</v>
      </c>
      <c r="E342" s="37" t="n">
        <f aca="false">ROUND(Q342,0)-D342</f>
        <v>593</v>
      </c>
      <c r="F342" s="37" t="n">
        <f aca="false">IF(COUNTA(D342:E342)=0,"",SUM(D342:E342))</f>
        <v>1159</v>
      </c>
      <c r="G342" s="52" t="n">
        <f aca="false">IF(OR(F342="",F342=0),"",D342/F342)</f>
        <v>0.488352027610009</v>
      </c>
      <c r="H342" s="52" t="n">
        <f aca="false">IF(OR(F342="",F342=0),"",E342/F342)</f>
        <v>0.511647972389991</v>
      </c>
      <c r="I342" s="21" t="s">
        <v>223</v>
      </c>
      <c r="J342" s="53" t="n">
        <v>1.80877416096373</v>
      </c>
      <c r="K342" s="52" t="n">
        <f aca="false">IF(G342="","",MAX(0,G342-J342/100))</f>
        <v>0.470264286000371</v>
      </c>
      <c r="L342" s="52" t="n">
        <f aca="false">IF(G342="","",MIN(1,G342+J342/100))</f>
        <v>0.506439769219646</v>
      </c>
      <c r="M342" s="37" t="n">
        <f aca="false">IF(F342="","",ROUND(F342*J342/100,0))</f>
        <v>21</v>
      </c>
      <c r="P342" s="54" t="n">
        <v>-0.519971354421071</v>
      </c>
      <c r="Q342" s="55" t="n">
        <f aca="false">T342*$H$5</f>
        <v>1159.09858720511</v>
      </c>
      <c r="R342" s="56" t="n">
        <f aca="false">MAX(0,MIN(1,P342/100+$D$5))</f>
        <v>0.488303521344677</v>
      </c>
      <c r="S342" s="57" t="s">
        <v>132</v>
      </c>
      <c r="T342" s="55" t="n">
        <v>1159.09858720511</v>
      </c>
    </row>
    <row r="343" customFormat="false" ht="15" hidden="false" customHeight="false" outlineLevel="0" collapsed="false">
      <c r="A343" s="21" t="s">
        <v>377</v>
      </c>
      <c r="B343" s="21" t="s">
        <v>508</v>
      </c>
      <c r="C343" s="21" t="s">
        <v>512</v>
      </c>
      <c r="D343" s="37" t="n">
        <f aca="false">ROUND(Q343*R343,0)</f>
        <v>746</v>
      </c>
      <c r="E343" s="37" t="n">
        <f aca="false">ROUND(Q343,0)-D343</f>
        <v>657</v>
      </c>
      <c r="F343" s="37" t="n">
        <f aca="false">IF(COUNTA(D343:E343)=0,"",SUM(D343:E343))</f>
        <v>1403</v>
      </c>
      <c r="G343" s="52" t="n">
        <f aca="false">IF(OR(F343="",F343=0),"",D343/F343)</f>
        <v>0.531717747683535</v>
      </c>
      <c r="H343" s="52" t="n">
        <f aca="false">IF(OR(F343="",F343=0),"",E343/F343)</f>
        <v>0.468282252316465</v>
      </c>
      <c r="I343" s="21" t="s">
        <v>122</v>
      </c>
      <c r="J343" s="53" t="n">
        <v>1.24981746705324</v>
      </c>
      <c r="K343" s="52" t="n">
        <f aca="false">IF(G343="","",MAX(0,G343-J343/100))</f>
        <v>0.519219573013003</v>
      </c>
      <c r="L343" s="52" t="n">
        <f aca="false">IF(G343="","",MIN(1,G343+J343/100))</f>
        <v>0.544215922354068</v>
      </c>
      <c r="M343" s="37" t="n">
        <f aca="false">IF(F343="","",ROUND(F343*J343/100,0))</f>
        <v>18</v>
      </c>
      <c r="P343" s="54" t="n">
        <v>3.8289057159151</v>
      </c>
      <c r="Q343" s="55" t="n">
        <f aca="false">T343*$H$5</f>
        <v>1402.88532351394</v>
      </c>
      <c r="R343" s="56" t="n">
        <f aca="false">MAX(0,MIN(1,P343/100+$D$5))</f>
        <v>0.531792292048039</v>
      </c>
      <c r="S343" s="57" t="s">
        <v>225</v>
      </c>
      <c r="T343" s="55" t="n">
        <v>1402.88532351394</v>
      </c>
    </row>
    <row r="344" customFormat="false" ht="15" hidden="false" customHeight="false" outlineLevel="0" collapsed="false">
      <c r="A344" s="21" t="s">
        <v>377</v>
      </c>
      <c r="B344" s="21" t="s">
        <v>508</v>
      </c>
      <c r="C344" s="21" t="s">
        <v>513</v>
      </c>
      <c r="D344" s="37" t="n">
        <f aca="false">ROUND(Q344*R344,0)</f>
        <v>640</v>
      </c>
      <c r="E344" s="37" t="n">
        <f aca="false">ROUND(Q344,0)-D344</f>
        <v>630</v>
      </c>
      <c r="F344" s="37" t="n">
        <f aca="false">IF(COUNTA(D344:E344)=0,"",SUM(D344:E344))</f>
        <v>1270</v>
      </c>
      <c r="G344" s="52" t="n">
        <f aca="false">IF(OR(F344="",F344=0),"",D344/F344)</f>
        <v>0.503937007874016</v>
      </c>
      <c r="H344" s="52" t="n">
        <f aca="false">IF(OR(F344="",F344=0),"",E344/F344)</f>
        <v>0.496062992125984</v>
      </c>
      <c r="I344" s="21" t="s">
        <v>122</v>
      </c>
      <c r="J344" s="53" t="n">
        <v>1.24981746705324</v>
      </c>
      <c r="K344" s="52" t="n">
        <f aca="false">IF(G344="","",MAX(0,G344-J344/100))</f>
        <v>0.491438833203483</v>
      </c>
      <c r="L344" s="52" t="n">
        <f aca="false">IF(G344="","",MIN(1,G344+J344/100))</f>
        <v>0.516435182544548</v>
      </c>
      <c r="M344" s="37" t="n">
        <f aca="false">IF(F344="","",ROUND(F344*J344/100,0))</f>
        <v>16</v>
      </c>
      <c r="P344" s="54" t="n">
        <v>1.05131457751922</v>
      </c>
      <c r="Q344" s="55" t="n">
        <f aca="false">T344*$H$5</f>
        <v>1270.0390625</v>
      </c>
      <c r="R344" s="56" t="n">
        <f aca="false">MAX(0,MIN(1,P344/100+$D$5))</f>
        <v>0.50401638066408</v>
      </c>
      <c r="S344" s="57" t="s">
        <v>225</v>
      </c>
      <c r="T344" s="55" t="n">
        <v>1270.0390625</v>
      </c>
    </row>
    <row r="345" customFormat="false" ht="15" hidden="false" customHeight="false" outlineLevel="0" collapsed="false">
      <c r="A345" s="21" t="s">
        <v>377</v>
      </c>
      <c r="B345" s="21" t="s">
        <v>508</v>
      </c>
      <c r="C345" s="21" t="s">
        <v>514</v>
      </c>
      <c r="D345" s="37" t="n">
        <f aca="false">ROUND(Q345*R345,0)</f>
        <v>626</v>
      </c>
      <c r="E345" s="37" t="n">
        <f aca="false">ROUND(Q345,0)-D345</f>
        <v>616</v>
      </c>
      <c r="F345" s="37" t="n">
        <f aca="false">IF(COUNTA(D345:E345)=0,"",SUM(D345:E345))</f>
        <v>1242</v>
      </c>
      <c r="G345" s="52" t="n">
        <f aca="false">IF(OR(F345="",F345=0),"",D345/F345)</f>
        <v>0.50402576489533</v>
      </c>
      <c r="H345" s="52" t="n">
        <f aca="false">IF(OR(F345="",F345=0),"",E345/F345)</f>
        <v>0.49597423510467</v>
      </c>
      <c r="I345" s="21" t="s">
        <v>122</v>
      </c>
      <c r="J345" s="53" t="n">
        <v>1.24981746705324</v>
      </c>
      <c r="K345" s="52" t="n">
        <f aca="false">IF(G345="","",MAX(0,G345-J345/100))</f>
        <v>0.491527590224798</v>
      </c>
      <c r="L345" s="52" t="n">
        <f aca="false">IF(G345="","",MIN(1,G345+J345/100))</f>
        <v>0.516523939565863</v>
      </c>
      <c r="M345" s="37" t="n">
        <f aca="false">IF(F345="","",ROUND(F345*J345/100,0))</f>
        <v>16</v>
      </c>
      <c r="P345" s="54" t="n">
        <v>1.03995859636189</v>
      </c>
      <c r="Q345" s="55" t="n">
        <f aca="false">T345*$H$5</f>
        <v>1241.83236382866</v>
      </c>
      <c r="R345" s="56" t="n">
        <f aca="false">MAX(0,MIN(1,P345/100+$D$5))</f>
        <v>0.503902820852507</v>
      </c>
      <c r="S345" s="57" t="s">
        <v>225</v>
      </c>
      <c r="T345" s="55" t="n">
        <v>1241.83236382866</v>
      </c>
    </row>
    <row r="346" customFormat="false" ht="15" hidden="false" customHeight="false" outlineLevel="0" collapsed="false">
      <c r="A346" s="21" t="s">
        <v>377</v>
      </c>
      <c r="B346" s="21" t="s">
        <v>508</v>
      </c>
      <c r="C346" s="21" t="s">
        <v>515</v>
      </c>
      <c r="D346" s="37" t="n">
        <f aca="false">ROUND(Q346*R346,0)</f>
        <v>543</v>
      </c>
      <c r="E346" s="37" t="n">
        <f aca="false">ROUND(Q346,0)-D346</f>
        <v>481</v>
      </c>
      <c r="F346" s="37" t="n">
        <f aca="false">IF(COUNTA(D346:E346)=0,"",SUM(D346:E346))</f>
        <v>1024</v>
      </c>
      <c r="G346" s="52" t="n">
        <f aca="false">IF(OR(F346="",F346=0),"",D346/F346)</f>
        <v>0.5302734375</v>
      </c>
      <c r="H346" s="52" t="n">
        <f aca="false">IF(OR(F346="",F346=0),"",E346/F346)</f>
        <v>0.4697265625</v>
      </c>
      <c r="I346" s="21" t="s">
        <v>223</v>
      </c>
      <c r="J346" s="53" t="n">
        <v>1.80877416096373</v>
      </c>
      <c r="K346" s="52" t="n">
        <f aca="false">IF(G346="","",MAX(0,G346-J346/100))</f>
        <v>0.512185695890363</v>
      </c>
      <c r="L346" s="52" t="n">
        <f aca="false">IF(G346="","",MIN(1,G346+J346/100))</f>
        <v>0.548361179109637</v>
      </c>
      <c r="M346" s="37" t="n">
        <f aca="false">IF(F346="","",ROUND(F346*J346/100,0))</f>
        <v>19</v>
      </c>
      <c r="P346" s="54" t="n">
        <v>3.72393648330595</v>
      </c>
      <c r="Q346" s="55" t="n">
        <f aca="false">T346*$H$5</f>
        <v>1023.9619746684</v>
      </c>
      <c r="R346" s="56" t="n">
        <f aca="false">MAX(0,MIN(1,P346/100+$D$5))</f>
        <v>0.530742599721948</v>
      </c>
      <c r="S346" s="57" t="s">
        <v>132</v>
      </c>
      <c r="T346" s="55" t="n">
        <v>1023.9619746684</v>
      </c>
    </row>
    <row r="347" customFormat="false" ht="15" hidden="false" customHeight="false" outlineLevel="0" collapsed="false">
      <c r="A347" s="21" t="s">
        <v>377</v>
      </c>
      <c r="B347" s="21" t="s">
        <v>508</v>
      </c>
      <c r="C347" s="21" t="s">
        <v>516</v>
      </c>
      <c r="D347" s="37" t="n">
        <f aca="false">ROUND(Q347*R347,0)</f>
        <v>206</v>
      </c>
      <c r="E347" s="37" t="n">
        <f aca="false">ROUND(Q347,0)-D347</f>
        <v>239</v>
      </c>
      <c r="F347" s="37" t="n">
        <f aca="false">IF(COUNTA(D347:E347)=0,"",SUM(D347:E347))</f>
        <v>445</v>
      </c>
      <c r="G347" s="52" t="n">
        <f aca="false">IF(OR(F347="",F347=0),"",D347/F347)</f>
        <v>0.462921348314607</v>
      </c>
      <c r="H347" s="52" t="n">
        <f aca="false">IF(OR(F347="",F347=0),"",E347/F347)</f>
        <v>0.537078651685393</v>
      </c>
      <c r="I347" s="21" t="s">
        <v>223</v>
      </c>
      <c r="J347" s="53" t="n">
        <v>3.02363014511423</v>
      </c>
      <c r="K347" s="52" t="n">
        <f aca="false">IF(G347="","",MAX(0,G347-J347/100))</f>
        <v>0.432685046863464</v>
      </c>
      <c r="L347" s="52" t="n">
        <f aca="false">IF(G347="","",MIN(1,G347+J347/100))</f>
        <v>0.493157649765749</v>
      </c>
      <c r="M347" s="37" t="n">
        <f aca="false">IF(F347="","",ROUND(F347*J347/100,0))</f>
        <v>13</v>
      </c>
      <c r="P347" s="54" t="n">
        <v>-3.07754791267482</v>
      </c>
      <c r="Q347" s="55" t="n">
        <f aca="false">T347*$H$5</f>
        <v>444.793344999185</v>
      </c>
      <c r="R347" s="56" t="n">
        <f aca="false">MAX(0,MIN(1,P347/100+$D$5))</f>
        <v>0.46272775576214</v>
      </c>
      <c r="S347" s="57" t="s">
        <v>123</v>
      </c>
      <c r="T347" s="55" t="n">
        <v>444.793344999185</v>
      </c>
    </row>
    <row r="348" customFormat="false" ht="15" hidden="false" customHeight="false" outlineLevel="0" collapsed="false">
      <c r="A348" s="21" t="s">
        <v>377</v>
      </c>
      <c r="B348" s="21" t="s">
        <v>508</v>
      </c>
      <c r="C348" s="21" t="s">
        <v>517</v>
      </c>
      <c r="D348" s="37" t="n">
        <f aca="false">ROUND(Q348*R348,0)</f>
        <v>1193</v>
      </c>
      <c r="E348" s="37" t="n">
        <f aca="false">ROUND(Q348,0)-D348</f>
        <v>1374</v>
      </c>
      <c r="F348" s="37" t="n">
        <f aca="false">IF(COUNTA(D348:E348)=0,"",SUM(D348:E348))</f>
        <v>2567</v>
      </c>
      <c r="G348" s="52" t="n">
        <f aca="false">IF(OR(F348="",F348=0),"",D348/F348)</f>
        <v>0.464744838332684</v>
      </c>
      <c r="H348" s="52" t="n">
        <f aca="false">IF(OR(F348="",F348=0),"",E348/F348)</f>
        <v>0.535255161667316</v>
      </c>
      <c r="I348" s="21" t="s">
        <v>223</v>
      </c>
      <c r="J348" s="53" t="n">
        <v>1.24981746705324</v>
      </c>
      <c r="K348" s="52" t="n">
        <f aca="false">IF(G348="","",MAX(0,G348-J348/100))</f>
        <v>0.452246663662152</v>
      </c>
      <c r="L348" s="52" t="n">
        <f aca="false">IF(G348="","",MIN(1,G348+J348/100))</f>
        <v>0.477243013003217</v>
      </c>
      <c r="M348" s="37" t="n">
        <f aca="false">IF(F348="","",ROUND(F348*J348/100,0))</f>
        <v>32</v>
      </c>
      <c r="P348" s="54" t="n">
        <v>-2.88823891576091</v>
      </c>
      <c r="Q348" s="55" t="n">
        <f aca="false">T348*$H$5</f>
        <v>2567.14576004421</v>
      </c>
      <c r="R348" s="56" t="n">
        <f aca="false">MAX(0,MIN(1,P348/100+$D$5))</f>
        <v>0.464620845731279</v>
      </c>
      <c r="S348" s="57" t="s">
        <v>225</v>
      </c>
      <c r="T348" s="55" t="n">
        <v>2567.14576004421</v>
      </c>
    </row>
    <row r="349" customFormat="false" ht="15" hidden="false" customHeight="false" outlineLevel="0" collapsed="false">
      <c r="A349" s="21" t="s">
        <v>377</v>
      </c>
      <c r="B349" s="21" t="s">
        <v>518</v>
      </c>
      <c r="C349" s="21" t="s">
        <v>519</v>
      </c>
      <c r="D349" s="37" t="n">
        <f aca="false">ROUND(Q349*R349,0)</f>
        <v>84</v>
      </c>
      <c r="E349" s="37" t="n">
        <f aca="false">ROUND(Q349,0)-D349</f>
        <v>131</v>
      </c>
      <c r="F349" s="37" t="n">
        <f aca="false">IF(COUNTA(D349:E349)=0,"",SUM(D349:E349))</f>
        <v>215</v>
      </c>
      <c r="G349" s="52" t="n">
        <f aca="false">IF(OR(F349="",F349=0),"",D349/F349)</f>
        <v>0.390697674418605</v>
      </c>
      <c r="H349" s="52" t="n">
        <f aca="false">IF(OR(F349="",F349=0),"",E349/F349)</f>
        <v>0.609302325581395</v>
      </c>
      <c r="I349" s="21" t="s">
        <v>122</v>
      </c>
      <c r="J349" s="53" t="n">
        <v>3.02363014511423</v>
      </c>
      <c r="K349" s="52" t="n">
        <f aca="false">IF(G349="","",MAX(0,G349-J349/100))</f>
        <v>0.360461372967462</v>
      </c>
      <c r="L349" s="52" t="n">
        <f aca="false">IF(G349="","",MIN(1,G349+J349/100))</f>
        <v>0.420933975869747</v>
      </c>
      <c r="M349" s="37" t="n">
        <f aca="false">IF(F349="","",ROUND(F349*J349/100,0))</f>
        <v>7</v>
      </c>
      <c r="P349" s="54" t="n">
        <v>-10.2285078661765</v>
      </c>
      <c r="Q349" s="55" t="n">
        <f aca="false">T349*$H$5</f>
        <v>214.558510638298</v>
      </c>
      <c r="R349" s="56" t="n">
        <f aca="false">MAX(0,MIN(1,P349/100+$D$5))</f>
        <v>0.391218156227124</v>
      </c>
      <c r="S349" s="57" t="s">
        <v>123</v>
      </c>
      <c r="T349" s="55" t="n">
        <v>214.558510638298</v>
      </c>
    </row>
    <row r="350" customFormat="false" ht="15" hidden="false" customHeight="false" outlineLevel="0" collapsed="false">
      <c r="A350" s="21" t="s">
        <v>377</v>
      </c>
      <c r="B350" s="21" t="s">
        <v>518</v>
      </c>
      <c r="C350" s="21" t="s">
        <v>520</v>
      </c>
      <c r="D350" s="37" t="n">
        <f aca="false">ROUND(Q350*R350,0)</f>
        <v>207</v>
      </c>
      <c r="E350" s="37" t="n">
        <f aca="false">ROUND(Q350,0)-D350</f>
        <v>356</v>
      </c>
      <c r="F350" s="37" t="n">
        <f aca="false">IF(COUNTA(D350:E350)=0,"",SUM(D350:E350))</f>
        <v>563</v>
      </c>
      <c r="G350" s="52" t="n">
        <f aca="false">IF(OR(F350="",F350=0),"",D350/F350)</f>
        <v>0.367673179396092</v>
      </c>
      <c r="H350" s="52" t="n">
        <f aca="false">IF(OR(F350="",F350=0),"",E350/F350)</f>
        <v>0.632326820603908</v>
      </c>
      <c r="I350" s="21" t="s">
        <v>122</v>
      </c>
      <c r="J350" s="53" t="n">
        <v>3.02363014511423</v>
      </c>
      <c r="K350" s="52" t="n">
        <f aca="false">IF(G350="","",MAX(0,G350-J350/100))</f>
        <v>0.33743687794495</v>
      </c>
      <c r="L350" s="52" t="n">
        <f aca="false">IF(G350="","",MIN(1,G350+J350/100))</f>
        <v>0.397909480847235</v>
      </c>
      <c r="M350" s="37" t="n">
        <f aca="false">IF(F350="","",ROUND(F350*J350/100,0))</f>
        <v>17</v>
      </c>
      <c r="P350" s="54" t="n">
        <v>-12.6206612145491</v>
      </c>
      <c r="Q350" s="55" t="n">
        <f aca="false">T350*$H$5</f>
        <v>562.888888888889</v>
      </c>
      <c r="R350" s="56" t="n">
        <f aca="false">MAX(0,MIN(1,P350/100+$D$5))</f>
        <v>0.367296622743397</v>
      </c>
      <c r="S350" s="57" t="s">
        <v>123</v>
      </c>
      <c r="T350" s="55" t="n">
        <v>562.888888888889</v>
      </c>
    </row>
    <row r="351" customFormat="false" ht="15" hidden="false" customHeight="false" outlineLevel="0" collapsed="false">
      <c r="A351" s="21" t="s">
        <v>377</v>
      </c>
      <c r="B351" s="21" t="s">
        <v>518</v>
      </c>
      <c r="C351" s="21" t="s">
        <v>521</v>
      </c>
      <c r="D351" s="37" t="n">
        <f aca="false">ROUND(Q351*R351,0)</f>
        <v>148</v>
      </c>
      <c r="E351" s="37" t="n">
        <f aca="false">ROUND(Q351,0)-D351</f>
        <v>214</v>
      </c>
      <c r="F351" s="37" t="n">
        <f aca="false">IF(COUNTA(D351:E351)=0,"",SUM(D351:E351))</f>
        <v>362</v>
      </c>
      <c r="G351" s="52" t="n">
        <f aca="false">IF(OR(F351="",F351=0),"",D351/F351)</f>
        <v>0.408839779005525</v>
      </c>
      <c r="H351" s="52" t="n">
        <f aca="false">IF(OR(F351="",F351=0),"",E351/F351)</f>
        <v>0.591160220994475</v>
      </c>
      <c r="I351" s="21" t="s">
        <v>122</v>
      </c>
      <c r="J351" s="53" t="n">
        <v>3.02363014511423</v>
      </c>
      <c r="K351" s="52" t="n">
        <f aca="false">IF(G351="","",MAX(0,G351-J351/100))</f>
        <v>0.378603477554383</v>
      </c>
      <c r="L351" s="52" t="n">
        <f aca="false">IF(G351="","",MIN(1,G351+J351/100))</f>
        <v>0.439076080456667</v>
      </c>
      <c r="M351" s="37" t="n">
        <f aca="false">IF(F351="","",ROUND(F351*J351/100,0))</f>
        <v>11</v>
      </c>
      <c r="P351" s="54" t="n">
        <v>-8.39188502228794</v>
      </c>
      <c r="Q351" s="55" t="n">
        <f aca="false">T351*$H$5</f>
        <v>362.264705882353</v>
      </c>
      <c r="R351" s="56" t="n">
        <f aca="false">MAX(0,MIN(1,P351/100+$D$5))</f>
        <v>0.409584384666009</v>
      </c>
      <c r="S351" s="57" t="s">
        <v>123</v>
      </c>
      <c r="T351" s="55" t="n">
        <v>362.264705882353</v>
      </c>
    </row>
    <row r="352" customFormat="false" ht="15" hidden="false" customHeight="false" outlineLevel="0" collapsed="false">
      <c r="A352" s="21" t="s">
        <v>377</v>
      </c>
      <c r="B352" s="21" t="s">
        <v>518</v>
      </c>
      <c r="C352" s="21" t="s">
        <v>522</v>
      </c>
      <c r="D352" s="37" t="n">
        <f aca="false">ROUND(Q352*R352,0)</f>
        <v>89</v>
      </c>
      <c r="E352" s="37" t="n">
        <f aca="false">ROUND(Q352,0)-D352</f>
        <v>127</v>
      </c>
      <c r="F352" s="37" t="n">
        <f aca="false">IF(COUNTA(D352:E352)=0,"",SUM(D352:E352))</f>
        <v>216</v>
      </c>
      <c r="G352" s="52" t="n">
        <f aca="false">IF(OR(F352="",F352=0),"",D352/F352)</f>
        <v>0.412037037037037</v>
      </c>
      <c r="H352" s="52" t="n">
        <f aca="false">IF(OR(F352="",F352=0),"",E352/F352)</f>
        <v>0.587962962962963</v>
      </c>
      <c r="I352" s="21" t="s">
        <v>122</v>
      </c>
      <c r="J352" s="53" t="n">
        <v>3.02363014511423</v>
      </c>
      <c r="K352" s="52" t="n">
        <f aca="false">IF(G352="","",MAX(0,G352-J352/100))</f>
        <v>0.381800735585895</v>
      </c>
      <c r="L352" s="52" t="n">
        <f aca="false">IF(G352="","",MIN(1,G352+J352/100))</f>
        <v>0.442273338488179</v>
      </c>
      <c r="M352" s="37" t="n">
        <f aca="false">IF(F352="","",ROUND(F352*J352/100,0))</f>
        <v>7</v>
      </c>
      <c r="P352" s="54" t="n">
        <v>-8.2563096173021</v>
      </c>
      <c r="Q352" s="55" t="n">
        <f aca="false">T352*$H$5</f>
        <v>215.962962962963</v>
      </c>
      <c r="R352" s="56" t="n">
        <f aca="false">MAX(0,MIN(1,P352/100+$D$5))</f>
        <v>0.410940138715867</v>
      </c>
      <c r="S352" s="57" t="s">
        <v>123</v>
      </c>
      <c r="T352" s="55" t="n">
        <v>215.962962962963</v>
      </c>
    </row>
    <row r="353" customFormat="false" ht="15" hidden="false" customHeight="false" outlineLevel="0" collapsed="false">
      <c r="A353" s="21" t="s">
        <v>377</v>
      </c>
      <c r="B353" s="21" t="s">
        <v>523</v>
      </c>
      <c r="C353" s="21" t="s">
        <v>524</v>
      </c>
      <c r="D353" s="37" t="n">
        <f aca="false">ROUND(Q353*R353,0)</f>
        <v>343</v>
      </c>
      <c r="E353" s="37" t="n">
        <f aca="false">ROUND(Q353,0)-D353</f>
        <v>608</v>
      </c>
      <c r="F353" s="37" t="n">
        <f aca="false">IF(COUNTA(D353:E353)=0,"",SUM(D353:E353))</f>
        <v>951</v>
      </c>
      <c r="G353" s="52" t="n">
        <f aca="false">IF(OR(F353="",F353=0),"",D353/F353)</f>
        <v>0.360672975814932</v>
      </c>
      <c r="H353" s="52" t="n">
        <f aca="false">IF(OR(F353="",F353=0),"",E353/F353)</f>
        <v>0.639327024185068</v>
      </c>
      <c r="I353" s="21" t="s">
        <v>122</v>
      </c>
      <c r="J353" s="53" t="n">
        <v>1.80877416096373</v>
      </c>
      <c r="K353" s="52" t="n">
        <f aca="false">IF(G353="","",MAX(0,G353-J353/100))</f>
        <v>0.342585234205294</v>
      </c>
      <c r="L353" s="52" t="n">
        <f aca="false">IF(G353="","",MIN(1,G353+J353/100))</f>
        <v>0.378760717424569</v>
      </c>
      <c r="M353" s="37" t="n">
        <f aca="false">IF(F353="","",ROUND(F353*J353/100,0))</f>
        <v>17</v>
      </c>
      <c r="P353" s="54" t="n">
        <v>-13.313617391257</v>
      </c>
      <c r="Q353" s="55" t="n">
        <f aca="false">T353*$H$5</f>
        <v>951.480446927374</v>
      </c>
      <c r="R353" s="56" t="n">
        <f aca="false">MAX(0,MIN(1,P353/100+$D$5))</f>
        <v>0.360367060976318</v>
      </c>
      <c r="S353" s="57" t="s">
        <v>132</v>
      </c>
      <c r="T353" s="55" t="n">
        <v>951.480446927374</v>
      </c>
    </row>
    <row r="354" customFormat="false" ht="15" hidden="false" customHeight="false" outlineLevel="0" collapsed="false">
      <c r="A354" s="21" t="s">
        <v>377</v>
      </c>
      <c r="B354" s="21" t="s">
        <v>523</v>
      </c>
      <c r="C354" s="21" t="s">
        <v>525</v>
      </c>
      <c r="D354" s="37" t="n">
        <f aca="false">ROUND(Q354*R354,0)</f>
        <v>275</v>
      </c>
      <c r="E354" s="37" t="n">
        <f aca="false">ROUND(Q354,0)-D354</f>
        <v>474</v>
      </c>
      <c r="F354" s="37" t="n">
        <f aca="false">IF(COUNTA(D354:E354)=0,"",SUM(D354:E354))</f>
        <v>749</v>
      </c>
      <c r="G354" s="52" t="n">
        <f aca="false">IF(OR(F354="",F354=0),"",D354/F354)</f>
        <v>0.367156208277704</v>
      </c>
      <c r="H354" s="52" t="n">
        <f aca="false">IF(OR(F354="",F354=0),"",E354/F354)</f>
        <v>0.632843791722296</v>
      </c>
      <c r="I354" s="21" t="s">
        <v>122</v>
      </c>
      <c r="J354" s="53" t="n">
        <v>3.02363014511423</v>
      </c>
      <c r="K354" s="52" t="n">
        <f aca="false">IF(G354="","",MAX(0,G354-J354/100))</f>
        <v>0.336919906826561</v>
      </c>
      <c r="L354" s="52" t="n">
        <f aca="false">IF(G354="","",MIN(1,G354+J354/100))</f>
        <v>0.397392509728846</v>
      </c>
      <c r="M354" s="37" t="n">
        <f aca="false">IF(F354="","",ROUND(F354*J354/100,0))</f>
        <v>23</v>
      </c>
      <c r="P354" s="54" t="n">
        <v>-12.6481365265765</v>
      </c>
      <c r="Q354" s="55" t="n">
        <f aca="false">T354*$H$5</f>
        <v>748.801666666666</v>
      </c>
      <c r="R354" s="56" t="n">
        <f aca="false">MAX(0,MIN(1,P354/100+$D$5))</f>
        <v>0.367021869623123</v>
      </c>
      <c r="S354" s="57" t="s">
        <v>123</v>
      </c>
      <c r="T354" s="55" t="n">
        <v>748.801666666666</v>
      </c>
    </row>
    <row r="355" customFormat="false" ht="15" hidden="false" customHeight="false" outlineLevel="0" collapsed="false">
      <c r="A355" s="21" t="s">
        <v>377</v>
      </c>
      <c r="B355" s="21" t="s">
        <v>523</v>
      </c>
      <c r="C355" s="21" t="s">
        <v>526</v>
      </c>
      <c r="D355" s="37" t="n">
        <f aca="false">ROUND(Q355*R355,0)</f>
        <v>248</v>
      </c>
      <c r="E355" s="37" t="n">
        <f aca="false">ROUND(Q355,0)-D355</f>
        <v>459</v>
      </c>
      <c r="F355" s="37" t="n">
        <f aca="false">IF(COUNTA(D355:E355)=0,"",SUM(D355:E355))</f>
        <v>707</v>
      </c>
      <c r="G355" s="52" t="n">
        <f aca="false">IF(OR(F355="",F355=0),"",D355/F355)</f>
        <v>0.350777934936351</v>
      </c>
      <c r="H355" s="52" t="n">
        <f aca="false">IF(OR(F355="",F355=0),"",E355/F355)</f>
        <v>0.649222065063649</v>
      </c>
      <c r="I355" s="21" t="s">
        <v>122</v>
      </c>
      <c r="J355" s="53" t="n">
        <v>3.02363014511423</v>
      </c>
      <c r="K355" s="52" t="n">
        <f aca="false">IF(G355="","",MAX(0,G355-J355/100))</f>
        <v>0.320541633485209</v>
      </c>
      <c r="L355" s="52" t="n">
        <f aca="false">IF(G355="","",MIN(1,G355+J355/100))</f>
        <v>0.381014236387493</v>
      </c>
      <c r="M355" s="37" t="n">
        <f aca="false">IF(F355="","",ROUND(F355*J355/100,0))</f>
        <v>21</v>
      </c>
      <c r="P355" s="54" t="n">
        <v>-14.3037694881709</v>
      </c>
      <c r="Q355" s="55" t="n">
        <f aca="false">T355*$H$5</f>
        <v>707.096134786918</v>
      </c>
      <c r="R355" s="56" t="n">
        <f aca="false">MAX(0,MIN(1,P355/100+$D$5))</f>
        <v>0.35046554000718</v>
      </c>
      <c r="S355" s="57" t="s">
        <v>123</v>
      </c>
      <c r="T355" s="55" t="n">
        <v>707.096134786918</v>
      </c>
    </row>
    <row r="356" customFormat="false" ht="15" hidden="false" customHeight="false" outlineLevel="0" collapsed="false">
      <c r="A356" s="21" t="s">
        <v>377</v>
      </c>
      <c r="B356" s="21" t="s">
        <v>523</v>
      </c>
      <c r="C356" s="21" t="s">
        <v>527</v>
      </c>
      <c r="D356" s="37" t="n">
        <f aca="false">ROUND(Q356*R356,0)</f>
        <v>249</v>
      </c>
      <c r="E356" s="37" t="n">
        <f aca="false">ROUND(Q356,0)-D356</f>
        <v>464</v>
      </c>
      <c r="F356" s="37" t="n">
        <f aca="false">IF(COUNTA(D356:E356)=0,"",SUM(D356:E356))</f>
        <v>713</v>
      </c>
      <c r="G356" s="52" t="n">
        <f aca="false">IF(OR(F356="",F356=0),"",D356/F356)</f>
        <v>0.349228611500701</v>
      </c>
      <c r="H356" s="52" t="n">
        <f aca="false">IF(OR(F356="",F356=0),"",E356/F356)</f>
        <v>0.650771388499299</v>
      </c>
      <c r="I356" s="21" t="s">
        <v>122</v>
      </c>
      <c r="J356" s="53" t="n">
        <v>3.02363014511423</v>
      </c>
      <c r="K356" s="52" t="n">
        <f aca="false">IF(G356="","",MAX(0,G356-J356/100))</f>
        <v>0.318992310049559</v>
      </c>
      <c r="L356" s="52" t="n">
        <f aca="false">IF(G356="","",MIN(1,G356+J356/100))</f>
        <v>0.379464912951844</v>
      </c>
      <c r="M356" s="37" t="n">
        <f aca="false">IF(F356="","",ROUND(F356*J356/100,0))</f>
        <v>22</v>
      </c>
      <c r="P356" s="54" t="n">
        <v>-14.4490458240955</v>
      </c>
      <c r="Q356" s="55" t="n">
        <f aca="false">T356*$H$5</f>
        <v>713.433121019109</v>
      </c>
      <c r="R356" s="56" t="n">
        <f aca="false">MAX(0,MIN(1,P356/100+$D$5))</f>
        <v>0.349012776647934</v>
      </c>
      <c r="S356" s="57" t="s">
        <v>123</v>
      </c>
      <c r="T356" s="55" t="n">
        <v>713.433121019109</v>
      </c>
    </row>
    <row r="357" customFormat="false" ht="15" hidden="false" customHeight="false" outlineLevel="0" collapsed="false">
      <c r="A357" s="21" t="s">
        <v>377</v>
      </c>
      <c r="B357" s="21" t="s">
        <v>528</v>
      </c>
      <c r="C357" s="21" t="s">
        <v>529</v>
      </c>
      <c r="D357" s="37" t="n">
        <f aca="false">ROUND(Q357*R357,0)</f>
        <v>68</v>
      </c>
      <c r="E357" s="37" t="n">
        <f aca="false">ROUND(Q357,0)-D357</f>
        <v>128</v>
      </c>
      <c r="F357" s="37" t="n">
        <f aca="false">IF(COUNTA(D357:E357)=0,"",SUM(D357:E357))</f>
        <v>196</v>
      </c>
      <c r="G357" s="52" t="n">
        <f aca="false">IF(OR(F357="",F357=0),"",D357/F357)</f>
        <v>0.346938775510204</v>
      </c>
      <c r="H357" s="52" t="n">
        <f aca="false">IF(OR(F357="",F357=0),"",E357/F357)</f>
        <v>0.653061224489796</v>
      </c>
      <c r="I357" s="21" t="s">
        <v>122</v>
      </c>
      <c r="J357" s="53" t="n">
        <v>3.02363014511423</v>
      </c>
      <c r="K357" s="52" t="n">
        <f aca="false">IF(G357="","",MAX(0,G357-J357/100))</f>
        <v>0.316702474059062</v>
      </c>
      <c r="L357" s="52" t="n">
        <f aca="false">IF(G357="","",MIN(1,G357+J357/100))</f>
        <v>0.377175076961346</v>
      </c>
      <c r="M357" s="37" t="n">
        <f aca="false">IF(F357="","",ROUND(F357*J357/100,0))</f>
        <v>6</v>
      </c>
      <c r="P357" s="54" t="n">
        <v>-14.4695029125504</v>
      </c>
      <c r="Q357" s="55" t="n">
        <f aca="false">T357*$H$5</f>
        <v>196.102981029811</v>
      </c>
      <c r="R357" s="56" t="n">
        <f aca="false">MAX(0,MIN(1,P357/100+$D$5))</f>
        <v>0.348808205763384</v>
      </c>
      <c r="S357" s="57" t="s">
        <v>123</v>
      </c>
      <c r="T357" s="55" t="n">
        <v>196.102981029811</v>
      </c>
    </row>
    <row r="358" customFormat="false" ht="15" hidden="false" customHeight="false" outlineLevel="0" collapsed="false">
      <c r="A358" s="21" t="s">
        <v>377</v>
      </c>
      <c r="B358" s="21" t="s">
        <v>530</v>
      </c>
      <c r="C358" s="21" t="s">
        <v>531</v>
      </c>
      <c r="D358" s="37" t="n">
        <f aca="false">ROUND(Q358*R358,0)</f>
        <v>267</v>
      </c>
      <c r="E358" s="37" t="n">
        <f aca="false">ROUND(Q358,0)-D358</f>
        <v>417</v>
      </c>
      <c r="F358" s="37" t="n">
        <f aca="false">IF(COUNTA(D358:E358)=0,"",SUM(D358:E358))</f>
        <v>684</v>
      </c>
      <c r="G358" s="52" t="n">
        <f aca="false">IF(OR(F358="",F358=0),"",D358/F358)</f>
        <v>0.390350877192982</v>
      </c>
      <c r="H358" s="52" t="n">
        <f aca="false">IF(OR(F358="",F358=0),"",E358/F358)</f>
        <v>0.609649122807018</v>
      </c>
      <c r="I358" s="21" t="s">
        <v>122</v>
      </c>
      <c r="J358" s="53" t="n">
        <v>3.02363014511423</v>
      </c>
      <c r="K358" s="52" t="n">
        <f aca="false">IF(G358="","",MAX(0,G358-J358/100))</f>
        <v>0.36011457574184</v>
      </c>
      <c r="L358" s="52" t="n">
        <f aca="false">IF(G358="","",MIN(1,G358+J358/100))</f>
        <v>0.420587178644125</v>
      </c>
      <c r="M358" s="37" t="n">
        <f aca="false">IF(F358="","",ROUND(F358*J358/100,0))</f>
        <v>21</v>
      </c>
      <c r="P358" s="54" t="n">
        <v>-10.2955267794292</v>
      </c>
      <c r="Q358" s="55" t="n">
        <f aca="false">T358*$H$5</f>
        <v>683.952941176471</v>
      </c>
      <c r="R358" s="56" t="n">
        <f aca="false">MAX(0,MIN(1,P358/100+$D$5))</f>
        <v>0.390547967094596</v>
      </c>
      <c r="S358" s="57" t="s">
        <v>123</v>
      </c>
      <c r="T358" s="55" t="n">
        <v>683.952941176471</v>
      </c>
    </row>
    <row r="359" customFormat="false" ht="15" hidden="false" customHeight="false" outlineLevel="0" collapsed="false">
      <c r="A359" s="21" t="s">
        <v>377</v>
      </c>
      <c r="B359" s="21" t="s">
        <v>532</v>
      </c>
      <c r="C359" s="21" t="s">
        <v>533</v>
      </c>
      <c r="D359" s="37" t="n">
        <f aca="false">ROUND(Q359*R359,0)</f>
        <v>158</v>
      </c>
      <c r="E359" s="37" t="n">
        <f aca="false">ROUND(Q359,0)-D359</f>
        <v>231</v>
      </c>
      <c r="F359" s="37" t="n">
        <f aca="false">IF(COUNTA(D359:E359)=0,"",SUM(D359:E359))</f>
        <v>389</v>
      </c>
      <c r="G359" s="52" t="n">
        <f aca="false">IF(OR(F359="",F359=0),"",D359/F359)</f>
        <v>0.406169665809769</v>
      </c>
      <c r="H359" s="52" t="n">
        <f aca="false">IF(OR(F359="",F359=0),"",E359/F359)</f>
        <v>0.593830334190231</v>
      </c>
      <c r="I359" s="21" t="s">
        <v>122</v>
      </c>
      <c r="J359" s="53" t="n">
        <v>3.02363014511423</v>
      </c>
      <c r="K359" s="52" t="n">
        <f aca="false">IF(G359="","",MAX(0,G359-J359/100))</f>
        <v>0.375933364358626</v>
      </c>
      <c r="L359" s="52" t="n">
        <f aca="false">IF(G359="","",MIN(1,G359+J359/100))</f>
        <v>0.436405967260911</v>
      </c>
      <c r="M359" s="37" t="n">
        <f aca="false">IF(F359="","",ROUND(F359*J359/100,0))</f>
        <v>12</v>
      </c>
      <c r="P359" s="54" t="n">
        <v>-8.61085002479031</v>
      </c>
      <c r="Q359" s="55" t="n">
        <f aca="false">T359*$H$5</f>
        <v>388.819749216301</v>
      </c>
      <c r="R359" s="56" t="n">
        <f aca="false">MAX(0,MIN(1,P359/100+$D$5))</f>
        <v>0.407394734640985</v>
      </c>
      <c r="S359" s="57" t="s">
        <v>123</v>
      </c>
      <c r="T359" s="55" t="n">
        <v>388.819749216301</v>
      </c>
    </row>
    <row r="360" customFormat="false" ht="15" hidden="false" customHeight="false" outlineLevel="0" collapsed="false">
      <c r="A360" s="21" t="s">
        <v>377</v>
      </c>
      <c r="B360" s="21" t="s">
        <v>534</v>
      </c>
      <c r="C360" s="21" t="s">
        <v>535</v>
      </c>
      <c r="D360" s="37" t="n">
        <f aca="false">ROUND(Q360*R360,0)</f>
        <v>265</v>
      </c>
      <c r="E360" s="37" t="n">
        <f aca="false">ROUND(Q360,0)-D360</f>
        <v>337</v>
      </c>
      <c r="F360" s="37" t="n">
        <f aca="false">IF(COUNTA(D360:E360)=0,"",SUM(D360:E360))</f>
        <v>602</v>
      </c>
      <c r="G360" s="52" t="n">
        <f aca="false">IF(OR(F360="",F360=0),"",D360/F360)</f>
        <v>0.440199335548173</v>
      </c>
      <c r="H360" s="52" t="n">
        <f aca="false">IF(OR(F360="",F360=0),"",E360/F360)</f>
        <v>0.559800664451827</v>
      </c>
      <c r="I360" s="21" t="s">
        <v>122</v>
      </c>
      <c r="J360" s="53" t="n">
        <v>3.02363014511423</v>
      </c>
      <c r="K360" s="52" t="n">
        <f aca="false">IF(G360="","",MAX(0,G360-J360/100))</f>
        <v>0.40996303409703</v>
      </c>
      <c r="L360" s="52" t="n">
        <f aca="false">IF(G360="","",MIN(1,G360+J360/100))</f>
        <v>0.470435636999315</v>
      </c>
      <c r="M360" s="37" t="n">
        <f aca="false">IF(F360="","",ROUND(F360*J360/100,0))</f>
        <v>18</v>
      </c>
      <c r="P360" s="54" t="n">
        <v>-5.35858335364406</v>
      </c>
      <c r="Q360" s="55" t="n">
        <f aca="false">T360*$H$5</f>
        <v>602.07868852459</v>
      </c>
      <c r="R360" s="56" t="n">
        <f aca="false">MAX(0,MIN(1,P360/100+$D$5))</f>
        <v>0.439917401352448</v>
      </c>
      <c r="S360" s="57" t="s">
        <v>123</v>
      </c>
      <c r="T360" s="55" t="n">
        <v>602.07868852459</v>
      </c>
    </row>
    <row r="361" customFormat="false" ht="15" hidden="false" customHeight="false" outlineLevel="0" collapsed="false">
      <c r="A361" s="21" t="s">
        <v>377</v>
      </c>
      <c r="B361" s="21" t="s">
        <v>536</v>
      </c>
      <c r="C361" s="21" t="s">
        <v>537</v>
      </c>
      <c r="D361" s="37" t="n">
        <f aca="false">ROUND(Q361*R361,0)</f>
        <v>245</v>
      </c>
      <c r="E361" s="37" t="n">
        <f aca="false">ROUND(Q361,0)-D361</f>
        <v>569</v>
      </c>
      <c r="F361" s="37" t="n">
        <f aca="false">IF(COUNTA(D361:E361)=0,"",SUM(D361:E361))</f>
        <v>814</v>
      </c>
      <c r="G361" s="52" t="n">
        <f aca="false">IF(OR(F361="",F361=0),"",D361/F361)</f>
        <v>0.300982800982801</v>
      </c>
      <c r="H361" s="52" t="n">
        <f aca="false">IF(OR(F361="",F361=0),"",E361/F361)</f>
        <v>0.699017199017199</v>
      </c>
      <c r="I361" s="21" t="s">
        <v>122</v>
      </c>
      <c r="J361" s="53" t="n">
        <v>1.80877416096373</v>
      </c>
      <c r="K361" s="52" t="n">
        <f aca="false">IF(G361="","",MAX(0,G361-J361/100))</f>
        <v>0.282895059373164</v>
      </c>
      <c r="L361" s="52" t="n">
        <f aca="false">IF(G361="","",MIN(1,G361+J361/100))</f>
        <v>0.319070542592438</v>
      </c>
      <c r="M361" s="37" t="n">
        <f aca="false">IF(F361="","",ROUND(F361*J361/100,0))</f>
        <v>15</v>
      </c>
      <c r="P361" s="54" t="n">
        <v>-19.2294081142694</v>
      </c>
      <c r="Q361" s="55" t="n">
        <f aca="false">T361*$H$5</f>
        <v>814.349042709867</v>
      </c>
      <c r="R361" s="56" t="n">
        <f aca="false">MAX(0,MIN(1,P361/100+$D$5))</f>
        <v>0.301209153746194</v>
      </c>
      <c r="S361" s="57" t="s">
        <v>132</v>
      </c>
      <c r="T361" s="55" t="n">
        <v>814.349042709867</v>
      </c>
    </row>
    <row r="362" customFormat="false" ht="15" hidden="false" customHeight="false" outlineLevel="0" collapsed="false">
      <c r="A362" s="21" t="s">
        <v>377</v>
      </c>
      <c r="B362" s="21" t="s">
        <v>536</v>
      </c>
      <c r="C362" s="21" t="s">
        <v>538</v>
      </c>
      <c r="D362" s="37" t="n">
        <f aca="false">ROUND(Q362*R362,0)</f>
        <v>206</v>
      </c>
      <c r="E362" s="37" t="n">
        <f aca="false">ROUND(Q362,0)-D362</f>
        <v>411</v>
      </c>
      <c r="F362" s="37" t="n">
        <f aca="false">IF(COUNTA(D362:E362)=0,"",SUM(D362:E362))</f>
        <v>617</v>
      </c>
      <c r="G362" s="52" t="n">
        <f aca="false">IF(OR(F362="",F362=0),"",D362/F362)</f>
        <v>0.33387358184765</v>
      </c>
      <c r="H362" s="52" t="n">
        <f aca="false">IF(OR(F362="",F362=0),"",E362/F362)</f>
        <v>0.66612641815235</v>
      </c>
      <c r="I362" s="21" t="s">
        <v>122</v>
      </c>
      <c r="J362" s="53" t="n">
        <v>3.02363014511423</v>
      </c>
      <c r="K362" s="52" t="n">
        <f aca="false">IF(G362="","",MAX(0,G362-J362/100))</f>
        <v>0.303637280396508</v>
      </c>
      <c r="L362" s="52" t="n">
        <f aca="false">IF(G362="","",MIN(1,G362+J362/100))</f>
        <v>0.364109883298792</v>
      </c>
      <c r="M362" s="37" t="n">
        <f aca="false">IF(F362="","",ROUND(F362*J362/100,0))</f>
        <v>19</v>
      </c>
      <c r="P362" s="54" t="n">
        <v>-15.982143867655</v>
      </c>
      <c r="Q362" s="55" t="n">
        <f aca="false">T362*$H$5</f>
        <v>617.366628830874</v>
      </c>
      <c r="R362" s="56" t="n">
        <f aca="false">MAX(0,MIN(1,P362/100+$D$5))</f>
        <v>0.333681796212338</v>
      </c>
      <c r="S362" s="57" t="s">
        <v>123</v>
      </c>
      <c r="T362" s="55" t="n">
        <v>617.366628830874</v>
      </c>
    </row>
    <row r="363" customFormat="false" ht="15" hidden="false" customHeight="false" outlineLevel="0" collapsed="false">
      <c r="A363" s="21" t="s">
        <v>377</v>
      </c>
      <c r="B363" s="21" t="s">
        <v>536</v>
      </c>
      <c r="C363" s="21" t="s">
        <v>539</v>
      </c>
      <c r="D363" s="37" t="n">
        <f aca="false">ROUND(Q363*R363,0)</f>
        <v>155</v>
      </c>
      <c r="E363" s="37" t="n">
        <f aca="false">ROUND(Q363,0)-D363</f>
        <v>373</v>
      </c>
      <c r="F363" s="37" t="n">
        <f aca="false">IF(COUNTA(D363:E363)=0,"",SUM(D363:E363))</f>
        <v>528</v>
      </c>
      <c r="G363" s="52" t="n">
        <f aca="false">IF(OR(F363="",F363=0),"",D363/F363)</f>
        <v>0.293560606060606</v>
      </c>
      <c r="H363" s="52" t="n">
        <f aca="false">IF(OR(F363="",F363=0),"",E363/F363)</f>
        <v>0.706439393939394</v>
      </c>
      <c r="I363" s="21" t="s">
        <v>122</v>
      </c>
      <c r="J363" s="53" t="n">
        <v>3.02363014511423</v>
      </c>
      <c r="K363" s="52" t="n">
        <f aca="false">IF(G363="","",MAX(0,G363-J363/100))</f>
        <v>0.263324304609464</v>
      </c>
      <c r="L363" s="52" t="n">
        <f aca="false">IF(G363="","",MIN(1,G363+J363/100))</f>
        <v>0.323796907511748</v>
      </c>
      <c r="M363" s="37" t="n">
        <f aca="false">IF(F363="","",ROUND(F363*J363/100,0))</f>
        <v>16</v>
      </c>
      <c r="P363" s="54" t="n">
        <v>-19.9853857726086</v>
      </c>
      <c r="Q363" s="55" t="n">
        <f aca="false">T363*$H$5</f>
        <v>528.071059431524</v>
      </c>
      <c r="R363" s="56" t="n">
        <f aca="false">MAX(0,MIN(1,P363/100+$D$5))</f>
        <v>0.293649377162802</v>
      </c>
      <c r="S363" s="57" t="s">
        <v>123</v>
      </c>
      <c r="T363" s="55" t="n">
        <v>528.071059431524</v>
      </c>
    </row>
    <row r="364" customFormat="false" ht="15" hidden="false" customHeight="false" outlineLevel="0" collapsed="false">
      <c r="A364" s="21" t="s">
        <v>377</v>
      </c>
      <c r="B364" s="21" t="s">
        <v>536</v>
      </c>
      <c r="C364" s="21" t="s">
        <v>540</v>
      </c>
      <c r="D364" s="37" t="n">
        <f aca="false">ROUND(Q364*R364,0)</f>
        <v>141</v>
      </c>
      <c r="E364" s="37" t="n">
        <f aca="false">ROUND(Q364,0)-D364</f>
        <v>322</v>
      </c>
      <c r="F364" s="37" t="n">
        <f aca="false">IF(COUNTA(D364:E364)=0,"",SUM(D364:E364))</f>
        <v>463</v>
      </c>
      <c r="G364" s="52" t="n">
        <f aca="false">IF(OR(F364="",F364=0),"",D364/F364)</f>
        <v>0.304535637149028</v>
      </c>
      <c r="H364" s="52" t="n">
        <f aca="false">IF(OR(F364="",F364=0),"",E364/F364)</f>
        <v>0.695464362850972</v>
      </c>
      <c r="I364" s="21" t="s">
        <v>122</v>
      </c>
      <c r="J364" s="53" t="n">
        <v>3.02363014511423</v>
      </c>
      <c r="K364" s="52" t="n">
        <f aca="false">IF(G364="","",MAX(0,G364-J364/100))</f>
        <v>0.274299335697886</v>
      </c>
      <c r="L364" s="52" t="n">
        <f aca="false">IF(G364="","",MIN(1,G364+J364/100))</f>
        <v>0.33477193860017</v>
      </c>
      <c r="M364" s="37" t="n">
        <f aca="false">IF(F364="","",ROUND(F364*J364/100,0))</f>
        <v>14</v>
      </c>
      <c r="P364" s="54" t="n">
        <v>-18.9826917361534</v>
      </c>
      <c r="Q364" s="55" t="n">
        <f aca="false">T364*$H$5</f>
        <v>463.140604467805</v>
      </c>
      <c r="R364" s="56" t="n">
        <f aca="false">MAX(0,MIN(1,P364/100+$D$5))</f>
        <v>0.303676317527355</v>
      </c>
      <c r="S364" s="57" t="s">
        <v>123</v>
      </c>
      <c r="T364" s="55" t="n">
        <v>463.140604467805</v>
      </c>
    </row>
    <row r="365" customFormat="false" ht="15" hidden="false" customHeight="false" outlineLevel="0" collapsed="false">
      <c r="A365" s="21" t="s">
        <v>377</v>
      </c>
      <c r="B365" s="21" t="s">
        <v>536</v>
      </c>
      <c r="C365" s="21" t="s">
        <v>541</v>
      </c>
      <c r="D365" s="37" t="n">
        <f aca="false">ROUND(Q365*R365,0)</f>
        <v>267</v>
      </c>
      <c r="E365" s="37" t="n">
        <f aca="false">ROUND(Q365,0)-D365</f>
        <v>459</v>
      </c>
      <c r="F365" s="37" t="n">
        <f aca="false">IF(COUNTA(D365:E365)=0,"",SUM(D365:E365))</f>
        <v>726</v>
      </c>
      <c r="G365" s="52" t="n">
        <f aca="false">IF(OR(F365="",F365=0),"",D365/F365)</f>
        <v>0.367768595041322</v>
      </c>
      <c r="H365" s="52" t="n">
        <f aca="false">IF(OR(F365="",F365=0),"",E365/F365)</f>
        <v>0.632231404958678</v>
      </c>
      <c r="I365" s="21" t="s">
        <v>122</v>
      </c>
      <c r="J365" s="53" t="n">
        <v>3.02363014511423</v>
      </c>
      <c r="K365" s="52" t="n">
        <f aca="false">IF(G365="","",MAX(0,G365-J365/100))</f>
        <v>0.33753229359018</v>
      </c>
      <c r="L365" s="52" t="n">
        <f aca="false">IF(G365="","",MIN(1,G365+J365/100))</f>
        <v>0.398004896492465</v>
      </c>
      <c r="M365" s="37" t="n">
        <f aca="false">IF(F365="","",ROUND(F365*J365/100,0))</f>
        <v>22</v>
      </c>
      <c r="P365" s="54" t="n">
        <v>-12.5510561761835</v>
      </c>
      <c r="Q365" s="55" t="n">
        <f aca="false">T365*$H$5</f>
        <v>726.367947669665</v>
      </c>
      <c r="R365" s="56" t="n">
        <f aca="false">MAX(0,MIN(1,P365/100+$D$5))</f>
        <v>0.367992673127054</v>
      </c>
      <c r="S365" s="57" t="s">
        <v>123</v>
      </c>
      <c r="T365" s="55" t="n">
        <v>726.367947669665</v>
      </c>
    </row>
    <row r="366" customFormat="false" ht="15" hidden="false" customHeight="false" outlineLevel="0" collapsed="false">
      <c r="A366" s="21" t="s">
        <v>377</v>
      </c>
      <c r="B366" s="21" t="s">
        <v>542</v>
      </c>
      <c r="C366" s="21" t="s">
        <v>543</v>
      </c>
      <c r="D366" s="37" t="n">
        <f aca="false">ROUND(Q366*R366,0)</f>
        <v>621</v>
      </c>
      <c r="E366" s="37" t="n">
        <f aca="false">ROUND(Q366,0)-D366</f>
        <v>629</v>
      </c>
      <c r="F366" s="37" t="n">
        <f aca="false">IF(COUNTA(D366:E366)=0,"",SUM(D366:E366))</f>
        <v>1250</v>
      </c>
      <c r="G366" s="52" t="n">
        <f aca="false">IF(OR(F366="",F366=0),"",D366/F366)</f>
        <v>0.4968</v>
      </c>
      <c r="H366" s="52" t="n">
        <f aca="false">IF(OR(F366="",F366=0),"",E366/F366)</f>
        <v>0.5032</v>
      </c>
      <c r="I366" s="21" t="s">
        <v>122</v>
      </c>
      <c r="J366" s="53" t="n">
        <v>1.24981746705324</v>
      </c>
      <c r="K366" s="52" t="n">
        <f aca="false">IF(G366="","",MAX(0,G366-J366/100))</f>
        <v>0.484301825329468</v>
      </c>
      <c r="L366" s="52" t="n">
        <f aca="false">IF(G366="","",MIN(1,G366+J366/100))</f>
        <v>0.509298174670532</v>
      </c>
      <c r="M366" s="37" t="n">
        <f aca="false">IF(F366="","",ROUND(F366*J366/100,0))</f>
        <v>16</v>
      </c>
      <c r="P366" s="54" t="n">
        <v>0.344129660247556</v>
      </c>
      <c r="Q366" s="55" t="n">
        <f aca="false">T366*$H$5</f>
        <v>1250.41526045488</v>
      </c>
      <c r="R366" s="56" t="n">
        <f aca="false">MAX(0,MIN(1,P366/100+$D$5))</f>
        <v>0.496944531491364</v>
      </c>
      <c r="S366" s="57" t="s">
        <v>225</v>
      </c>
      <c r="T366" s="55" t="n">
        <v>1250.41526045488</v>
      </c>
    </row>
    <row r="367" customFormat="false" ht="15" hidden="false" customHeight="false" outlineLevel="0" collapsed="false">
      <c r="A367" s="21" t="s">
        <v>377</v>
      </c>
      <c r="B367" s="21" t="s">
        <v>542</v>
      </c>
      <c r="C367" s="21" t="s">
        <v>544</v>
      </c>
      <c r="D367" s="37" t="n">
        <f aca="false">ROUND(Q367*R367,0)</f>
        <v>279</v>
      </c>
      <c r="E367" s="37" t="n">
        <f aca="false">ROUND(Q367,0)-D367</f>
        <v>300</v>
      </c>
      <c r="F367" s="37" t="n">
        <f aca="false">IF(COUNTA(D367:E367)=0,"",SUM(D367:E367))</f>
        <v>579</v>
      </c>
      <c r="G367" s="52" t="n">
        <f aca="false">IF(OR(F367="",F367=0),"",D367/F367)</f>
        <v>0.481865284974093</v>
      </c>
      <c r="H367" s="52" t="n">
        <f aca="false">IF(OR(F367="",F367=0),"",E367/F367)</f>
        <v>0.518134715025907</v>
      </c>
      <c r="I367" s="21" t="s">
        <v>223</v>
      </c>
      <c r="J367" s="53" t="n">
        <v>3.02363014511423</v>
      </c>
      <c r="K367" s="52" t="n">
        <f aca="false">IF(G367="","",MAX(0,G367-J367/100))</f>
        <v>0.451628983522951</v>
      </c>
      <c r="L367" s="52" t="n">
        <f aca="false">IF(G367="","",MIN(1,G367+J367/100))</f>
        <v>0.512101586425236</v>
      </c>
      <c r="M367" s="37" t="n">
        <f aca="false">IF(F367="","",ROUND(F367*J367/100,0))</f>
        <v>18</v>
      </c>
      <c r="P367" s="54" t="n">
        <v>-1.09383936452444</v>
      </c>
      <c r="Q367" s="55" t="n">
        <f aca="false">T367*$H$5</f>
        <v>579.050076181952</v>
      </c>
      <c r="R367" s="56" t="n">
        <f aca="false">MAX(0,MIN(1,P367/100+$D$5))</f>
        <v>0.482564841243644</v>
      </c>
      <c r="S367" s="57" t="s">
        <v>123</v>
      </c>
      <c r="T367" s="55" t="n">
        <v>579.050076181952</v>
      </c>
    </row>
    <row r="368" customFormat="false" ht="15" hidden="false" customHeight="false" outlineLevel="0" collapsed="false">
      <c r="A368" s="21" t="s">
        <v>377</v>
      </c>
      <c r="B368" s="21" t="s">
        <v>542</v>
      </c>
      <c r="C368" s="21" t="s">
        <v>545</v>
      </c>
      <c r="D368" s="37" t="n">
        <f aca="false">ROUND(Q368*R368,0)</f>
        <v>501</v>
      </c>
      <c r="E368" s="37" t="n">
        <f aca="false">ROUND(Q368,0)-D368</f>
        <v>500</v>
      </c>
      <c r="F368" s="37" t="n">
        <f aca="false">IF(COUNTA(D368:E368)=0,"",SUM(D368:E368))</f>
        <v>1001</v>
      </c>
      <c r="G368" s="52" t="n">
        <f aca="false">IF(OR(F368="",F368=0),"",D368/F368)</f>
        <v>0.500499500499501</v>
      </c>
      <c r="H368" s="52" t="n">
        <f aca="false">IF(OR(F368="",F368=0),"",E368/F368)</f>
        <v>0.4995004995005</v>
      </c>
      <c r="I368" s="21" t="s">
        <v>122</v>
      </c>
      <c r="J368" s="53" t="n">
        <v>1.80877416096373</v>
      </c>
      <c r="K368" s="52" t="n">
        <f aca="false">IF(G368="","",MAX(0,G368-J368/100))</f>
        <v>0.482411758889863</v>
      </c>
      <c r="L368" s="52" t="n">
        <f aca="false">IF(G368="","",MIN(1,G368+J368/100))</f>
        <v>0.518587242109138</v>
      </c>
      <c r="M368" s="37" t="n">
        <f aca="false">IF(F368="","",ROUND(F368*J368/100,0))</f>
        <v>18</v>
      </c>
      <c r="P368" s="54" t="n">
        <v>0.697243503121775</v>
      </c>
      <c r="Q368" s="55" t="n">
        <f aca="false">T368*$H$5</f>
        <v>1000.79736842105</v>
      </c>
      <c r="R368" s="56" t="n">
        <f aca="false">MAX(0,MIN(1,P368/100+$D$5))</f>
        <v>0.500475669920106</v>
      </c>
      <c r="S368" s="57" t="s">
        <v>132</v>
      </c>
      <c r="T368" s="55" t="n">
        <v>1000.79736842105</v>
      </c>
    </row>
    <row r="369" customFormat="false" ht="15" hidden="false" customHeight="false" outlineLevel="0" collapsed="false">
      <c r="A369" s="21" t="s">
        <v>377</v>
      </c>
      <c r="B369" s="21" t="s">
        <v>542</v>
      </c>
      <c r="C369" s="21" t="s">
        <v>546</v>
      </c>
      <c r="D369" s="37" t="n">
        <f aca="false">ROUND(Q369*R369,0)</f>
        <v>212</v>
      </c>
      <c r="E369" s="37" t="n">
        <f aca="false">ROUND(Q369,0)-D369</f>
        <v>226</v>
      </c>
      <c r="F369" s="37" t="n">
        <f aca="false">IF(COUNTA(D369:E369)=0,"",SUM(D369:E369))</f>
        <v>438</v>
      </c>
      <c r="G369" s="52" t="n">
        <f aca="false">IF(OR(F369="",F369=0),"",D369/F369)</f>
        <v>0.484018264840183</v>
      </c>
      <c r="H369" s="52" t="n">
        <f aca="false">IF(OR(F369="",F369=0),"",E369/F369)</f>
        <v>0.515981735159817</v>
      </c>
      <c r="I369" s="21" t="s">
        <v>223</v>
      </c>
      <c r="J369" s="53" t="n">
        <v>3.02363014511423</v>
      </c>
      <c r="K369" s="52" t="n">
        <f aca="false">IF(G369="","",MAX(0,G369-J369/100))</f>
        <v>0.45378196338904</v>
      </c>
      <c r="L369" s="52" t="n">
        <f aca="false">IF(G369="","",MIN(1,G369+J369/100))</f>
        <v>0.514254566291325</v>
      </c>
      <c r="M369" s="37" t="n">
        <f aca="false">IF(F369="","",ROUND(F369*J369/100,0))</f>
        <v>13</v>
      </c>
      <c r="P369" s="54" t="n">
        <v>-0.859836217638564</v>
      </c>
      <c r="Q369" s="55" t="n">
        <f aca="false">T369*$H$5</f>
        <v>437.845048152704</v>
      </c>
      <c r="R369" s="56" t="n">
        <f aca="false">MAX(0,MIN(1,P369/100+$D$5))</f>
        <v>0.484904872712503</v>
      </c>
      <c r="S369" s="57" t="s">
        <v>123</v>
      </c>
      <c r="T369" s="55" t="n">
        <v>437.845048152704</v>
      </c>
    </row>
    <row r="370" customFormat="false" ht="15" hidden="false" customHeight="false" outlineLevel="0" collapsed="false">
      <c r="A370" s="21" t="s">
        <v>377</v>
      </c>
      <c r="B370" s="21" t="s">
        <v>547</v>
      </c>
      <c r="C370" s="21" t="s">
        <v>548</v>
      </c>
      <c r="D370" s="37" t="n">
        <f aca="false">ROUND(Q370*R370,0)</f>
        <v>305</v>
      </c>
      <c r="E370" s="37" t="n">
        <f aca="false">ROUND(Q370,0)-D370</f>
        <v>456</v>
      </c>
      <c r="F370" s="37" t="n">
        <f aca="false">IF(COUNTA(D370:E370)=0,"",SUM(D370:E370))</f>
        <v>761</v>
      </c>
      <c r="G370" s="52" t="n">
        <f aca="false">IF(OR(F370="",F370=0),"",D370/F370)</f>
        <v>0.400788436268068</v>
      </c>
      <c r="H370" s="52" t="n">
        <f aca="false">IF(OR(F370="",F370=0),"",E370/F370)</f>
        <v>0.599211563731932</v>
      </c>
      <c r="I370" s="21" t="s">
        <v>122</v>
      </c>
      <c r="J370" s="53" t="n">
        <v>3.02363014511423</v>
      </c>
      <c r="K370" s="52" t="n">
        <f aca="false">IF(G370="","",MAX(0,G370-J370/100))</f>
        <v>0.370552134816926</v>
      </c>
      <c r="L370" s="52" t="n">
        <f aca="false">IF(G370="","",MIN(1,G370+J370/100))</f>
        <v>0.431024737719211</v>
      </c>
      <c r="M370" s="37" t="n">
        <f aca="false">IF(F370="","",ROUND(F370*J370/100,0))</f>
        <v>23</v>
      </c>
      <c r="P370" s="54" t="n">
        <v>-9.3379183654795</v>
      </c>
      <c r="Q370" s="55" t="n">
        <f aca="false">T370*$H$5</f>
        <v>761.429837518464</v>
      </c>
      <c r="R370" s="56" t="n">
        <f aca="false">MAX(0,MIN(1,P370/100+$D$5))</f>
        <v>0.400124051234093</v>
      </c>
      <c r="S370" s="57" t="s">
        <v>123</v>
      </c>
      <c r="T370" s="55" t="n">
        <v>761.429837518464</v>
      </c>
    </row>
    <row r="371" customFormat="false" ht="15" hidden="false" customHeight="false" outlineLevel="0" collapsed="false">
      <c r="A371" s="21" t="s">
        <v>377</v>
      </c>
      <c r="B371" s="21" t="s">
        <v>352</v>
      </c>
      <c r="C371" s="21" t="s">
        <v>549</v>
      </c>
      <c r="D371" s="37" t="n">
        <f aca="false">ROUND(Q371*R371,0)</f>
        <v>429</v>
      </c>
      <c r="E371" s="37" t="n">
        <f aca="false">ROUND(Q371,0)-D371</f>
        <v>821</v>
      </c>
      <c r="F371" s="37" t="n">
        <f aca="false">IF(COUNTA(D371:E371)=0,"",SUM(D371:E371))</f>
        <v>1250</v>
      </c>
      <c r="G371" s="52" t="n">
        <f aca="false">IF(OR(F371="",F371=0),"",D371/F371)</f>
        <v>0.3432</v>
      </c>
      <c r="H371" s="52" t="n">
        <f aca="false">IF(OR(F371="",F371=0),"",E371/F371)</f>
        <v>0.6568</v>
      </c>
      <c r="I371" s="21" t="s">
        <v>122</v>
      </c>
      <c r="J371" s="53" t="n">
        <v>1.24981746705324</v>
      </c>
      <c r="K371" s="52" t="n">
        <f aca="false">IF(G371="","",MAX(0,G371-J371/100))</f>
        <v>0.330701825329468</v>
      </c>
      <c r="L371" s="52" t="n">
        <f aca="false">IF(G371="","",MIN(1,G371+J371/100))</f>
        <v>0.355698174670532</v>
      </c>
      <c r="M371" s="37" t="n">
        <f aca="false">IF(F371="","",ROUND(F371*J371/100,0))</f>
        <v>16</v>
      </c>
      <c r="P371" s="54" t="n">
        <v>-15.0311163809576</v>
      </c>
      <c r="Q371" s="55" t="n">
        <f aca="false">T371*$H$5</f>
        <v>1250.46090534979</v>
      </c>
      <c r="R371" s="56" t="n">
        <f aca="false">MAX(0,MIN(1,P371/100+$D$5))</f>
        <v>0.343192071079312</v>
      </c>
      <c r="S371" s="57" t="s">
        <v>225</v>
      </c>
      <c r="T371" s="55" t="n">
        <v>1250.46090534979</v>
      </c>
    </row>
    <row r="372" customFormat="false" ht="15" hidden="false" customHeight="false" outlineLevel="0" collapsed="false">
      <c r="A372" s="21" t="s">
        <v>377</v>
      </c>
      <c r="B372" s="21" t="s">
        <v>352</v>
      </c>
      <c r="C372" s="21" t="s">
        <v>550</v>
      </c>
      <c r="D372" s="37" t="n">
        <f aca="false">ROUND(Q372*R372,0)</f>
        <v>761</v>
      </c>
      <c r="E372" s="37" t="n">
        <f aca="false">ROUND(Q372,0)-D372</f>
        <v>1488</v>
      </c>
      <c r="F372" s="37" t="n">
        <f aca="false">IF(COUNTA(D372:E372)=0,"",SUM(D372:E372))</f>
        <v>2249</v>
      </c>
      <c r="G372" s="52" t="n">
        <f aca="false">IF(OR(F372="",F372=0),"",D372/F372)</f>
        <v>0.338372610048911</v>
      </c>
      <c r="H372" s="52" t="n">
        <f aca="false">IF(OR(F372="",F372=0),"",E372/F372)</f>
        <v>0.661627389951089</v>
      </c>
      <c r="I372" s="21" t="s">
        <v>551</v>
      </c>
      <c r="J372" s="53" t="n">
        <v>1.24981746705324</v>
      </c>
      <c r="K372" s="52" t="n">
        <f aca="false">IF(G372="","",MAX(0,G372-J372/100))</f>
        <v>0.325874435378378</v>
      </c>
      <c r="L372" s="52" t="n">
        <f aca="false">IF(G372="","",MIN(1,G372+J372/100))</f>
        <v>0.350870784719443</v>
      </c>
      <c r="M372" s="37" t="n">
        <f aca="false">IF(F372="","",ROUND(F372*J372/100,0))</f>
        <v>28</v>
      </c>
      <c r="P372" s="54" t="n">
        <v>-15.5023731462124</v>
      </c>
      <c r="Q372" s="55" t="n">
        <f aca="false">T372*$H$5</f>
        <v>2249.34127837515</v>
      </c>
      <c r="R372" s="56" t="n">
        <f aca="false">MAX(0,MIN(1,P372/100+$D$5))</f>
        <v>0.338479503426764</v>
      </c>
      <c r="S372" s="57" t="s">
        <v>225</v>
      </c>
      <c r="T372" s="55" t="n">
        <v>2249.34127837515</v>
      </c>
    </row>
    <row r="373" customFormat="false" ht="15" hidden="false" customHeight="false" outlineLevel="0" collapsed="false">
      <c r="A373" s="21" t="s">
        <v>377</v>
      </c>
      <c r="B373" s="21" t="s">
        <v>552</v>
      </c>
      <c r="C373" s="21" t="s">
        <v>552</v>
      </c>
      <c r="D373" s="37" t="n">
        <f aca="false">ROUND(Q373*R373,0)</f>
        <v>217</v>
      </c>
      <c r="E373" s="37" t="n">
        <f aca="false">ROUND(Q373,0)-D373</f>
        <v>221</v>
      </c>
      <c r="F373" s="37" t="n">
        <f aca="false">IF(COUNTA(D373:E373)=0,"",SUM(D373:E373))</f>
        <v>438</v>
      </c>
      <c r="G373" s="52" t="n">
        <f aca="false">IF(OR(F373="",F373=0),"",D373/F373)</f>
        <v>0.495433789954338</v>
      </c>
      <c r="H373" s="52" t="n">
        <f aca="false">IF(OR(F373="",F373=0),"",E373/F373)</f>
        <v>0.504566210045662</v>
      </c>
      <c r="I373" s="21" t="s">
        <v>122</v>
      </c>
      <c r="J373" s="53" t="n">
        <v>3.02363014511423</v>
      </c>
      <c r="K373" s="52" t="n">
        <f aca="false">IF(G373="","",MAX(0,G373-J373/100))</f>
        <v>0.465197488503196</v>
      </c>
      <c r="L373" s="52" t="n">
        <f aca="false">IF(G373="","",MIN(1,G373+J373/100))</f>
        <v>0.52567009140548</v>
      </c>
      <c r="M373" s="37" t="n">
        <f aca="false">IF(F373="","",ROUND(F373*J373/100,0))</f>
        <v>13</v>
      </c>
      <c r="P373" s="54" t="n">
        <v>0.0608969394322613</v>
      </c>
      <c r="Q373" s="55" t="n">
        <f aca="false">T373*$H$5</f>
        <v>438.29213483146</v>
      </c>
      <c r="R373" s="56" t="n">
        <f aca="false">MAX(0,MIN(1,P373/100+$D$5))</f>
        <v>0.494112204283211</v>
      </c>
      <c r="S373" s="57" t="s">
        <v>123</v>
      </c>
      <c r="T373" s="55" t="n">
        <v>438.29213483146</v>
      </c>
    </row>
    <row r="374" customFormat="false" ht="15" hidden="false" customHeight="false" outlineLevel="0" collapsed="false">
      <c r="A374" s="21" t="s">
        <v>377</v>
      </c>
      <c r="B374" s="21" t="s">
        <v>553</v>
      </c>
      <c r="C374" s="21" t="s">
        <v>554</v>
      </c>
      <c r="D374" s="37" t="n">
        <f aca="false">ROUND(Q374*R374,0)</f>
        <v>432</v>
      </c>
      <c r="E374" s="37" t="n">
        <f aca="false">ROUND(Q374,0)-D374</f>
        <v>547</v>
      </c>
      <c r="F374" s="37" t="n">
        <f aca="false">IF(COUNTA(D374:E374)=0,"",SUM(D374:E374))</f>
        <v>979</v>
      </c>
      <c r="G374" s="52" t="n">
        <f aca="false">IF(OR(F374="",F374=0),"",D374/F374)</f>
        <v>0.441266598569969</v>
      </c>
      <c r="H374" s="52" t="n">
        <f aca="false">IF(OR(F374="",F374=0),"",E374/F374)</f>
        <v>0.558733401430031</v>
      </c>
      <c r="I374" s="21" t="s">
        <v>122</v>
      </c>
      <c r="J374" s="53" t="n">
        <v>1.80877416096373</v>
      </c>
      <c r="K374" s="52" t="n">
        <f aca="false">IF(G374="","",MAX(0,G374-J374/100))</f>
        <v>0.423178856960332</v>
      </c>
      <c r="L374" s="52" t="n">
        <f aca="false">IF(G374="","",MIN(1,G374+J374/100))</f>
        <v>0.459354340179607</v>
      </c>
      <c r="M374" s="37" t="n">
        <f aca="false">IF(F374="","",ROUND(F374*J374/100,0))</f>
        <v>18</v>
      </c>
      <c r="P374" s="54" t="n">
        <v>-5.23390750932136</v>
      </c>
      <c r="Q374" s="55" t="n">
        <f aca="false">T374*$H$5</f>
        <v>979.331514324693</v>
      </c>
      <c r="R374" s="56" t="n">
        <f aca="false">MAX(0,MIN(1,P374/100+$D$5))</f>
        <v>0.441164159795675</v>
      </c>
      <c r="S374" s="57" t="s">
        <v>132</v>
      </c>
      <c r="T374" s="55" t="n">
        <v>979.331514324693</v>
      </c>
    </row>
    <row r="375" customFormat="false" ht="15" hidden="false" customHeight="false" outlineLevel="0" collapsed="false">
      <c r="A375" s="21" t="s">
        <v>377</v>
      </c>
      <c r="B375" s="21" t="s">
        <v>553</v>
      </c>
      <c r="C375" s="21" t="s">
        <v>555</v>
      </c>
      <c r="D375" s="37" t="n">
        <f aca="false">ROUND(Q375*R375,0)</f>
        <v>374</v>
      </c>
      <c r="E375" s="37" t="n">
        <f aca="false">ROUND(Q375,0)-D375</f>
        <v>554</v>
      </c>
      <c r="F375" s="37" t="n">
        <f aca="false">IF(COUNTA(D375:E375)=0,"",SUM(D375:E375))</f>
        <v>928</v>
      </c>
      <c r="G375" s="52" t="n">
        <f aca="false">IF(OR(F375="",F375=0),"",D375/F375)</f>
        <v>0.40301724137931</v>
      </c>
      <c r="H375" s="52" t="n">
        <f aca="false">IF(OR(F375="",F375=0),"",E375/F375)</f>
        <v>0.59698275862069</v>
      </c>
      <c r="I375" s="21" t="s">
        <v>122</v>
      </c>
      <c r="J375" s="53" t="n">
        <v>1.80877416096373</v>
      </c>
      <c r="K375" s="52" t="n">
        <f aca="false">IF(G375="","",MAX(0,G375-J375/100))</f>
        <v>0.384929499769673</v>
      </c>
      <c r="L375" s="52" t="n">
        <f aca="false">IF(G375="","",MIN(1,G375+J375/100))</f>
        <v>0.421104982988948</v>
      </c>
      <c r="M375" s="37" t="n">
        <f aca="false">IF(F375="","",ROUND(F375*J375/100,0))</f>
        <v>17</v>
      </c>
      <c r="P375" s="54" t="n">
        <v>-9.0873547168522</v>
      </c>
      <c r="Q375" s="55" t="n">
        <f aca="false">T375*$H$5</f>
        <v>927.869774919614</v>
      </c>
      <c r="R375" s="56" t="n">
        <f aca="false">MAX(0,MIN(1,P375/100+$D$5))</f>
        <v>0.402629687720366</v>
      </c>
      <c r="S375" s="57" t="s">
        <v>132</v>
      </c>
      <c r="T375" s="55" t="n">
        <v>927.869774919614</v>
      </c>
    </row>
    <row r="376" customFormat="false" ht="15" hidden="false" customHeight="false" outlineLevel="0" collapsed="false">
      <c r="A376" s="21" t="s">
        <v>377</v>
      </c>
      <c r="B376" s="21" t="s">
        <v>553</v>
      </c>
      <c r="C376" s="21" t="s">
        <v>556</v>
      </c>
      <c r="D376" s="37" t="n">
        <f aca="false">ROUND(Q376*R376,0)</f>
        <v>444</v>
      </c>
      <c r="E376" s="37" t="n">
        <f aca="false">ROUND(Q376,0)-D376</f>
        <v>445</v>
      </c>
      <c r="F376" s="37" t="n">
        <f aca="false">IF(COUNTA(D376:E376)=0,"",SUM(D376:E376))</f>
        <v>889</v>
      </c>
      <c r="G376" s="52" t="n">
        <f aca="false">IF(OR(F376="",F376=0),"",D376/F376)</f>
        <v>0.499437570303712</v>
      </c>
      <c r="H376" s="52" t="n">
        <f aca="false">IF(OR(F376="",F376=0),"",E376/F376)</f>
        <v>0.500562429696288</v>
      </c>
      <c r="I376" s="21" t="s">
        <v>122</v>
      </c>
      <c r="J376" s="53" t="n">
        <v>1.80877416096373</v>
      </c>
      <c r="K376" s="52" t="n">
        <f aca="false">IF(G376="","",MAX(0,G376-J376/100))</f>
        <v>0.481349828694075</v>
      </c>
      <c r="L376" s="52" t="n">
        <f aca="false">IF(G376="","",MIN(1,G376+J376/100))</f>
        <v>0.517525311913349</v>
      </c>
      <c r="M376" s="37" t="n">
        <f aca="false">IF(F376="","",ROUND(F376*J376/100,0))</f>
        <v>16</v>
      </c>
      <c r="P376" s="54" t="n">
        <v>0.64283542075415</v>
      </c>
      <c r="Q376" s="55" t="n">
        <f aca="false">T376*$H$5</f>
        <v>888.564146620848</v>
      </c>
      <c r="R376" s="56" t="n">
        <f aca="false">MAX(0,MIN(1,P376/100+$D$5))</f>
        <v>0.49993158909643</v>
      </c>
      <c r="S376" s="57" t="s">
        <v>132</v>
      </c>
      <c r="T376" s="55" t="n">
        <v>888.564146620848</v>
      </c>
    </row>
    <row r="377" customFormat="false" ht="15" hidden="false" customHeight="false" outlineLevel="0" collapsed="false">
      <c r="A377" s="21" t="s">
        <v>377</v>
      </c>
      <c r="B377" s="21" t="s">
        <v>553</v>
      </c>
      <c r="C377" s="21" t="s">
        <v>557</v>
      </c>
      <c r="D377" s="37" t="n">
        <f aca="false">ROUND(Q377*R377,0)</f>
        <v>249</v>
      </c>
      <c r="E377" s="37" t="n">
        <f aca="false">ROUND(Q377,0)-D377</f>
        <v>332</v>
      </c>
      <c r="F377" s="37" t="n">
        <f aca="false">IF(COUNTA(D377:E377)=0,"",SUM(D377:E377))</f>
        <v>581</v>
      </c>
      <c r="G377" s="52" t="n">
        <f aca="false">IF(OR(F377="",F377=0),"",D377/F377)</f>
        <v>0.428571428571429</v>
      </c>
      <c r="H377" s="52" t="n">
        <f aca="false">IF(OR(F377="",F377=0),"",E377/F377)</f>
        <v>0.571428571428571</v>
      </c>
      <c r="I377" s="21" t="s">
        <v>122</v>
      </c>
      <c r="J377" s="53" t="n">
        <v>3.02363014511423</v>
      </c>
      <c r="K377" s="52" t="n">
        <f aca="false">IF(G377="","",MAX(0,G377-J377/100))</f>
        <v>0.398335127120286</v>
      </c>
      <c r="L377" s="52" t="n">
        <f aca="false">IF(G377="","",MIN(1,G377+J377/100))</f>
        <v>0.458807730022571</v>
      </c>
      <c r="M377" s="37" t="n">
        <f aca="false">IF(F377="","",ROUND(F377*J377/100,0))</f>
        <v>18</v>
      </c>
      <c r="P377" s="54" t="n">
        <v>-6.51774897939038</v>
      </c>
      <c r="Q377" s="55" t="n">
        <f aca="false">T377*$H$5</f>
        <v>580.714285714285</v>
      </c>
      <c r="R377" s="56" t="n">
        <f aca="false">MAX(0,MIN(1,P377/100+$D$5))</f>
        <v>0.428325745094984</v>
      </c>
      <c r="S377" s="57" t="s">
        <v>123</v>
      </c>
      <c r="T377" s="55" t="n">
        <v>580.714285714285</v>
      </c>
    </row>
    <row r="378" customFormat="false" ht="15" hidden="false" customHeight="false" outlineLevel="0" collapsed="false">
      <c r="A378" s="21" t="s">
        <v>377</v>
      </c>
      <c r="B378" s="21" t="s">
        <v>558</v>
      </c>
      <c r="C378" s="21" t="s">
        <v>559</v>
      </c>
      <c r="D378" s="37" t="n">
        <f aca="false">ROUND(Q378*R378,0)</f>
        <v>449</v>
      </c>
      <c r="E378" s="37" t="n">
        <f aca="false">ROUND(Q378,0)-D378</f>
        <v>316</v>
      </c>
      <c r="F378" s="37" t="n">
        <f aca="false">IF(COUNTA(D378:E378)=0,"",SUM(D378:E378))</f>
        <v>765</v>
      </c>
      <c r="G378" s="52" t="n">
        <f aca="false">IF(OR(F378="",F378=0),"",D378/F378)</f>
        <v>0.586928104575163</v>
      </c>
      <c r="H378" s="52" t="n">
        <f aca="false">IF(OR(F378="",F378=0),"",E378/F378)</f>
        <v>0.413071895424837</v>
      </c>
      <c r="I378" s="21" t="s">
        <v>122</v>
      </c>
      <c r="J378" s="53" t="n">
        <v>3.02363014511423</v>
      </c>
      <c r="K378" s="52" t="n">
        <f aca="false">IF(G378="","",MAX(0,G378-J378/100))</f>
        <v>0.556691803124021</v>
      </c>
      <c r="L378" s="52" t="n">
        <f aca="false">IF(G378="","",MIN(1,G378+J378/100))</f>
        <v>0.617164406026306</v>
      </c>
      <c r="M378" s="37" t="n">
        <f aca="false">IF(F378="","",ROUND(F378*J378/100,0))</f>
        <v>23</v>
      </c>
      <c r="P378" s="54" t="n">
        <v>9.31979882381106</v>
      </c>
      <c r="Q378" s="55" t="n">
        <f aca="false">T378*$H$5</f>
        <v>764.667071688943</v>
      </c>
      <c r="R378" s="56" t="n">
        <f aca="false">MAX(0,MIN(1,P378/100+$D$5))</f>
        <v>0.586701223126999</v>
      </c>
      <c r="S378" s="57" t="s">
        <v>123</v>
      </c>
      <c r="T378" s="55" t="n">
        <v>764.667071688943</v>
      </c>
    </row>
    <row r="379" customFormat="false" ht="15" hidden="false" customHeight="false" outlineLevel="0" collapsed="false">
      <c r="A379" s="21" t="s">
        <v>377</v>
      </c>
      <c r="B379" s="21" t="s">
        <v>558</v>
      </c>
      <c r="C379" s="21" t="s">
        <v>560</v>
      </c>
      <c r="D379" s="37" t="n">
        <f aca="false">ROUND(Q379*R379,0)</f>
        <v>352</v>
      </c>
      <c r="E379" s="37" t="n">
        <f aca="false">ROUND(Q379,0)-D379</f>
        <v>267</v>
      </c>
      <c r="F379" s="37" t="n">
        <f aca="false">IF(COUNTA(D379:E379)=0,"",SUM(D379:E379))</f>
        <v>619</v>
      </c>
      <c r="G379" s="52" t="n">
        <f aca="false">IF(OR(F379="",F379=0),"",D379/F379)</f>
        <v>0.568659127625202</v>
      </c>
      <c r="H379" s="52" t="n">
        <f aca="false">IF(OR(F379="",F379=0),"",E379/F379)</f>
        <v>0.431340872374798</v>
      </c>
      <c r="I379" s="21" t="s">
        <v>122</v>
      </c>
      <c r="J379" s="53" t="n">
        <v>3.02363014511423</v>
      </c>
      <c r="K379" s="52" t="n">
        <f aca="false">IF(G379="","",MAX(0,G379-J379/100))</f>
        <v>0.53842282617406</v>
      </c>
      <c r="L379" s="52" t="n">
        <f aca="false">IF(G379="","",MIN(1,G379+J379/100))</f>
        <v>0.598895429076344</v>
      </c>
      <c r="M379" s="37" t="n">
        <f aca="false">IF(F379="","",ROUND(F379*J379/100,0))</f>
        <v>19</v>
      </c>
      <c r="P379" s="54" t="n">
        <v>7.44511898001772</v>
      </c>
      <c r="Q379" s="55" t="n">
        <f aca="false">T379*$H$5</f>
        <v>619.017871017871</v>
      </c>
      <c r="R379" s="56" t="n">
        <f aca="false">MAX(0,MIN(1,P379/100+$D$5))</f>
        <v>0.567954424689065</v>
      </c>
      <c r="S379" s="57" t="s">
        <v>123</v>
      </c>
      <c r="T379" s="55" t="n">
        <v>619.017871017871</v>
      </c>
    </row>
    <row r="380" customFormat="false" ht="15" hidden="false" customHeight="false" outlineLevel="0" collapsed="false">
      <c r="A380" s="21" t="s">
        <v>377</v>
      </c>
      <c r="B380" s="21" t="s">
        <v>558</v>
      </c>
      <c r="C380" s="21" t="s">
        <v>561</v>
      </c>
      <c r="D380" s="37" t="n">
        <f aca="false">ROUND(Q380*R380,0)</f>
        <v>528</v>
      </c>
      <c r="E380" s="37" t="n">
        <f aca="false">ROUND(Q380,0)-D380</f>
        <v>438</v>
      </c>
      <c r="F380" s="37" t="n">
        <f aca="false">IF(COUNTA(D380:E380)=0,"",SUM(D380:E380))</f>
        <v>966</v>
      </c>
      <c r="G380" s="52" t="n">
        <f aca="false">IF(OR(F380="",F380=0),"",D380/F380)</f>
        <v>0.546583850931677</v>
      </c>
      <c r="H380" s="52" t="n">
        <f aca="false">IF(OR(F380="",F380=0),"",E380/F380)</f>
        <v>0.453416149068323</v>
      </c>
      <c r="I380" s="21" t="s">
        <v>122</v>
      </c>
      <c r="J380" s="53" t="n">
        <v>1.80877416096373</v>
      </c>
      <c r="K380" s="52" t="n">
        <f aca="false">IF(G380="","",MAX(0,G380-J380/100))</f>
        <v>0.52849610932204</v>
      </c>
      <c r="L380" s="52" t="n">
        <f aca="false">IF(G380="","",MIN(1,G380+J380/100))</f>
        <v>0.564671592541314</v>
      </c>
      <c r="M380" s="37" t="n">
        <f aca="false">IF(F380="","",ROUND(F380*J380/100,0))</f>
        <v>17</v>
      </c>
      <c r="P380" s="54" t="n">
        <v>5.25801116408801</v>
      </c>
      <c r="Q380" s="55" t="n">
        <f aca="false">T380*$H$5</f>
        <v>966.474176094441</v>
      </c>
      <c r="R380" s="56" t="n">
        <f aca="false">MAX(0,MIN(1,P380/100+$D$5))</f>
        <v>0.546083346529768</v>
      </c>
      <c r="S380" s="57" t="s">
        <v>132</v>
      </c>
      <c r="T380" s="55" t="n">
        <v>966.474176094441</v>
      </c>
    </row>
    <row r="381" customFormat="false" ht="15" hidden="false" customHeight="false" outlineLevel="0" collapsed="false">
      <c r="A381" s="21" t="s">
        <v>377</v>
      </c>
      <c r="B381" s="21" t="s">
        <v>562</v>
      </c>
      <c r="C381" s="21" t="s">
        <v>562</v>
      </c>
      <c r="D381" s="37" t="n">
        <f aca="false">ROUND(Q381*R381,0)</f>
        <v>508</v>
      </c>
      <c r="E381" s="37" t="n">
        <f aca="false">ROUND(Q381,0)-D381</f>
        <v>637</v>
      </c>
      <c r="F381" s="37" t="n">
        <f aca="false">IF(COUNTA(D381:E381)=0,"",SUM(D381:E381))</f>
        <v>1145</v>
      </c>
      <c r="G381" s="52" t="n">
        <f aca="false">IF(OR(F381="",F381=0),"",D381/F381)</f>
        <v>0.443668122270742</v>
      </c>
      <c r="H381" s="52" t="n">
        <f aca="false">IF(OR(F381="",F381=0),"",E381/F381)</f>
        <v>0.556331877729258</v>
      </c>
      <c r="I381" s="21" t="s">
        <v>122</v>
      </c>
      <c r="J381" s="53" t="n">
        <v>1.80877416096373</v>
      </c>
      <c r="K381" s="52" t="n">
        <f aca="false">IF(G381="","",MAX(0,G381-J381/100))</f>
        <v>0.425580380661105</v>
      </c>
      <c r="L381" s="52" t="n">
        <f aca="false">IF(G381="","",MIN(1,G381+J381/100))</f>
        <v>0.46175586388038</v>
      </c>
      <c r="M381" s="37" t="n">
        <f aca="false">IF(F381="","",ROUND(F381*J381/100,0))</f>
        <v>21</v>
      </c>
      <c r="P381" s="54" t="n">
        <v>-4.99582885348602</v>
      </c>
      <c r="Q381" s="55" t="n">
        <f aca="false">T381*$H$5</f>
        <v>1145.48062775871</v>
      </c>
      <c r="R381" s="56" t="n">
        <f aca="false">MAX(0,MIN(1,P381/100+$D$5))</f>
        <v>0.443544946354028</v>
      </c>
      <c r="S381" s="57" t="s">
        <v>132</v>
      </c>
      <c r="T381" s="55" t="n">
        <v>1145.48062775871</v>
      </c>
    </row>
  </sheetData>
  <mergeCells count="4">
    <mergeCell ref="A3:I3"/>
    <mergeCell ref="A6:M6"/>
    <mergeCell ref="A9:M9"/>
    <mergeCell ref="A10:M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563</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564</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B5-SUMPRODUCT(P12:P381,Q12:Q381)/SUM(Q12:Q381)/100</f>
        <v>0.502650473137218</v>
      </c>
      <c r="E5" s="41" t="s">
        <v>96</v>
      </c>
      <c r="F5" s="44" t="n">
        <v>-0.120422279585192</v>
      </c>
      <c r="G5" s="41" t="s">
        <v>97</v>
      </c>
      <c r="H5" s="45" t="n">
        <f aca="false">'Scenario &amp; Comparison'!$C$7/SUM(T12:T381)</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SUM(D12:D381)</f>
        <v>154579</v>
      </c>
      <c r="E8" s="46" t="n">
        <f aca="false">SUM(E12:E381)</f>
        <v>157610</v>
      </c>
      <c r="F8" s="46" t="n">
        <f aca="false">D8+E8</f>
        <v>312189</v>
      </c>
      <c r="G8" s="47" t="n">
        <f aca="false">IF(F8=0,"",D8/F8)</f>
        <v>0.49514556887014</v>
      </c>
      <c r="H8" s="47" t="n">
        <f aca="false">IF(F8=0,"",E8/F8)</f>
        <v>0.50485443112986</v>
      </c>
      <c r="I8" s="28" t="s">
        <v>110</v>
      </c>
      <c r="J8" s="48" t="n">
        <v>0.120422279585192</v>
      </c>
      <c r="K8" s="47" t="n">
        <f aca="false">G8-J8/100</f>
        <v>0.493941346074288</v>
      </c>
      <c r="L8" s="47" t="n">
        <f aca="false">G8+J8/100</f>
        <v>0.496349791665991</v>
      </c>
      <c r="M8" s="46" t="n">
        <f aca="false">ROUND(F8*J8/100,0)</f>
        <v>376</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121</v>
      </c>
      <c r="D12" s="37" t="n">
        <f aca="false">ROUND(Q12*R12,0)</f>
        <v>150</v>
      </c>
      <c r="E12" s="37" t="n">
        <f aca="false">ROUND(Q12,0)-D12</f>
        <v>214</v>
      </c>
      <c r="F12" s="37" t="n">
        <f aca="false">IF(COUNTA(D12:E12)=0,"",SUM(D12:E12))</f>
        <v>364</v>
      </c>
      <c r="G12" s="52" t="n">
        <f aca="false">IF(OR(F12="",F12=0),"",D12/F12)</f>
        <v>0.412087912087912</v>
      </c>
      <c r="H12" s="52" t="n">
        <f aca="false">IF(OR(F12="",F12=0),"",E12/F12)</f>
        <v>0.587912087912088</v>
      </c>
      <c r="I12" s="21" t="s">
        <v>122</v>
      </c>
      <c r="J12" s="53" t="n">
        <v>2.87918965002339</v>
      </c>
      <c r="K12" s="52" t="n">
        <f aca="false">IF(G12="","",MAX(0,G12-J12/100))</f>
        <v>0.383296015587678</v>
      </c>
      <c r="L12" s="52" t="n">
        <f aca="false">IF(G12="","",MIN(1,G12+J12/100))</f>
        <v>0.440879808588146</v>
      </c>
      <c r="M12" s="37" t="n">
        <f aca="false">IF(F12="","",ROUND(F12*J12/100,0))</f>
        <v>10</v>
      </c>
      <c r="P12" s="54" t="n">
        <v>-9.05374822084653</v>
      </c>
      <c r="Q12" s="55" t="n">
        <f aca="false">T12*$H$5</f>
        <v>364.490963855422</v>
      </c>
      <c r="R12" s="56" t="n">
        <f aca="false">MAX(0,MIN(1,P12/100+$D$5))</f>
        <v>0.412112990928752</v>
      </c>
      <c r="S12" s="57" t="s">
        <v>123</v>
      </c>
      <c r="T12" s="55" t="n">
        <v>364.490963855422</v>
      </c>
    </row>
    <row r="13" customFormat="false" ht="15" hidden="false" customHeight="false" outlineLevel="0" collapsed="false">
      <c r="A13" s="21" t="s">
        <v>120</v>
      </c>
      <c r="B13" s="21" t="s">
        <v>124</v>
      </c>
      <c r="C13" s="21" t="s">
        <v>124</v>
      </c>
      <c r="D13" s="37" t="n">
        <f aca="false">ROUND(Q13*R13,0)</f>
        <v>99</v>
      </c>
      <c r="E13" s="37" t="n">
        <f aca="false">ROUND(Q13,0)-D13</f>
        <v>231</v>
      </c>
      <c r="F13" s="37" t="n">
        <f aca="false">IF(COUNTA(D13:E13)=0,"",SUM(D13:E13))</f>
        <v>330</v>
      </c>
      <c r="G13" s="52" t="n">
        <f aca="false">IF(OR(F13="",F13=0),"",D13/F13)</f>
        <v>0.3</v>
      </c>
      <c r="H13" s="52" t="n">
        <f aca="false">IF(OR(F13="",F13=0),"",E13/F13)</f>
        <v>0.7</v>
      </c>
      <c r="I13" s="21" t="s">
        <v>122</v>
      </c>
      <c r="J13" s="53" t="n">
        <v>2.87918965002339</v>
      </c>
      <c r="K13" s="52" t="n">
        <f aca="false">IF(G13="","",MAX(0,G13-J13/100))</f>
        <v>0.271208103499766</v>
      </c>
      <c r="L13" s="52" t="n">
        <f aca="false">IF(G13="","",MIN(1,G13+J13/100))</f>
        <v>0.328791896500234</v>
      </c>
      <c r="M13" s="37" t="n">
        <f aca="false">IF(F13="","",ROUND(F13*J13/100,0))</f>
        <v>10</v>
      </c>
      <c r="P13" s="54" t="n">
        <v>-20.3625103549883</v>
      </c>
      <c r="Q13" s="55" t="n">
        <f aca="false">T13*$H$5</f>
        <v>330.130136986301</v>
      </c>
      <c r="R13" s="56" t="n">
        <f aca="false">MAX(0,MIN(1,P13/100+$D$5))</f>
        <v>0.299025369587335</v>
      </c>
      <c r="S13" s="57" t="s">
        <v>123</v>
      </c>
      <c r="T13" s="55" t="n">
        <v>330.130136986301</v>
      </c>
    </row>
    <row r="14" customFormat="false" ht="15" hidden="false" customHeight="false" outlineLevel="0" collapsed="false">
      <c r="A14" s="21" t="s">
        <v>120</v>
      </c>
      <c r="B14" s="21" t="s">
        <v>125</v>
      </c>
      <c r="C14" s="21" t="s">
        <v>125</v>
      </c>
      <c r="D14" s="37" t="n">
        <f aca="false">ROUND(Q14*R14,0)</f>
        <v>121</v>
      </c>
      <c r="E14" s="37" t="n">
        <f aca="false">ROUND(Q14,0)-D14</f>
        <v>235</v>
      </c>
      <c r="F14" s="37" t="n">
        <f aca="false">IF(COUNTA(D14:E14)=0,"",SUM(D14:E14))</f>
        <v>356</v>
      </c>
      <c r="G14" s="52" t="n">
        <f aca="false">IF(OR(F14="",F14=0),"",D14/F14)</f>
        <v>0.339887640449438</v>
      </c>
      <c r="H14" s="52" t="n">
        <f aca="false">IF(OR(F14="",F14=0),"",E14/F14)</f>
        <v>0.660112359550562</v>
      </c>
      <c r="I14" s="21" t="s">
        <v>122</v>
      </c>
      <c r="J14" s="53" t="n">
        <v>2.87918965002339</v>
      </c>
      <c r="K14" s="52" t="n">
        <f aca="false">IF(G14="","",MAX(0,G14-J14/100))</f>
        <v>0.311095743949204</v>
      </c>
      <c r="L14" s="52" t="n">
        <f aca="false">IF(G14="","",MIN(1,G14+J14/100))</f>
        <v>0.368679536949672</v>
      </c>
      <c r="M14" s="37" t="n">
        <f aca="false">IF(F14="","",ROUND(F14*J14/100,0))</f>
        <v>10</v>
      </c>
      <c r="P14" s="54" t="n">
        <v>-16.1169926458229</v>
      </c>
      <c r="Q14" s="55" t="n">
        <f aca="false">T14*$H$5</f>
        <v>355.63436928702</v>
      </c>
      <c r="R14" s="56" t="n">
        <f aca="false">MAX(0,MIN(1,P14/100+$D$5))</f>
        <v>0.341480546678989</v>
      </c>
      <c r="S14" s="57" t="s">
        <v>123</v>
      </c>
      <c r="T14" s="55" t="n">
        <v>355.63436928702</v>
      </c>
    </row>
    <row r="15" customFormat="false" ht="15" hidden="false" customHeight="false" outlineLevel="0" collapsed="false">
      <c r="A15" s="21" t="s">
        <v>120</v>
      </c>
      <c r="B15" s="21" t="s">
        <v>126</v>
      </c>
      <c r="C15" s="21" t="s">
        <v>127</v>
      </c>
      <c r="D15" s="37" t="n">
        <f aca="false">ROUND(Q15*R15,0)</f>
        <v>192</v>
      </c>
      <c r="E15" s="37" t="n">
        <f aca="false">ROUND(Q15,0)-D15</f>
        <v>532</v>
      </c>
      <c r="F15" s="37" t="n">
        <f aca="false">IF(COUNTA(D15:E15)=0,"",SUM(D15:E15))</f>
        <v>724</v>
      </c>
      <c r="G15" s="52" t="n">
        <f aca="false">IF(OR(F15="",F15=0),"",D15/F15)</f>
        <v>0.265193370165746</v>
      </c>
      <c r="H15" s="52" t="n">
        <f aca="false">IF(OR(F15="",F15=0),"",E15/F15)</f>
        <v>0.734806629834254</v>
      </c>
      <c r="I15" s="21" t="s">
        <v>122</v>
      </c>
      <c r="J15" s="53" t="n">
        <v>2.87918965002339</v>
      </c>
      <c r="K15" s="52" t="n">
        <f aca="false">IF(G15="","",MAX(0,G15-J15/100))</f>
        <v>0.236401473665512</v>
      </c>
      <c r="L15" s="52" t="n">
        <f aca="false">IF(G15="","",MIN(1,G15+J15/100))</f>
        <v>0.29398526666598</v>
      </c>
      <c r="M15" s="37" t="n">
        <f aca="false">IF(F15="","",ROUND(F15*J15/100,0))</f>
        <v>21</v>
      </c>
      <c r="P15" s="54" t="n">
        <v>-23.7420579610114</v>
      </c>
      <c r="Q15" s="55" t="n">
        <f aca="false">T15*$H$5</f>
        <v>724.377906976744</v>
      </c>
      <c r="R15" s="56" t="n">
        <f aca="false">MAX(0,MIN(1,P15/100+$D$5))</f>
        <v>0.265229893527104</v>
      </c>
      <c r="S15" s="57" t="s">
        <v>123</v>
      </c>
      <c r="T15" s="55" t="n">
        <v>724.377906976744</v>
      </c>
    </row>
    <row r="16" customFormat="false" ht="15" hidden="false" customHeight="false" outlineLevel="0" collapsed="false">
      <c r="A16" s="21" t="s">
        <v>120</v>
      </c>
      <c r="B16" s="21" t="s">
        <v>126</v>
      </c>
      <c r="C16" s="21" t="s">
        <v>128</v>
      </c>
      <c r="D16" s="37" t="n">
        <f aca="false">ROUND(Q16*R16,0)</f>
        <v>175</v>
      </c>
      <c r="E16" s="37" t="n">
        <f aca="false">ROUND(Q16,0)-D16</f>
        <v>436</v>
      </c>
      <c r="F16" s="37" t="n">
        <f aca="false">IF(COUNTA(D16:E16)=0,"",SUM(D16:E16))</f>
        <v>611</v>
      </c>
      <c r="G16" s="52" t="n">
        <f aca="false">IF(OR(F16="",F16=0),"",D16/F16)</f>
        <v>0.286415711947627</v>
      </c>
      <c r="H16" s="52" t="n">
        <f aca="false">IF(OR(F16="",F16=0),"",E16/F16)</f>
        <v>0.713584288052373</v>
      </c>
      <c r="I16" s="21" t="s">
        <v>122</v>
      </c>
      <c r="J16" s="53" t="n">
        <v>2.87918965002339</v>
      </c>
      <c r="K16" s="52" t="n">
        <f aca="false">IF(G16="","",MAX(0,G16-J16/100))</f>
        <v>0.257623815447393</v>
      </c>
      <c r="L16" s="52" t="n">
        <f aca="false">IF(G16="","",MIN(1,G16+J16/100))</f>
        <v>0.315207608447861</v>
      </c>
      <c r="M16" s="37" t="n">
        <f aca="false">IF(F16="","",ROUND(F16*J16/100,0))</f>
        <v>18</v>
      </c>
      <c r="P16" s="54" t="n">
        <v>-21.5539328431427</v>
      </c>
      <c r="Q16" s="55" t="n">
        <f aca="false">T16*$H$5</f>
        <v>610.89237199582</v>
      </c>
      <c r="R16" s="56" t="n">
        <f aca="false">MAX(0,MIN(1,P16/100+$D$5))</f>
        <v>0.28711114470579</v>
      </c>
      <c r="S16" s="57" t="s">
        <v>123</v>
      </c>
      <c r="T16" s="55" t="n">
        <v>610.89237199582</v>
      </c>
    </row>
    <row r="17" customFormat="false" ht="15" hidden="false" customHeight="false" outlineLevel="0" collapsed="false">
      <c r="A17" s="21" t="s">
        <v>120</v>
      </c>
      <c r="B17" s="21" t="s">
        <v>129</v>
      </c>
      <c r="C17" s="21" t="s">
        <v>129</v>
      </c>
      <c r="D17" s="37" t="n">
        <f aca="false">ROUND(Q17*R17,0)</f>
        <v>33</v>
      </c>
      <c r="E17" s="37" t="n">
        <f aca="false">ROUND(Q17,0)-D17</f>
        <v>60</v>
      </c>
      <c r="F17" s="37" t="n">
        <f aca="false">IF(COUNTA(D17:E17)=0,"",SUM(D17:E17))</f>
        <v>93</v>
      </c>
      <c r="G17" s="52" t="n">
        <f aca="false">IF(OR(F17="",F17=0),"",D17/F17)</f>
        <v>0.354838709677419</v>
      </c>
      <c r="H17" s="52" t="n">
        <f aca="false">IF(OR(F17="",F17=0),"",E17/F17)</f>
        <v>0.645161290322581</v>
      </c>
      <c r="I17" s="21" t="s">
        <v>122</v>
      </c>
      <c r="J17" s="53" t="n">
        <v>2.87918965002339</v>
      </c>
      <c r="K17" s="52" t="n">
        <f aca="false">IF(G17="","",MAX(0,G17-J17/100))</f>
        <v>0.326046813177186</v>
      </c>
      <c r="L17" s="52" t="n">
        <f aca="false">IF(G17="","",MIN(1,G17+J17/100))</f>
        <v>0.383630606177653</v>
      </c>
      <c r="M17" s="37" t="n">
        <f aca="false">IF(F17="","",ROUND(F17*J17/100,0))</f>
        <v>3</v>
      </c>
      <c r="P17" s="54" t="n">
        <v>-14.6447442156671</v>
      </c>
      <c r="Q17" s="55" t="n">
        <f aca="false">T17*$H$5</f>
        <v>93.4268292682927</v>
      </c>
      <c r="R17" s="56" t="n">
        <f aca="false">MAX(0,MIN(1,P17/100+$D$5))</f>
        <v>0.356203030980547</v>
      </c>
      <c r="S17" s="57" t="s">
        <v>123</v>
      </c>
      <c r="T17" s="55" t="n">
        <v>93.4268292682927</v>
      </c>
    </row>
    <row r="18" customFormat="false" ht="15" hidden="false" customHeight="false" outlineLevel="0" collapsed="false">
      <c r="A18" s="21" t="s">
        <v>120</v>
      </c>
      <c r="B18" s="21" t="s">
        <v>130</v>
      </c>
      <c r="C18" s="21" t="s">
        <v>131</v>
      </c>
      <c r="D18" s="37" t="n">
        <f aca="false">ROUND(Q18*R18,0)</f>
        <v>247</v>
      </c>
      <c r="E18" s="37" t="n">
        <f aca="false">ROUND(Q18,0)-D18</f>
        <v>606</v>
      </c>
      <c r="F18" s="37" t="n">
        <f aca="false">IF(COUNTA(D18:E18)=0,"",SUM(D18:E18))</f>
        <v>853</v>
      </c>
      <c r="G18" s="52" t="n">
        <f aca="false">IF(OR(F18="",F18=0),"",D18/F18)</f>
        <v>0.289566236811254</v>
      </c>
      <c r="H18" s="52" t="n">
        <f aca="false">IF(OR(F18="",F18=0),"",E18/F18)</f>
        <v>0.710433763188746</v>
      </c>
      <c r="I18" s="21" t="s">
        <v>122</v>
      </c>
      <c r="J18" s="53" t="n">
        <v>1.9254971424187</v>
      </c>
      <c r="K18" s="52" t="n">
        <f aca="false">IF(G18="","",MAX(0,G18-J18/100))</f>
        <v>0.270311265387067</v>
      </c>
      <c r="L18" s="52" t="n">
        <f aca="false">IF(G18="","",MIN(1,G18+J18/100))</f>
        <v>0.308821208235441</v>
      </c>
      <c r="M18" s="37" t="n">
        <f aca="false">IF(F18="","",ROUND(F18*J18/100,0))</f>
        <v>16</v>
      </c>
      <c r="P18" s="54" t="n">
        <v>-21.2717179940786</v>
      </c>
      <c r="Q18" s="55" t="n">
        <f aca="false">T18*$H$5</f>
        <v>852.994440031771</v>
      </c>
      <c r="R18" s="56" t="n">
        <f aca="false">MAX(0,MIN(1,P18/100+$D$5))</f>
        <v>0.289933293196432</v>
      </c>
      <c r="S18" s="57" t="s">
        <v>132</v>
      </c>
      <c r="T18" s="55" t="n">
        <v>852.994440031771</v>
      </c>
    </row>
    <row r="19" customFormat="false" ht="15" hidden="false" customHeight="false" outlineLevel="0" collapsed="false">
      <c r="A19" s="21" t="s">
        <v>120</v>
      </c>
      <c r="B19" s="21" t="s">
        <v>130</v>
      </c>
      <c r="C19" s="21" t="s">
        <v>133</v>
      </c>
      <c r="D19" s="37" t="n">
        <f aca="false">ROUND(Q19*R19,0)</f>
        <v>129</v>
      </c>
      <c r="E19" s="37" t="n">
        <f aca="false">ROUND(Q19,0)-D19</f>
        <v>319</v>
      </c>
      <c r="F19" s="37" t="n">
        <f aca="false">IF(COUNTA(D19:E19)=0,"",SUM(D19:E19))</f>
        <v>448</v>
      </c>
      <c r="G19" s="52" t="n">
        <f aca="false">IF(OR(F19="",F19=0),"",D19/F19)</f>
        <v>0.287946428571429</v>
      </c>
      <c r="H19" s="52" t="n">
        <f aca="false">IF(OR(F19="",F19=0),"",E19/F19)</f>
        <v>0.712053571428571</v>
      </c>
      <c r="I19" s="21" t="s">
        <v>122</v>
      </c>
      <c r="J19" s="53" t="n">
        <v>2.87918965002339</v>
      </c>
      <c r="K19" s="52" t="n">
        <f aca="false">IF(G19="","",MAX(0,G19-J19/100))</f>
        <v>0.259154532071195</v>
      </c>
      <c r="L19" s="52" t="n">
        <f aca="false">IF(G19="","",MIN(1,G19+J19/100))</f>
        <v>0.316738325071662</v>
      </c>
      <c r="M19" s="37" t="n">
        <f aca="false">IF(F19="","",ROUND(F19*J19/100,0))</f>
        <v>13</v>
      </c>
      <c r="P19" s="54" t="n">
        <v>-21.5721289403016</v>
      </c>
      <c r="Q19" s="55" t="n">
        <f aca="false">T19*$H$5</f>
        <v>447.939320388349</v>
      </c>
      <c r="R19" s="56" t="n">
        <f aca="false">MAX(0,MIN(1,P19/100+$D$5))</f>
        <v>0.286929183734202</v>
      </c>
      <c r="S19" s="57" t="s">
        <v>123</v>
      </c>
      <c r="T19" s="55" t="n">
        <v>447.939320388349</v>
      </c>
    </row>
    <row r="20" customFormat="false" ht="15" hidden="false" customHeight="false" outlineLevel="0" collapsed="false">
      <c r="A20" s="21" t="s">
        <v>120</v>
      </c>
      <c r="B20" s="21" t="s">
        <v>130</v>
      </c>
      <c r="C20" s="21" t="s">
        <v>134</v>
      </c>
      <c r="D20" s="37" t="n">
        <f aca="false">ROUND(Q20*R20,0)</f>
        <v>190</v>
      </c>
      <c r="E20" s="37" t="n">
        <f aca="false">ROUND(Q20,0)-D20</f>
        <v>493</v>
      </c>
      <c r="F20" s="37" t="n">
        <f aca="false">IF(COUNTA(D20:E20)=0,"",SUM(D20:E20))</f>
        <v>683</v>
      </c>
      <c r="G20" s="52" t="n">
        <f aca="false">IF(OR(F20="",F20=0),"",D20/F20)</f>
        <v>0.278184480234261</v>
      </c>
      <c r="H20" s="52" t="n">
        <f aca="false">IF(OR(F20="",F20=0),"",E20/F20)</f>
        <v>0.721815519765739</v>
      </c>
      <c r="I20" s="21" t="s">
        <v>122</v>
      </c>
      <c r="J20" s="53" t="n">
        <v>2.87918965002339</v>
      </c>
      <c r="K20" s="52" t="n">
        <f aca="false">IF(G20="","",MAX(0,G20-J20/100))</f>
        <v>0.249392583734027</v>
      </c>
      <c r="L20" s="52" t="n">
        <f aca="false">IF(G20="","",MIN(1,G20+J20/100))</f>
        <v>0.306976376734494</v>
      </c>
      <c r="M20" s="37" t="n">
        <f aca="false">IF(F20="","",ROUND(F20*J20/100,0))</f>
        <v>20</v>
      </c>
      <c r="P20" s="54" t="n">
        <v>-22.407704007993</v>
      </c>
      <c r="Q20" s="55" t="n">
        <f aca="false">T20*$H$5</f>
        <v>683.326771653543</v>
      </c>
      <c r="R20" s="56" t="n">
        <f aca="false">MAX(0,MIN(1,P20/100+$D$5))</f>
        <v>0.278573433057287</v>
      </c>
      <c r="S20" s="57" t="s">
        <v>123</v>
      </c>
      <c r="T20" s="55" t="n">
        <v>683.326771653543</v>
      </c>
    </row>
    <row r="21" customFormat="false" ht="15" hidden="false" customHeight="false" outlineLevel="0" collapsed="false">
      <c r="A21" s="21" t="s">
        <v>120</v>
      </c>
      <c r="B21" s="21" t="s">
        <v>135</v>
      </c>
      <c r="C21" s="21" t="s">
        <v>136</v>
      </c>
      <c r="D21" s="37" t="n">
        <f aca="false">ROUND(Q21*R21,0)</f>
        <v>204</v>
      </c>
      <c r="E21" s="37" t="n">
        <f aca="false">ROUND(Q21,0)-D21</f>
        <v>232</v>
      </c>
      <c r="F21" s="37" t="n">
        <f aca="false">IF(COUNTA(D21:E21)=0,"",SUM(D21:E21))</f>
        <v>436</v>
      </c>
      <c r="G21" s="52" t="n">
        <f aca="false">IF(OR(F21="",F21=0),"",D21/F21)</f>
        <v>0.467889908256881</v>
      </c>
      <c r="H21" s="52" t="n">
        <f aca="false">IF(OR(F21="",F21=0),"",E21/F21)</f>
        <v>0.532110091743119</v>
      </c>
      <c r="I21" s="21" t="s">
        <v>122</v>
      </c>
      <c r="J21" s="53" t="n">
        <v>2.87918965002339</v>
      </c>
      <c r="K21" s="52" t="n">
        <f aca="false">IF(G21="","",MAX(0,G21-J21/100))</f>
        <v>0.439098011756647</v>
      </c>
      <c r="L21" s="52" t="n">
        <f aca="false">IF(G21="","",MIN(1,G21+J21/100))</f>
        <v>0.496681804757115</v>
      </c>
      <c r="M21" s="37" t="n">
        <f aca="false">IF(F21="","",ROUND(F21*J21/100,0))</f>
        <v>13</v>
      </c>
      <c r="P21" s="54" t="n">
        <v>-3.60001180367413</v>
      </c>
      <c r="Q21" s="55" t="n">
        <f aca="false">T21*$H$5</f>
        <v>436.24466571835</v>
      </c>
      <c r="R21" s="56" t="n">
        <f aca="false">MAX(0,MIN(1,P21/100+$D$5))</f>
        <v>0.466650355100476</v>
      </c>
      <c r="S21" s="57" t="s">
        <v>123</v>
      </c>
      <c r="T21" s="55" t="n">
        <v>436.24466571835</v>
      </c>
    </row>
    <row r="22" customFormat="false" ht="15" hidden="false" customHeight="false" outlineLevel="0" collapsed="false">
      <c r="A22" s="21" t="s">
        <v>120</v>
      </c>
      <c r="B22" s="21" t="s">
        <v>135</v>
      </c>
      <c r="C22" s="21" t="s">
        <v>137</v>
      </c>
      <c r="D22" s="37" t="n">
        <f aca="false">ROUND(Q22*R22,0)</f>
        <v>129</v>
      </c>
      <c r="E22" s="37" t="n">
        <f aca="false">ROUND(Q22,0)-D22</f>
        <v>151</v>
      </c>
      <c r="F22" s="37" t="n">
        <f aca="false">IF(COUNTA(D22:E22)=0,"",SUM(D22:E22))</f>
        <v>280</v>
      </c>
      <c r="G22" s="52" t="n">
        <f aca="false">IF(OR(F22="",F22=0),"",D22/F22)</f>
        <v>0.460714285714286</v>
      </c>
      <c r="H22" s="52" t="n">
        <f aca="false">IF(OR(F22="",F22=0),"",E22/F22)</f>
        <v>0.539285714285714</v>
      </c>
      <c r="I22" s="21" t="s">
        <v>122</v>
      </c>
      <c r="J22" s="53" t="n">
        <v>2.87918965002339</v>
      </c>
      <c r="K22" s="52" t="n">
        <f aca="false">IF(G22="","",MAX(0,G22-J22/100))</f>
        <v>0.431922389214052</v>
      </c>
      <c r="L22" s="52" t="n">
        <f aca="false">IF(G22="","",MIN(1,G22+J22/100))</f>
        <v>0.48950618221452</v>
      </c>
      <c r="M22" s="37" t="n">
        <f aca="false">IF(F22="","",ROUND(F22*J22/100,0))</f>
        <v>8</v>
      </c>
      <c r="P22" s="54" t="n">
        <v>-4.2888179551096</v>
      </c>
      <c r="Q22" s="55" t="n">
        <f aca="false">T22*$H$5</f>
        <v>280.5</v>
      </c>
      <c r="R22" s="56" t="n">
        <f aca="false">MAX(0,MIN(1,P22/100+$D$5))</f>
        <v>0.459762293586122</v>
      </c>
      <c r="S22" s="57" t="s">
        <v>123</v>
      </c>
      <c r="T22" s="55" t="n">
        <v>280.5</v>
      </c>
    </row>
    <row r="23" customFormat="false" ht="15" hidden="false" customHeight="false" outlineLevel="0" collapsed="false">
      <c r="A23" s="21" t="s">
        <v>120</v>
      </c>
      <c r="B23" s="21" t="s">
        <v>135</v>
      </c>
      <c r="C23" s="21" t="s">
        <v>138</v>
      </c>
      <c r="D23" s="37" t="n">
        <f aca="false">ROUND(Q23*R23,0)</f>
        <v>257</v>
      </c>
      <c r="E23" s="37" t="n">
        <f aca="false">ROUND(Q23,0)-D23</f>
        <v>389</v>
      </c>
      <c r="F23" s="37" t="n">
        <f aca="false">IF(COUNTA(D23:E23)=0,"",SUM(D23:E23))</f>
        <v>646</v>
      </c>
      <c r="G23" s="52" t="n">
        <f aca="false">IF(OR(F23="",F23=0),"",D23/F23)</f>
        <v>0.397832817337461</v>
      </c>
      <c r="H23" s="52" t="n">
        <f aca="false">IF(OR(F23="",F23=0),"",E23/F23)</f>
        <v>0.602167182662539</v>
      </c>
      <c r="I23" s="21" t="s">
        <v>122</v>
      </c>
      <c r="J23" s="53" t="n">
        <v>2.87918965002339</v>
      </c>
      <c r="K23" s="52" t="n">
        <f aca="false">IF(G23="","",MAX(0,G23-J23/100))</f>
        <v>0.369040920837227</v>
      </c>
      <c r="L23" s="52" t="n">
        <f aca="false">IF(G23="","",MIN(1,G23+J23/100))</f>
        <v>0.426624713837695</v>
      </c>
      <c r="M23" s="37" t="n">
        <f aca="false">IF(F23="","",ROUND(F23*J23/100,0))</f>
        <v>19</v>
      </c>
      <c r="P23" s="54" t="n">
        <v>-10.4164991540154</v>
      </c>
      <c r="Q23" s="55" t="n">
        <f aca="false">T23*$H$5</f>
        <v>645.69536423841</v>
      </c>
      <c r="R23" s="56" t="n">
        <f aca="false">MAX(0,MIN(1,P23/100+$D$5))</f>
        <v>0.398485481597064</v>
      </c>
      <c r="S23" s="57" t="s">
        <v>123</v>
      </c>
      <c r="T23" s="55" t="n">
        <v>645.69536423841</v>
      </c>
    </row>
    <row r="24" customFormat="false" ht="15" hidden="false" customHeight="false" outlineLevel="0" collapsed="false">
      <c r="A24" s="21" t="s">
        <v>120</v>
      </c>
      <c r="B24" s="21" t="s">
        <v>135</v>
      </c>
      <c r="C24" s="21" t="s">
        <v>139</v>
      </c>
      <c r="D24" s="37" t="n">
        <f aca="false">ROUND(Q24*R24,0)</f>
        <v>119</v>
      </c>
      <c r="E24" s="37" t="n">
        <f aca="false">ROUND(Q24,0)-D24</f>
        <v>110</v>
      </c>
      <c r="F24" s="37" t="n">
        <f aca="false">IF(COUNTA(D24:E24)=0,"",SUM(D24:E24))</f>
        <v>229</v>
      </c>
      <c r="G24" s="52" t="n">
        <f aca="false">IF(OR(F24="",F24=0),"",D24/F24)</f>
        <v>0.519650655021834</v>
      </c>
      <c r="H24" s="52" t="n">
        <f aca="false">IF(OR(F24="",F24=0),"",E24/F24)</f>
        <v>0.480349344978166</v>
      </c>
      <c r="I24" s="21" t="s">
        <v>122</v>
      </c>
      <c r="J24" s="53" t="n">
        <v>2.87918965002339</v>
      </c>
      <c r="K24" s="52" t="n">
        <f aca="false">IF(G24="","",MAX(0,G24-J24/100))</f>
        <v>0.4908587585216</v>
      </c>
      <c r="L24" s="52" t="n">
        <f aca="false">IF(G24="","",MIN(1,G24+J24/100))</f>
        <v>0.548442551522068</v>
      </c>
      <c r="M24" s="37" t="n">
        <f aca="false">IF(F24="","",ROUND(F24*J24/100,0))</f>
        <v>7</v>
      </c>
      <c r="P24" s="54" t="n">
        <v>1.60369521178341</v>
      </c>
      <c r="Q24" s="55" t="n">
        <f aca="false">T24*$H$5</f>
        <v>229.496083550914</v>
      </c>
      <c r="R24" s="56" t="n">
        <f aca="false">MAX(0,MIN(1,P24/100+$D$5))</f>
        <v>0.518687425255052</v>
      </c>
      <c r="S24" s="57" t="s">
        <v>123</v>
      </c>
      <c r="T24" s="55" t="n">
        <v>229.496083550914</v>
      </c>
    </row>
    <row r="25" customFormat="false" ht="15" hidden="false" customHeight="false" outlineLevel="0" collapsed="false">
      <c r="A25" s="21" t="s">
        <v>120</v>
      </c>
      <c r="B25" s="21" t="s">
        <v>135</v>
      </c>
      <c r="C25" s="21" t="s">
        <v>140</v>
      </c>
      <c r="D25" s="37" t="n">
        <f aca="false">ROUND(Q25*R25,0)</f>
        <v>242</v>
      </c>
      <c r="E25" s="37" t="n">
        <f aca="false">ROUND(Q25,0)-D25</f>
        <v>277</v>
      </c>
      <c r="F25" s="37" t="n">
        <f aca="false">IF(COUNTA(D25:E25)=0,"",SUM(D25:E25))</f>
        <v>519</v>
      </c>
      <c r="G25" s="52" t="n">
        <f aca="false">IF(OR(F25="",F25=0),"",D25/F25)</f>
        <v>0.466281310211946</v>
      </c>
      <c r="H25" s="52" t="n">
        <f aca="false">IF(OR(F25="",F25=0),"",E25/F25)</f>
        <v>0.533718689788054</v>
      </c>
      <c r="I25" s="21" t="s">
        <v>122</v>
      </c>
      <c r="J25" s="53" t="n">
        <v>2.87918965002339</v>
      </c>
      <c r="K25" s="52" t="n">
        <f aca="false">IF(G25="","",MAX(0,G25-J25/100))</f>
        <v>0.437489413711712</v>
      </c>
      <c r="L25" s="52" t="n">
        <f aca="false">IF(G25="","",MIN(1,G25+J25/100))</f>
        <v>0.49507320671218</v>
      </c>
      <c r="M25" s="37" t="n">
        <f aca="false">IF(F25="","",ROUND(F25*J25/100,0))</f>
        <v>15</v>
      </c>
      <c r="P25" s="54" t="n">
        <v>-3.58414157259337</v>
      </c>
      <c r="Q25" s="55" t="n">
        <f aca="false">T25*$H$5</f>
        <v>519.166666666667</v>
      </c>
      <c r="R25" s="56" t="n">
        <f aca="false">MAX(0,MIN(1,P25/100+$D$5))</f>
        <v>0.466809057411284</v>
      </c>
      <c r="S25" s="57" t="s">
        <v>123</v>
      </c>
      <c r="T25" s="55" t="n">
        <v>519.166666666667</v>
      </c>
    </row>
    <row r="26" customFormat="false" ht="15" hidden="false" customHeight="false" outlineLevel="0" collapsed="false">
      <c r="A26" s="21" t="s">
        <v>120</v>
      </c>
      <c r="B26" s="21" t="s">
        <v>141</v>
      </c>
      <c r="C26" s="21" t="s">
        <v>142</v>
      </c>
      <c r="D26" s="37" t="n">
        <f aca="false">ROUND(Q26*R26,0)</f>
        <v>97</v>
      </c>
      <c r="E26" s="37" t="n">
        <f aca="false">ROUND(Q26,0)-D26</f>
        <v>170</v>
      </c>
      <c r="F26" s="37" t="n">
        <f aca="false">IF(COUNTA(D26:E26)=0,"",SUM(D26:E26))</f>
        <v>267</v>
      </c>
      <c r="G26" s="52" t="n">
        <f aca="false">IF(OR(F26="",F26=0),"",D26/F26)</f>
        <v>0.363295880149813</v>
      </c>
      <c r="H26" s="52" t="n">
        <f aca="false">IF(OR(F26="",F26=0),"",E26/F26)</f>
        <v>0.636704119850187</v>
      </c>
      <c r="I26" s="21" t="s">
        <v>122</v>
      </c>
      <c r="J26" s="53" t="n">
        <v>2.87918965002339</v>
      </c>
      <c r="K26" s="52" t="n">
        <f aca="false">IF(G26="","",MAX(0,G26-J26/100))</f>
        <v>0.334503983649579</v>
      </c>
      <c r="L26" s="52" t="n">
        <f aca="false">IF(G26="","",MIN(1,G26+J26/100))</f>
        <v>0.392087776650047</v>
      </c>
      <c r="M26" s="37" t="n">
        <f aca="false">IF(F26="","",ROUND(F26*J26/100,0))</f>
        <v>8</v>
      </c>
      <c r="P26" s="54" t="n">
        <v>-13.9467711487313</v>
      </c>
      <c r="Q26" s="55" t="n">
        <f aca="false">T26*$H$5</f>
        <v>267.002518891688</v>
      </c>
      <c r="R26" s="56" t="n">
        <f aca="false">MAX(0,MIN(1,P26/100+$D$5))</f>
        <v>0.363182761649905</v>
      </c>
      <c r="S26" s="57" t="s">
        <v>123</v>
      </c>
      <c r="T26" s="55" t="n">
        <v>267.002518891688</v>
      </c>
    </row>
    <row r="27" customFormat="false" ht="15" hidden="false" customHeight="false" outlineLevel="0" collapsed="false">
      <c r="A27" s="21" t="s">
        <v>120</v>
      </c>
      <c r="B27" s="21" t="s">
        <v>141</v>
      </c>
      <c r="C27" s="21" t="s">
        <v>143</v>
      </c>
      <c r="D27" s="37" t="n">
        <f aca="false">ROUND(Q27*R27,0)</f>
        <v>180</v>
      </c>
      <c r="E27" s="37" t="n">
        <f aca="false">ROUND(Q27,0)-D27</f>
        <v>362</v>
      </c>
      <c r="F27" s="37" t="n">
        <f aca="false">IF(COUNTA(D27:E27)=0,"",SUM(D27:E27))</f>
        <v>542</v>
      </c>
      <c r="G27" s="52" t="n">
        <f aca="false">IF(OR(F27="",F27=0),"",D27/F27)</f>
        <v>0.33210332103321</v>
      </c>
      <c r="H27" s="52" t="n">
        <f aca="false">IF(OR(F27="",F27=0),"",E27/F27)</f>
        <v>0.66789667896679</v>
      </c>
      <c r="I27" s="21" t="s">
        <v>122</v>
      </c>
      <c r="J27" s="53" t="n">
        <v>2.87918965002339</v>
      </c>
      <c r="K27" s="52" t="n">
        <f aca="false">IF(G27="","",MAX(0,G27-J27/100))</f>
        <v>0.303311424532977</v>
      </c>
      <c r="L27" s="52" t="n">
        <f aca="false">IF(G27="","",MIN(1,G27+J27/100))</f>
        <v>0.360895217533444</v>
      </c>
      <c r="M27" s="37" t="n">
        <f aca="false">IF(F27="","",ROUND(F27*J27/100,0))</f>
        <v>16</v>
      </c>
      <c r="P27" s="54" t="n">
        <v>-17.1355949617381</v>
      </c>
      <c r="Q27" s="55" t="n">
        <f aca="false">T27*$H$5</f>
        <v>542.170709793351</v>
      </c>
      <c r="R27" s="56" t="n">
        <f aca="false">MAX(0,MIN(1,P27/100+$D$5))</f>
        <v>0.331294523519837</v>
      </c>
      <c r="S27" s="57" t="s">
        <v>123</v>
      </c>
      <c r="T27" s="55" t="n">
        <v>542.170709793351</v>
      </c>
    </row>
    <row r="28" customFormat="false" ht="15" hidden="false" customHeight="false" outlineLevel="0" collapsed="false">
      <c r="A28" s="21" t="s">
        <v>120</v>
      </c>
      <c r="B28" s="21" t="s">
        <v>144</v>
      </c>
      <c r="C28" s="21" t="s">
        <v>145</v>
      </c>
      <c r="D28" s="37" t="n">
        <f aca="false">ROUND(Q28*R28,0)</f>
        <v>218</v>
      </c>
      <c r="E28" s="37" t="n">
        <f aca="false">ROUND(Q28,0)-D28</f>
        <v>306</v>
      </c>
      <c r="F28" s="37" t="n">
        <f aca="false">IF(COUNTA(D28:E28)=0,"",SUM(D28:E28))</f>
        <v>524</v>
      </c>
      <c r="G28" s="52" t="n">
        <f aca="false">IF(OR(F28="",F28=0),"",D28/F28)</f>
        <v>0.416030534351145</v>
      </c>
      <c r="H28" s="52" t="n">
        <f aca="false">IF(OR(F28="",F28=0),"",E28/F28)</f>
        <v>0.583969465648855</v>
      </c>
      <c r="I28" s="21" t="s">
        <v>122</v>
      </c>
      <c r="J28" s="53" t="n">
        <v>2.87918965002339</v>
      </c>
      <c r="K28" s="52" t="n">
        <f aca="false">IF(G28="","",MAX(0,G28-J28/100))</f>
        <v>0.387238637850911</v>
      </c>
      <c r="L28" s="52" t="n">
        <f aca="false">IF(G28="","",MIN(1,G28+J28/100))</f>
        <v>0.444822430851379</v>
      </c>
      <c r="M28" s="37" t="n">
        <f aca="false">IF(F28="","",ROUND(F28*J28/100,0))</f>
        <v>15</v>
      </c>
      <c r="P28" s="54" t="n">
        <v>-8.58432446719977</v>
      </c>
      <c r="Q28" s="55" t="n">
        <f aca="false">T28*$H$5</f>
        <v>523.643835616438</v>
      </c>
      <c r="R28" s="56" t="n">
        <f aca="false">MAX(0,MIN(1,P28/100+$D$5))</f>
        <v>0.41680722846522</v>
      </c>
      <c r="S28" s="57" t="s">
        <v>123</v>
      </c>
      <c r="T28" s="55" t="n">
        <v>523.643835616438</v>
      </c>
    </row>
    <row r="29" customFormat="false" ht="15" hidden="false" customHeight="false" outlineLevel="0" collapsed="false">
      <c r="A29" s="21" t="s">
        <v>120</v>
      </c>
      <c r="B29" s="21" t="s">
        <v>144</v>
      </c>
      <c r="C29" s="21" t="s">
        <v>146</v>
      </c>
      <c r="D29" s="37" t="n">
        <f aca="false">ROUND(Q29*R29,0)</f>
        <v>124</v>
      </c>
      <c r="E29" s="37" t="n">
        <f aca="false">ROUND(Q29,0)-D29</f>
        <v>174</v>
      </c>
      <c r="F29" s="37" t="n">
        <f aca="false">IF(COUNTA(D29:E29)=0,"",SUM(D29:E29))</f>
        <v>298</v>
      </c>
      <c r="G29" s="52" t="n">
        <f aca="false">IF(OR(F29="",F29=0),"",D29/F29)</f>
        <v>0.416107382550336</v>
      </c>
      <c r="H29" s="52" t="n">
        <f aca="false">IF(OR(F29="",F29=0),"",E29/F29)</f>
        <v>0.583892617449665</v>
      </c>
      <c r="I29" s="21" t="s">
        <v>122</v>
      </c>
      <c r="J29" s="53" t="n">
        <v>2.87918965002339</v>
      </c>
      <c r="K29" s="52" t="n">
        <f aca="false">IF(G29="","",MAX(0,G29-J29/100))</f>
        <v>0.387315486050102</v>
      </c>
      <c r="L29" s="52" t="n">
        <f aca="false">IF(G29="","",MIN(1,G29+J29/100))</f>
        <v>0.444899279050569</v>
      </c>
      <c r="M29" s="37" t="n">
        <f aca="false">IF(F29="","",ROUND(F29*J29/100,0))</f>
        <v>9</v>
      </c>
      <c r="P29" s="54" t="n">
        <v>-8.70380982549158</v>
      </c>
      <c r="Q29" s="55" t="n">
        <f aca="false">T29*$H$5</f>
        <v>297.7625</v>
      </c>
      <c r="R29" s="56" t="n">
        <f aca="false">MAX(0,MIN(1,P29/100+$D$5))</f>
        <v>0.415612374882302</v>
      </c>
      <c r="S29" s="57" t="s">
        <v>123</v>
      </c>
      <c r="T29" s="55" t="n">
        <v>297.7625</v>
      </c>
    </row>
    <row r="30" customFormat="false" ht="15" hidden="false" customHeight="false" outlineLevel="0" collapsed="false">
      <c r="A30" s="21" t="s">
        <v>120</v>
      </c>
      <c r="B30" s="21" t="s">
        <v>144</v>
      </c>
      <c r="C30" s="21" t="s">
        <v>147</v>
      </c>
      <c r="D30" s="37" t="n">
        <f aca="false">ROUND(Q30*R30,0)</f>
        <v>116</v>
      </c>
      <c r="E30" s="37" t="n">
        <f aca="false">ROUND(Q30,0)-D30</f>
        <v>145</v>
      </c>
      <c r="F30" s="37" t="n">
        <f aca="false">IF(COUNTA(D30:E30)=0,"",SUM(D30:E30))</f>
        <v>261</v>
      </c>
      <c r="G30" s="52" t="n">
        <f aca="false">IF(OR(F30="",F30=0),"",D30/F30)</f>
        <v>0.444444444444444</v>
      </c>
      <c r="H30" s="52" t="n">
        <f aca="false">IF(OR(F30="",F30=0),"",E30/F30)</f>
        <v>0.555555555555556</v>
      </c>
      <c r="I30" s="21" t="s">
        <v>122</v>
      </c>
      <c r="J30" s="53" t="n">
        <v>2.87918965002339</v>
      </c>
      <c r="K30" s="52" t="n">
        <f aca="false">IF(G30="","",MAX(0,G30-J30/100))</f>
        <v>0.415652547944211</v>
      </c>
      <c r="L30" s="52" t="n">
        <f aca="false">IF(G30="","",MIN(1,G30+J30/100))</f>
        <v>0.473236340944678</v>
      </c>
      <c r="M30" s="37" t="n">
        <f aca="false">IF(F30="","",ROUND(F30*J30/100,0))</f>
        <v>8</v>
      </c>
      <c r="P30" s="54" t="n">
        <v>-5.88397869393532</v>
      </c>
      <c r="Q30" s="55" t="n">
        <f aca="false">T30*$H$5</f>
        <v>260.883392226148</v>
      </c>
      <c r="R30" s="56" t="n">
        <f aca="false">MAX(0,MIN(1,P30/100+$D$5))</f>
        <v>0.443810686197865</v>
      </c>
      <c r="S30" s="57" t="s">
        <v>123</v>
      </c>
      <c r="T30" s="55" t="n">
        <v>260.883392226148</v>
      </c>
    </row>
    <row r="31" customFormat="false" ht="15" hidden="false" customHeight="false" outlineLevel="0" collapsed="false">
      <c r="A31" s="21" t="s">
        <v>120</v>
      </c>
      <c r="B31" s="21" t="s">
        <v>148</v>
      </c>
      <c r="C31" s="21" t="s">
        <v>148</v>
      </c>
      <c r="D31" s="37" t="n">
        <f aca="false">ROUND(Q31*R31,0)</f>
        <v>33</v>
      </c>
      <c r="E31" s="37" t="n">
        <f aca="false">ROUND(Q31,0)-D31</f>
        <v>85</v>
      </c>
      <c r="F31" s="37" t="n">
        <f aca="false">IF(COUNTA(D31:E31)=0,"",SUM(D31:E31))</f>
        <v>118</v>
      </c>
      <c r="G31" s="52" t="n">
        <f aca="false">IF(OR(F31="",F31=0),"",D31/F31)</f>
        <v>0.279661016949153</v>
      </c>
      <c r="H31" s="52" t="n">
        <f aca="false">IF(OR(F31="",F31=0),"",E31/F31)</f>
        <v>0.720338983050847</v>
      </c>
      <c r="I31" s="21" t="s">
        <v>122</v>
      </c>
      <c r="J31" s="53" t="n">
        <v>2.87918965002339</v>
      </c>
      <c r="K31" s="52" t="n">
        <f aca="false">IF(G31="","",MAX(0,G31-J31/100))</f>
        <v>0.250869120448919</v>
      </c>
      <c r="L31" s="52" t="n">
        <f aca="false">IF(G31="","",MIN(1,G31+J31/100))</f>
        <v>0.308452913449386</v>
      </c>
      <c r="M31" s="37" t="n">
        <f aca="false">IF(F31="","",ROUND(F31*J31/100,0))</f>
        <v>3</v>
      </c>
      <c r="P31" s="54" t="n">
        <v>-22.5826807766534</v>
      </c>
      <c r="Q31" s="55" t="n">
        <f aca="false">T31*$H$5</f>
        <v>118.285714285714</v>
      </c>
      <c r="R31" s="56" t="n">
        <f aca="false">MAX(0,MIN(1,P31/100+$D$5))</f>
        <v>0.276823665370684</v>
      </c>
      <c r="S31" s="57" t="s">
        <v>123</v>
      </c>
      <c r="T31" s="55" t="n">
        <v>118.285714285714</v>
      </c>
    </row>
    <row r="32" customFormat="false" ht="15" hidden="false" customHeight="false" outlineLevel="0" collapsed="false">
      <c r="A32" s="21" t="s">
        <v>120</v>
      </c>
      <c r="B32" s="21" t="s">
        <v>149</v>
      </c>
      <c r="C32" s="21" t="s">
        <v>149</v>
      </c>
      <c r="D32" s="37" t="n">
        <f aca="false">ROUND(Q32*R32,0)</f>
        <v>53</v>
      </c>
      <c r="E32" s="37" t="n">
        <f aca="false">ROUND(Q32,0)-D32</f>
        <v>184</v>
      </c>
      <c r="F32" s="37" t="n">
        <f aca="false">IF(COUNTA(D32:E32)=0,"",SUM(D32:E32))</f>
        <v>237</v>
      </c>
      <c r="G32" s="52" t="n">
        <f aca="false">IF(OR(F32="",F32=0),"",D32/F32)</f>
        <v>0.223628691983122</v>
      </c>
      <c r="H32" s="52" t="n">
        <f aca="false">IF(OR(F32="",F32=0),"",E32/F32)</f>
        <v>0.776371308016878</v>
      </c>
      <c r="I32" s="21" t="s">
        <v>122</v>
      </c>
      <c r="J32" s="53" t="n">
        <v>2.87918965002339</v>
      </c>
      <c r="K32" s="52" t="n">
        <f aca="false">IF(G32="","",MAX(0,G32-J32/100))</f>
        <v>0.194836795482889</v>
      </c>
      <c r="L32" s="52" t="n">
        <f aca="false">IF(G32="","",MIN(1,G32+J32/100))</f>
        <v>0.252420588483356</v>
      </c>
      <c r="M32" s="37" t="n">
        <f aca="false">IF(F32="","",ROUND(F32*J32/100,0))</f>
        <v>7</v>
      </c>
      <c r="P32" s="54" t="n">
        <v>-28.0068681337416</v>
      </c>
      <c r="Q32" s="55" t="n">
        <f aca="false">T32*$H$5</f>
        <v>236.844827586207</v>
      </c>
      <c r="R32" s="56" t="n">
        <f aca="false">MAX(0,MIN(1,P32/100+$D$5))</f>
        <v>0.222581791799801</v>
      </c>
      <c r="S32" s="57" t="s">
        <v>123</v>
      </c>
      <c r="T32" s="55" t="n">
        <v>236.844827586207</v>
      </c>
    </row>
    <row r="33" customFormat="false" ht="15" hidden="false" customHeight="false" outlineLevel="0" collapsed="false">
      <c r="A33" s="21" t="s">
        <v>120</v>
      </c>
      <c r="B33" s="21" t="s">
        <v>150</v>
      </c>
      <c r="C33" s="21" t="s">
        <v>151</v>
      </c>
      <c r="D33" s="37" t="n">
        <f aca="false">ROUND(Q33*R33,0)</f>
        <v>240</v>
      </c>
      <c r="E33" s="37" t="n">
        <f aca="false">ROUND(Q33,0)-D33</f>
        <v>356</v>
      </c>
      <c r="F33" s="37" t="n">
        <f aca="false">IF(COUNTA(D33:E33)=0,"",SUM(D33:E33))</f>
        <v>596</v>
      </c>
      <c r="G33" s="52" t="n">
        <f aca="false">IF(OR(F33="",F33=0),"",D33/F33)</f>
        <v>0.402684563758389</v>
      </c>
      <c r="H33" s="52" t="n">
        <f aca="false">IF(OR(F33="",F33=0),"",E33/F33)</f>
        <v>0.597315436241611</v>
      </c>
      <c r="I33" s="21" t="s">
        <v>122</v>
      </c>
      <c r="J33" s="53" t="n">
        <v>2.87918965002339</v>
      </c>
      <c r="K33" s="52" t="n">
        <f aca="false">IF(G33="","",MAX(0,G33-J33/100))</f>
        <v>0.373892667258155</v>
      </c>
      <c r="L33" s="52" t="n">
        <f aca="false">IF(G33="","",MIN(1,G33+J33/100))</f>
        <v>0.431476460258623</v>
      </c>
      <c r="M33" s="37" t="n">
        <f aca="false">IF(F33="","",ROUND(F33*J33/100,0))</f>
        <v>17</v>
      </c>
      <c r="P33" s="54" t="n">
        <v>-10.065615517185</v>
      </c>
      <c r="Q33" s="55" t="n">
        <f aca="false">T33*$H$5</f>
        <v>596.457399103139</v>
      </c>
      <c r="R33" s="56" t="n">
        <f aca="false">MAX(0,MIN(1,P33/100+$D$5))</f>
        <v>0.401994317965368</v>
      </c>
      <c r="S33" s="57" t="s">
        <v>123</v>
      </c>
      <c r="T33" s="55" t="n">
        <v>596.457399103139</v>
      </c>
    </row>
    <row r="34" customFormat="false" ht="15" hidden="false" customHeight="false" outlineLevel="0" collapsed="false">
      <c r="A34" s="21" t="s">
        <v>120</v>
      </c>
      <c r="B34" s="21" t="s">
        <v>150</v>
      </c>
      <c r="C34" s="21" t="s">
        <v>152</v>
      </c>
      <c r="D34" s="37" t="n">
        <f aca="false">ROUND(Q34*R34,0)</f>
        <v>220</v>
      </c>
      <c r="E34" s="37" t="n">
        <f aca="false">ROUND(Q34,0)-D34</f>
        <v>343</v>
      </c>
      <c r="F34" s="37" t="n">
        <f aca="false">IF(COUNTA(D34:E34)=0,"",SUM(D34:E34))</f>
        <v>563</v>
      </c>
      <c r="G34" s="52" t="n">
        <f aca="false">IF(OR(F34="",F34=0),"",D34/F34)</f>
        <v>0.390763765541741</v>
      </c>
      <c r="H34" s="52" t="n">
        <f aca="false">IF(OR(F34="",F34=0),"",E34/F34)</f>
        <v>0.609236234458259</v>
      </c>
      <c r="I34" s="21" t="s">
        <v>122</v>
      </c>
      <c r="J34" s="53" t="n">
        <v>2.87918965002339</v>
      </c>
      <c r="K34" s="52" t="n">
        <f aca="false">IF(G34="","",MAX(0,G34-J34/100))</f>
        <v>0.361971869041507</v>
      </c>
      <c r="L34" s="52" t="n">
        <f aca="false">IF(G34="","",MIN(1,G34+J34/100))</f>
        <v>0.419555662041975</v>
      </c>
      <c r="M34" s="37" t="n">
        <f aca="false">IF(F34="","",ROUND(F34*J34/100,0))</f>
        <v>16</v>
      </c>
      <c r="P34" s="54" t="n">
        <v>-11.1278466573727</v>
      </c>
      <c r="Q34" s="55" t="n">
        <f aca="false">T34*$H$5</f>
        <v>563.161453077699</v>
      </c>
      <c r="R34" s="56" t="n">
        <f aca="false">MAX(0,MIN(1,P34/100+$D$5))</f>
        <v>0.391372006563491</v>
      </c>
      <c r="S34" s="57" t="s">
        <v>123</v>
      </c>
      <c r="T34" s="55" t="n">
        <v>563.161453077699</v>
      </c>
    </row>
    <row r="35" customFormat="false" ht="15" hidden="false" customHeight="false" outlineLevel="0" collapsed="false">
      <c r="A35" s="21" t="s">
        <v>120</v>
      </c>
      <c r="B35" s="21" t="s">
        <v>150</v>
      </c>
      <c r="C35" s="21" t="s">
        <v>153</v>
      </c>
      <c r="D35" s="37" t="n">
        <f aca="false">ROUND(Q35*R35,0)</f>
        <v>234</v>
      </c>
      <c r="E35" s="37" t="n">
        <f aca="false">ROUND(Q35,0)-D35</f>
        <v>360</v>
      </c>
      <c r="F35" s="37" t="n">
        <f aca="false">IF(COUNTA(D35:E35)=0,"",SUM(D35:E35))</f>
        <v>594</v>
      </c>
      <c r="G35" s="52" t="n">
        <f aca="false">IF(OR(F35="",F35=0),"",D35/F35)</f>
        <v>0.393939393939394</v>
      </c>
      <c r="H35" s="52" t="n">
        <f aca="false">IF(OR(F35="",F35=0),"",E35/F35)</f>
        <v>0.606060606060606</v>
      </c>
      <c r="I35" s="21" t="s">
        <v>122</v>
      </c>
      <c r="J35" s="53" t="n">
        <v>2.87918965002339</v>
      </c>
      <c r="K35" s="52" t="n">
        <f aca="false">IF(G35="","",MAX(0,G35-J35/100))</f>
        <v>0.36514749743916</v>
      </c>
      <c r="L35" s="52" t="n">
        <f aca="false">IF(G35="","",MIN(1,G35+J35/100))</f>
        <v>0.422731290439628</v>
      </c>
      <c r="M35" s="37" t="n">
        <f aca="false">IF(F35="","",ROUND(F35*J35/100,0))</f>
        <v>17</v>
      </c>
      <c r="P35" s="54" t="n">
        <v>-10.9410086530777</v>
      </c>
      <c r="Q35" s="55" t="n">
        <f aca="false">T35*$H$5</f>
        <v>593.941784037559</v>
      </c>
      <c r="R35" s="56" t="n">
        <f aca="false">MAX(0,MIN(1,P35/100+$D$5))</f>
        <v>0.393240386606441</v>
      </c>
      <c r="S35" s="57" t="s">
        <v>123</v>
      </c>
      <c r="T35" s="55" t="n">
        <v>593.941784037559</v>
      </c>
    </row>
    <row r="36" customFormat="false" ht="15" hidden="false" customHeight="false" outlineLevel="0" collapsed="false">
      <c r="A36" s="21" t="s">
        <v>120</v>
      </c>
      <c r="B36" s="21" t="s">
        <v>154</v>
      </c>
      <c r="C36" s="21" t="s">
        <v>155</v>
      </c>
      <c r="D36" s="37" t="n">
        <f aca="false">ROUND(Q36*R36,0)</f>
        <v>250</v>
      </c>
      <c r="E36" s="37" t="n">
        <f aca="false">ROUND(Q36,0)-D36</f>
        <v>580</v>
      </c>
      <c r="F36" s="37" t="n">
        <f aca="false">IF(COUNTA(D36:E36)=0,"",SUM(D36:E36))</f>
        <v>830</v>
      </c>
      <c r="G36" s="52" t="n">
        <f aca="false">IF(OR(F36="",F36=0),"",D36/F36)</f>
        <v>0.301204819277108</v>
      </c>
      <c r="H36" s="52" t="n">
        <f aca="false">IF(OR(F36="",F36=0),"",E36/F36)</f>
        <v>0.698795180722892</v>
      </c>
      <c r="I36" s="21" t="s">
        <v>122</v>
      </c>
      <c r="J36" s="53" t="n">
        <v>1.9254971424187</v>
      </c>
      <c r="K36" s="52" t="n">
        <f aca="false">IF(G36="","",MAX(0,G36-J36/100))</f>
        <v>0.281949847852921</v>
      </c>
      <c r="L36" s="52" t="n">
        <f aca="false">IF(G36="","",MIN(1,G36+J36/100))</f>
        <v>0.320459790701296</v>
      </c>
      <c r="M36" s="37" t="n">
        <f aca="false">IF(F36="","",ROUND(F36*J36/100,0))</f>
        <v>16</v>
      </c>
      <c r="P36" s="54" t="n">
        <v>-20.1398362961547</v>
      </c>
      <c r="Q36" s="55" t="n">
        <f aca="false">T36*$H$5</f>
        <v>830.121621621622</v>
      </c>
      <c r="R36" s="56" t="n">
        <f aca="false">MAX(0,MIN(1,P36/100+$D$5))</f>
        <v>0.301252110175671</v>
      </c>
      <c r="S36" s="57" t="s">
        <v>132</v>
      </c>
      <c r="T36" s="55" t="n">
        <v>830.121621621622</v>
      </c>
    </row>
    <row r="37" customFormat="false" ht="15" hidden="false" customHeight="false" outlineLevel="0" collapsed="false">
      <c r="A37" s="21" t="s">
        <v>120</v>
      </c>
      <c r="B37" s="21" t="s">
        <v>154</v>
      </c>
      <c r="C37" s="21" t="s">
        <v>156</v>
      </c>
      <c r="D37" s="37" t="n">
        <f aca="false">ROUND(Q37*R37,0)</f>
        <v>176</v>
      </c>
      <c r="E37" s="37" t="n">
        <f aca="false">ROUND(Q37,0)-D37</f>
        <v>395</v>
      </c>
      <c r="F37" s="37" t="n">
        <f aca="false">IF(COUNTA(D37:E37)=0,"",SUM(D37:E37))</f>
        <v>571</v>
      </c>
      <c r="G37" s="52" t="n">
        <f aca="false">IF(OR(F37="",F37=0),"",D37/F37)</f>
        <v>0.308231173380035</v>
      </c>
      <c r="H37" s="52" t="n">
        <f aca="false">IF(OR(F37="",F37=0),"",E37/F37)</f>
        <v>0.691768826619965</v>
      </c>
      <c r="I37" s="21" t="s">
        <v>122</v>
      </c>
      <c r="J37" s="53" t="n">
        <v>2.87918965002339</v>
      </c>
      <c r="K37" s="52" t="n">
        <f aca="false">IF(G37="","",MAX(0,G37-J37/100))</f>
        <v>0.279439276879801</v>
      </c>
      <c r="L37" s="52" t="n">
        <f aca="false">IF(G37="","",MIN(1,G37+J37/100))</f>
        <v>0.337023069880269</v>
      </c>
      <c r="M37" s="37" t="n">
        <f aca="false">IF(F37="","",ROUND(F37*J37/100,0))</f>
        <v>16</v>
      </c>
      <c r="P37" s="54" t="n">
        <v>-19.3945017477238</v>
      </c>
      <c r="Q37" s="55" t="n">
        <f aca="false">T37*$H$5</f>
        <v>570.942760942761</v>
      </c>
      <c r="R37" s="56" t="n">
        <f aca="false">MAX(0,MIN(1,P37/100+$D$5))</f>
        <v>0.30870545565998</v>
      </c>
      <c r="S37" s="57" t="s">
        <v>123</v>
      </c>
      <c r="T37" s="55" t="n">
        <v>570.942760942761</v>
      </c>
    </row>
    <row r="38" customFormat="false" ht="15" hidden="false" customHeight="false" outlineLevel="0" collapsed="false">
      <c r="A38" s="21" t="s">
        <v>120</v>
      </c>
      <c r="B38" s="21" t="s">
        <v>157</v>
      </c>
      <c r="C38" s="21" t="s">
        <v>158</v>
      </c>
      <c r="D38" s="37" t="n">
        <f aca="false">ROUND(Q38*R38,0)</f>
        <v>117</v>
      </c>
      <c r="E38" s="37" t="n">
        <f aca="false">ROUND(Q38,0)-D38</f>
        <v>329</v>
      </c>
      <c r="F38" s="37" t="n">
        <f aca="false">IF(COUNTA(D38:E38)=0,"",SUM(D38:E38))</f>
        <v>446</v>
      </c>
      <c r="G38" s="52" t="n">
        <f aca="false">IF(OR(F38="",F38=0),"",D38/F38)</f>
        <v>0.262331838565022</v>
      </c>
      <c r="H38" s="52" t="n">
        <f aca="false">IF(OR(F38="",F38=0),"",E38/F38)</f>
        <v>0.737668161434978</v>
      </c>
      <c r="I38" s="21" t="s">
        <v>122</v>
      </c>
      <c r="J38" s="53" t="n">
        <v>2.87918965002339</v>
      </c>
      <c r="K38" s="52" t="n">
        <f aca="false">IF(G38="","",MAX(0,G38-J38/100))</f>
        <v>0.233539942064789</v>
      </c>
      <c r="L38" s="52" t="n">
        <f aca="false">IF(G38="","",MIN(1,G38+J38/100))</f>
        <v>0.291123735065256</v>
      </c>
      <c r="M38" s="37" t="n">
        <f aca="false">IF(F38="","",ROUND(F38*J38/100,0))</f>
        <v>13</v>
      </c>
      <c r="P38" s="54" t="n">
        <v>-24.0267446876605</v>
      </c>
      <c r="Q38" s="55" t="n">
        <f aca="false">T38*$H$5</f>
        <v>446.130363036304</v>
      </c>
      <c r="R38" s="56" t="n">
        <f aca="false">MAX(0,MIN(1,P38/100+$D$5))</f>
        <v>0.262383026260613</v>
      </c>
      <c r="S38" s="57" t="s">
        <v>123</v>
      </c>
      <c r="T38" s="55" t="n">
        <v>446.130363036304</v>
      </c>
    </row>
    <row r="39" customFormat="false" ht="15" hidden="false" customHeight="false" outlineLevel="0" collapsed="false">
      <c r="A39" s="21" t="s">
        <v>120</v>
      </c>
      <c r="B39" s="21" t="s">
        <v>157</v>
      </c>
      <c r="C39" s="21" t="s">
        <v>159</v>
      </c>
      <c r="D39" s="37" t="n">
        <f aca="false">ROUND(Q39*R39,0)</f>
        <v>94</v>
      </c>
      <c r="E39" s="37" t="n">
        <f aca="false">ROUND(Q39,0)-D39</f>
        <v>207</v>
      </c>
      <c r="F39" s="37" t="n">
        <f aca="false">IF(COUNTA(D39:E39)=0,"",SUM(D39:E39))</f>
        <v>301</v>
      </c>
      <c r="G39" s="52" t="n">
        <f aca="false">IF(OR(F39="",F39=0),"",D39/F39)</f>
        <v>0.312292358803987</v>
      </c>
      <c r="H39" s="52" t="n">
        <f aca="false">IF(OR(F39="",F39=0),"",E39/F39)</f>
        <v>0.687707641196013</v>
      </c>
      <c r="I39" s="21" t="s">
        <v>122</v>
      </c>
      <c r="J39" s="53" t="n">
        <v>2.87918965002339</v>
      </c>
      <c r="K39" s="52" t="n">
        <f aca="false">IF(G39="","",MAX(0,G39-J39/100))</f>
        <v>0.283500462303753</v>
      </c>
      <c r="L39" s="52" t="n">
        <f aca="false">IF(G39="","",MIN(1,G39+J39/100))</f>
        <v>0.341084255304221</v>
      </c>
      <c r="M39" s="37" t="n">
        <f aca="false">IF(F39="","",ROUND(F39*J39/100,0))</f>
        <v>9</v>
      </c>
      <c r="P39" s="54" t="n">
        <v>-19.0960999615197</v>
      </c>
      <c r="Q39" s="55" t="n">
        <f aca="false">T39*$H$5</f>
        <v>301.151408450704</v>
      </c>
      <c r="R39" s="56" t="n">
        <f aca="false">MAX(0,MIN(1,P39/100+$D$5))</f>
        <v>0.31168947352202</v>
      </c>
      <c r="S39" s="57" t="s">
        <v>123</v>
      </c>
      <c r="T39" s="55" t="n">
        <v>301.151408450704</v>
      </c>
    </row>
    <row r="40" customFormat="false" ht="15" hidden="false" customHeight="false" outlineLevel="0" collapsed="false">
      <c r="A40" s="21" t="s">
        <v>120</v>
      </c>
      <c r="B40" s="21" t="s">
        <v>157</v>
      </c>
      <c r="C40" s="21" t="s">
        <v>160</v>
      </c>
      <c r="D40" s="37" t="n">
        <f aca="false">ROUND(Q40*R40,0)</f>
        <v>347</v>
      </c>
      <c r="E40" s="37" t="n">
        <f aca="false">ROUND(Q40,0)-D40</f>
        <v>789</v>
      </c>
      <c r="F40" s="37" t="n">
        <f aca="false">IF(COUNTA(D40:E40)=0,"",SUM(D40:E40))</f>
        <v>1136</v>
      </c>
      <c r="G40" s="52" t="n">
        <f aca="false">IF(OR(F40="",F40=0),"",D40/F40)</f>
        <v>0.305457746478873</v>
      </c>
      <c r="H40" s="52" t="n">
        <f aca="false">IF(OR(F40="",F40=0),"",E40/F40)</f>
        <v>0.694542253521127</v>
      </c>
      <c r="I40" s="21" t="s">
        <v>122</v>
      </c>
      <c r="J40" s="53" t="n">
        <v>1.9254971424187</v>
      </c>
      <c r="K40" s="52" t="n">
        <f aca="false">IF(G40="","",MAX(0,G40-J40/100))</f>
        <v>0.286202775054686</v>
      </c>
      <c r="L40" s="52" t="n">
        <f aca="false">IF(G40="","",MIN(1,G40+J40/100))</f>
        <v>0.32471271790306</v>
      </c>
      <c r="M40" s="37" t="n">
        <f aca="false">IF(F40="","",ROUND(F40*J40/100,0))</f>
        <v>22</v>
      </c>
      <c r="P40" s="54" t="n">
        <v>-19.7070769409594</v>
      </c>
      <c r="Q40" s="55" t="n">
        <f aca="false">T40*$H$5</f>
        <v>1135.63689776733</v>
      </c>
      <c r="R40" s="56" t="n">
        <f aca="false">MAX(0,MIN(1,P40/100+$D$5))</f>
        <v>0.305579703727624</v>
      </c>
      <c r="S40" s="57" t="s">
        <v>132</v>
      </c>
      <c r="T40" s="55" t="n">
        <v>1135.63689776733</v>
      </c>
    </row>
    <row r="41" customFormat="false" ht="15" hidden="false" customHeight="false" outlineLevel="0" collapsed="false">
      <c r="A41" s="21" t="s">
        <v>120</v>
      </c>
      <c r="B41" s="21" t="s">
        <v>161</v>
      </c>
      <c r="C41" s="21" t="s">
        <v>162</v>
      </c>
      <c r="D41" s="37" t="n">
        <f aca="false">ROUND(Q41*R41,0)</f>
        <v>240</v>
      </c>
      <c r="E41" s="37" t="n">
        <f aca="false">ROUND(Q41,0)-D41</f>
        <v>346</v>
      </c>
      <c r="F41" s="37" t="n">
        <f aca="false">IF(COUNTA(D41:E41)=0,"",SUM(D41:E41))</f>
        <v>586</v>
      </c>
      <c r="G41" s="52" t="n">
        <f aca="false">IF(OR(F41="",F41=0),"",D41/F41)</f>
        <v>0.409556313993174</v>
      </c>
      <c r="H41" s="52" t="n">
        <f aca="false">IF(OR(F41="",F41=0),"",E41/F41)</f>
        <v>0.590443686006826</v>
      </c>
      <c r="I41" s="21" t="s">
        <v>122</v>
      </c>
      <c r="J41" s="53" t="n">
        <v>2.87918965002339</v>
      </c>
      <c r="K41" s="52" t="n">
        <f aca="false">IF(G41="","",MAX(0,G41-J41/100))</f>
        <v>0.38076441749294</v>
      </c>
      <c r="L41" s="52" t="n">
        <f aca="false">IF(G41="","",MIN(1,G41+J41/100))</f>
        <v>0.438348210493408</v>
      </c>
      <c r="M41" s="37" t="n">
        <f aca="false">IF(F41="","",ROUND(F41*J41/100,0))</f>
        <v>17</v>
      </c>
      <c r="P41" s="54" t="n">
        <v>-9.28034874977914</v>
      </c>
      <c r="Q41" s="55" t="n">
        <f aca="false">T41*$H$5</f>
        <v>585.940362087327</v>
      </c>
      <c r="R41" s="56" t="n">
        <f aca="false">MAX(0,MIN(1,P41/100+$D$5))</f>
        <v>0.409846985639426</v>
      </c>
      <c r="S41" s="57" t="s">
        <v>123</v>
      </c>
      <c r="T41" s="55" t="n">
        <v>585.940362087327</v>
      </c>
    </row>
    <row r="42" customFormat="false" ht="15" hidden="false" customHeight="false" outlineLevel="0" collapsed="false">
      <c r="A42" s="21" t="s">
        <v>120</v>
      </c>
      <c r="B42" s="21" t="s">
        <v>161</v>
      </c>
      <c r="C42" s="21" t="s">
        <v>163</v>
      </c>
      <c r="D42" s="37" t="n">
        <f aca="false">ROUND(Q42*R42,0)</f>
        <v>253</v>
      </c>
      <c r="E42" s="37" t="n">
        <f aca="false">ROUND(Q42,0)-D42</f>
        <v>376</v>
      </c>
      <c r="F42" s="37" t="n">
        <f aca="false">IF(COUNTA(D42:E42)=0,"",SUM(D42:E42))</f>
        <v>629</v>
      </c>
      <c r="G42" s="52" t="n">
        <f aca="false">IF(OR(F42="",F42=0),"",D42/F42)</f>
        <v>0.402225755166932</v>
      </c>
      <c r="H42" s="52" t="n">
        <f aca="false">IF(OR(F42="",F42=0),"",E42/F42)</f>
        <v>0.597774244833068</v>
      </c>
      <c r="I42" s="21" t="s">
        <v>122</v>
      </c>
      <c r="J42" s="53" t="n">
        <v>2.87918965002339</v>
      </c>
      <c r="K42" s="52" t="n">
        <f aca="false">IF(G42="","",MAX(0,G42-J42/100))</f>
        <v>0.373433858666698</v>
      </c>
      <c r="L42" s="52" t="n">
        <f aca="false">IF(G42="","",MIN(1,G42+J42/100))</f>
        <v>0.431017651667166</v>
      </c>
      <c r="M42" s="37" t="n">
        <f aca="false">IF(F42="","",ROUND(F42*J42/100,0))</f>
        <v>18</v>
      </c>
      <c r="P42" s="54" t="n">
        <v>-10.1150448021652</v>
      </c>
      <c r="Q42" s="55" t="n">
        <f aca="false">T42*$H$5</f>
        <v>629.208480565371</v>
      </c>
      <c r="R42" s="56" t="n">
        <f aca="false">MAX(0,MIN(1,P42/100+$D$5))</f>
        <v>0.401500025115566</v>
      </c>
      <c r="S42" s="57" t="s">
        <v>123</v>
      </c>
      <c r="T42" s="55" t="n">
        <v>629.208480565371</v>
      </c>
    </row>
    <row r="43" customFormat="false" ht="15" hidden="false" customHeight="false" outlineLevel="0" collapsed="false">
      <c r="A43" s="21" t="s">
        <v>120</v>
      </c>
      <c r="B43" s="21" t="s">
        <v>164</v>
      </c>
      <c r="C43" s="21" t="s">
        <v>164</v>
      </c>
      <c r="D43" s="37" t="n">
        <f aca="false">ROUND(Q43*R43,0)</f>
        <v>115</v>
      </c>
      <c r="E43" s="37" t="n">
        <f aca="false">ROUND(Q43,0)-D43</f>
        <v>415</v>
      </c>
      <c r="F43" s="37" t="n">
        <f aca="false">IF(COUNTA(D43:E43)=0,"",SUM(D43:E43))</f>
        <v>530</v>
      </c>
      <c r="G43" s="52" t="n">
        <f aca="false">IF(OR(F43="",F43=0),"",D43/F43)</f>
        <v>0.216981132075472</v>
      </c>
      <c r="H43" s="52" t="n">
        <f aca="false">IF(OR(F43="",F43=0),"",E43/F43)</f>
        <v>0.783018867924528</v>
      </c>
      <c r="I43" s="21" t="s">
        <v>122</v>
      </c>
      <c r="J43" s="53" t="n">
        <v>2.87918965002339</v>
      </c>
      <c r="K43" s="52" t="n">
        <f aca="false">IF(G43="","",MAX(0,G43-J43/100))</f>
        <v>0.188189235575238</v>
      </c>
      <c r="L43" s="52" t="n">
        <f aca="false">IF(G43="","",MIN(1,G43+J43/100))</f>
        <v>0.245773028575706</v>
      </c>
      <c r="M43" s="37" t="n">
        <f aca="false">IF(F43="","",ROUND(F43*J43/100,0))</f>
        <v>15</v>
      </c>
      <c r="P43" s="54" t="n">
        <v>-28.5871298593438</v>
      </c>
      <c r="Q43" s="55" t="n">
        <f aca="false">T43*$H$5</f>
        <v>530.117647058823</v>
      </c>
      <c r="R43" s="56" t="n">
        <f aca="false">MAX(0,MIN(1,P43/100+$D$5))</f>
        <v>0.21677917454378</v>
      </c>
      <c r="S43" s="57" t="s">
        <v>123</v>
      </c>
      <c r="T43" s="55" t="n">
        <v>530.117647058823</v>
      </c>
    </row>
    <row r="44" customFormat="false" ht="15" hidden="false" customHeight="false" outlineLevel="0" collapsed="false">
      <c r="A44" s="21" t="s">
        <v>120</v>
      </c>
      <c r="B44" s="21" t="s">
        <v>165</v>
      </c>
      <c r="C44" s="21" t="s">
        <v>166</v>
      </c>
      <c r="D44" s="37" t="n">
        <f aca="false">ROUND(Q44*R44,0)</f>
        <v>247</v>
      </c>
      <c r="E44" s="37" t="n">
        <f aca="false">ROUND(Q44,0)-D44</f>
        <v>448</v>
      </c>
      <c r="F44" s="37" t="n">
        <f aca="false">IF(COUNTA(D44:E44)=0,"",SUM(D44:E44))</f>
        <v>695</v>
      </c>
      <c r="G44" s="52" t="n">
        <f aca="false">IF(OR(F44="",F44=0),"",D44/F44)</f>
        <v>0.355395683453237</v>
      </c>
      <c r="H44" s="52" t="n">
        <f aca="false">IF(OR(F44="",F44=0),"",E44/F44)</f>
        <v>0.644604316546763</v>
      </c>
      <c r="I44" s="21" t="s">
        <v>122</v>
      </c>
      <c r="J44" s="53" t="n">
        <v>2.87918965002339</v>
      </c>
      <c r="K44" s="52" t="n">
        <f aca="false">IF(G44="","",MAX(0,G44-J44/100))</f>
        <v>0.326603786953004</v>
      </c>
      <c r="L44" s="52" t="n">
        <f aca="false">IF(G44="","",MIN(1,G44+J44/100))</f>
        <v>0.384187579953471</v>
      </c>
      <c r="M44" s="37" t="n">
        <f aca="false">IF(F44="","",ROUND(F44*J44/100,0))</f>
        <v>20</v>
      </c>
      <c r="P44" s="54" t="n">
        <v>-14.6694908634083</v>
      </c>
      <c r="Q44" s="55" t="n">
        <f aca="false">T44*$H$5</f>
        <v>695.209549071618</v>
      </c>
      <c r="R44" s="56" t="n">
        <f aca="false">MAX(0,MIN(1,P44/100+$D$5))</f>
        <v>0.355955564503135</v>
      </c>
      <c r="S44" s="57" t="s">
        <v>123</v>
      </c>
      <c r="T44" s="55" t="n">
        <v>695.209549071618</v>
      </c>
    </row>
    <row r="45" customFormat="false" ht="15" hidden="false" customHeight="false" outlineLevel="0" collapsed="false">
      <c r="A45" s="21" t="s">
        <v>120</v>
      </c>
      <c r="B45" s="21" t="s">
        <v>165</v>
      </c>
      <c r="C45" s="21" t="s">
        <v>167</v>
      </c>
      <c r="D45" s="37" t="n">
        <f aca="false">ROUND(Q45*R45,0)</f>
        <v>396</v>
      </c>
      <c r="E45" s="37" t="n">
        <f aca="false">ROUND(Q45,0)-D45</f>
        <v>588</v>
      </c>
      <c r="F45" s="37" t="n">
        <f aca="false">IF(COUNTA(D45:E45)=0,"",SUM(D45:E45))</f>
        <v>984</v>
      </c>
      <c r="G45" s="52" t="n">
        <f aca="false">IF(OR(F45="",F45=0),"",D45/F45)</f>
        <v>0.402439024390244</v>
      </c>
      <c r="H45" s="52" t="n">
        <f aca="false">IF(OR(F45="",F45=0),"",E45/F45)</f>
        <v>0.597560975609756</v>
      </c>
      <c r="I45" s="21" t="s">
        <v>122</v>
      </c>
      <c r="J45" s="53" t="n">
        <v>1.9254971424187</v>
      </c>
      <c r="K45" s="52" t="n">
        <f aca="false">IF(G45="","",MAX(0,G45-J45/100))</f>
        <v>0.383184052966057</v>
      </c>
      <c r="L45" s="52" t="n">
        <f aca="false">IF(G45="","",MIN(1,G45+J45/100))</f>
        <v>0.421693995814431</v>
      </c>
      <c r="M45" s="37" t="n">
        <f aca="false">IF(F45="","",ROUND(F45*J45/100,0))</f>
        <v>19</v>
      </c>
      <c r="P45" s="54" t="n">
        <v>-10.0057770846575</v>
      </c>
      <c r="Q45" s="55" t="n">
        <f aca="false">T45*$H$5</f>
        <v>983.694267515924</v>
      </c>
      <c r="R45" s="56" t="n">
        <f aca="false">MAX(0,MIN(1,P45/100+$D$5))</f>
        <v>0.402592702290643</v>
      </c>
      <c r="S45" s="57" t="s">
        <v>132</v>
      </c>
      <c r="T45" s="55" t="n">
        <v>983.694267515924</v>
      </c>
    </row>
    <row r="46" customFormat="false" ht="15" hidden="false" customHeight="false" outlineLevel="0" collapsed="false">
      <c r="A46" s="21" t="s">
        <v>120</v>
      </c>
      <c r="B46" s="21" t="s">
        <v>165</v>
      </c>
      <c r="C46" s="21" t="s">
        <v>168</v>
      </c>
      <c r="D46" s="37" t="n">
        <f aca="false">ROUND(Q46*R46,0)</f>
        <v>115</v>
      </c>
      <c r="E46" s="37" t="n">
        <f aca="false">ROUND(Q46,0)-D46</f>
        <v>196</v>
      </c>
      <c r="F46" s="37" t="n">
        <f aca="false">IF(COUNTA(D46:E46)=0,"",SUM(D46:E46))</f>
        <v>311</v>
      </c>
      <c r="G46" s="52" t="n">
        <f aca="false">IF(OR(F46="",F46=0),"",D46/F46)</f>
        <v>0.369774919614148</v>
      </c>
      <c r="H46" s="52" t="n">
        <f aca="false">IF(OR(F46="",F46=0),"",E46/F46)</f>
        <v>0.630225080385852</v>
      </c>
      <c r="I46" s="21" t="s">
        <v>122</v>
      </c>
      <c r="J46" s="53" t="n">
        <v>2.87918965002339</v>
      </c>
      <c r="K46" s="52" t="n">
        <f aca="false">IF(G46="","",MAX(0,G46-J46/100))</f>
        <v>0.340983023113914</v>
      </c>
      <c r="L46" s="52" t="n">
        <f aca="false">IF(G46="","",MIN(1,G46+J46/100))</f>
        <v>0.398566816114382</v>
      </c>
      <c r="M46" s="37" t="n">
        <f aca="false">IF(F46="","",ROUND(F46*J46/100,0))</f>
        <v>9</v>
      </c>
      <c r="P46" s="54" t="n">
        <v>-13.283837137317</v>
      </c>
      <c r="Q46" s="55" t="n">
        <f aca="false">T46*$H$5</f>
        <v>310.913705583756</v>
      </c>
      <c r="R46" s="56" t="n">
        <f aca="false">MAX(0,MIN(1,P46/100+$D$5))</f>
        <v>0.369812101764048</v>
      </c>
      <c r="S46" s="57" t="s">
        <v>123</v>
      </c>
      <c r="T46" s="55" t="n">
        <v>310.913705583756</v>
      </c>
    </row>
    <row r="47" customFormat="false" ht="15" hidden="false" customHeight="false" outlineLevel="0" collapsed="false">
      <c r="A47" s="21" t="s">
        <v>120</v>
      </c>
      <c r="B47" s="21" t="s">
        <v>169</v>
      </c>
      <c r="C47" s="21" t="s">
        <v>169</v>
      </c>
      <c r="D47" s="37" t="n">
        <f aca="false">ROUND(Q47*R47,0)</f>
        <v>60</v>
      </c>
      <c r="E47" s="37" t="n">
        <f aca="false">ROUND(Q47,0)-D47</f>
        <v>125</v>
      </c>
      <c r="F47" s="37" t="n">
        <f aca="false">IF(COUNTA(D47:E47)=0,"",SUM(D47:E47))</f>
        <v>185</v>
      </c>
      <c r="G47" s="52" t="n">
        <f aca="false">IF(OR(F47="",F47=0),"",D47/F47)</f>
        <v>0.324324324324324</v>
      </c>
      <c r="H47" s="52" t="n">
        <f aca="false">IF(OR(F47="",F47=0),"",E47/F47)</f>
        <v>0.675675675675676</v>
      </c>
      <c r="I47" s="21" t="s">
        <v>122</v>
      </c>
      <c r="J47" s="53" t="n">
        <v>2.87918965002339</v>
      </c>
      <c r="K47" s="52" t="n">
        <f aca="false">IF(G47="","",MAX(0,G47-J47/100))</f>
        <v>0.295532427824091</v>
      </c>
      <c r="L47" s="52" t="n">
        <f aca="false">IF(G47="","",MIN(1,G47+J47/100))</f>
        <v>0.353116220824558</v>
      </c>
      <c r="M47" s="37" t="n">
        <f aca="false">IF(F47="","",ROUND(F47*J47/100,0))</f>
        <v>5</v>
      </c>
      <c r="P47" s="54" t="n">
        <v>-17.5111737034495</v>
      </c>
      <c r="Q47" s="55" t="n">
        <f aca="false">T47*$H$5</f>
        <v>184.547540983607</v>
      </c>
      <c r="R47" s="56" t="n">
        <f aca="false">MAX(0,MIN(1,P47/100+$D$5))</f>
        <v>0.327538736102723</v>
      </c>
      <c r="S47" s="57" t="s">
        <v>123</v>
      </c>
      <c r="T47" s="55" t="n">
        <v>184.547540983607</v>
      </c>
    </row>
    <row r="48" customFormat="false" ht="15" hidden="false" customHeight="false" outlineLevel="0" collapsed="false">
      <c r="A48" s="21" t="s">
        <v>120</v>
      </c>
      <c r="B48" s="21" t="s">
        <v>170</v>
      </c>
      <c r="C48" s="21" t="s">
        <v>171</v>
      </c>
      <c r="D48" s="37" t="n">
        <f aca="false">ROUND(Q48*R48,0)</f>
        <v>325</v>
      </c>
      <c r="E48" s="37" t="n">
        <f aca="false">ROUND(Q48,0)-D48</f>
        <v>514</v>
      </c>
      <c r="F48" s="37" t="n">
        <f aca="false">IF(COUNTA(D48:E48)=0,"",SUM(D48:E48))</f>
        <v>839</v>
      </c>
      <c r="G48" s="52" t="n">
        <f aca="false">IF(OR(F48="",F48=0),"",D48/F48)</f>
        <v>0.387365911799762</v>
      </c>
      <c r="H48" s="52" t="n">
        <f aca="false">IF(OR(F48="",F48=0),"",E48/F48)</f>
        <v>0.612634088200238</v>
      </c>
      <c r="I48" s="21" t="s">
        <v>122</v>
      </c>
      <c r="J48" s="53" t="n">
        <v>1.9254971424187</v>
      </c>
      <c r="K48" s="52" t="n">
        <f aca="false">IF(G48="","",MAX(0,G48-J48/100))</f>
        <v>0.368110940375575</v>
      </c>
      <c r="L48" s="52" t="n">
        <f aca="false">IF(G48="","",MIN(1,G48+J48/100))</f>
        <v>0.406620883223949</v>
      </c>
      <c r="M48" s="37" t="n">
        <f aca="false">IF(F48="","",ROUND(F48*J48/100,0))</f>
        <v>16</v>
      </c>
      <c r="P48" s="54" t="n">
        <v>-11.5273442232573</v>
      </c>
      <c r="Q48" s="55" t="n">
        <f aca="false">T48*$H$5</f>
        <v>839.29959746981</v>
      </c>
      <c r="R48" s="56" t="n">
        <f aca="false">MAX(0,MIN(1,P48/100+$D$5))</f>
        <v>0.387377030904645</v>
      </c>
      <c r="S48" s="57" t="s">
        <v>132</v>
      </c>
      <c r="T48" s="55" t="n">
        <v>839.29959746981</v>
      </c>
    </row>
    <row r="49" customFormat="false" ht="15" hidden="false" customHeight="false" outlineLevel="0" collapsed="false">
      <c r="A49" s="21" t="s">
        <v>120</v>
      </c>
      <c r="B49" s="21" t="s">
        <v>170</v>
      </c>
      <c r="C49" s="21" t="s">
        <v>172</v>
      </c>
      <c r="D49" s="37" t="n">
        <f aca="false">ROUND(Q49*R49,0)</f>
        <v>249</v>
      </c>
      <c r="E49" s="37" t="n">
        <f aca="false">ROUND(Q49,0)-D49</f>
        <v>402</v>
      </c>
      <c r="F49" s="37" t="n">
        <f aca="false">IF(COUNTA(D49:E49)=0,"",SUM(D49:E49))</f>
        <v>651</v>
      </c>
      <c r="G49" s="52" t="n">
        <f aca="false">IF(OR(F49="",F49=0),"",D49/F49)</f>
        <v>0.382488479262673</v>
      </c>
      <c r="H49" s="52" t="n">
        <f aca="false">IF(OR(F49="",F49=0),"",E49/F49)</f>
        <v>0.617511520737327</v>
      </c>
      <c r="I49" s="21" t="s">
        <v>122</v>
      </c>
      <c r="J49" s="53" t="n">
        <v>2.87918965002339</v>
      </c>
      <c r="K49" s="52" t="n">
        <f aca="false">IF(G49="","",MAX(0,G49-J49/100))</f>
        <v>0.353696582762439</v>
      </c>
      <c r="L49" s="52" t="n">
        <f aca="false">IF(G49="","",MIN(1,G49+J49/100))</f>
        <v>0.411280375762907</v>
      </c>
      <c r="M49" s="37" t="n">
        <f aca="false">IF(F49="","",ROUND(F49*J49/100,0))</f>
        <v>19</v>
      </c>
      <c r="P49" s="54" t="n">
        <v>-12.0065173143197</v>
      </c>
      <c r="Q49" s="55" t="n">
        <f aca="false">T49*$H$5</f>
        <v>650.966977138019</v>
      </c>
      <c r="R49" s="56" t="n">
        <f aca="false">MAX(0,MIN(1,P49/100+$D$5))</f>
        <v>0.38258529999402</v>
      </c>
      <c r="S49" s="57" t="s">
        <v>123</v>
      </c>
      <c r="T49" s="55" t="n">
        <v>650.966977138019</v>
      </c>
    </row>
    <row r="50" customFormat="false" ht="15" hidden="false" customHeight="false" outlineLevel="0" collapsed="false">
      <c r="A50" s="21" t="s">
        <v>120</v>
      </c>
      <c r="B50" s="21" t="s">
        <v>170</v>
      </c>
      <c r="C50" s="21" t="s">
        <v>173</v>
      </c>
      <c r="D50" s="37" t="n">
        <f aca="false">ROUND(Q50*R50,0)</f>
        <v>365</v>
      </c>
      <c r="E50" s="37" t="n">
        <f aca="false">ROUND(Q50,0)-D50</f>
        <v>580</v>
      </c>
      <c r="F50" s="37" t="n">
        <f aca="false">IF(COUNTA(D50:E50)=0,"",SUM(D50:E50))</f>
        <v>945</v>
      </c>
      <c r="G50" s="52" t="n">
        <f aca="false">IF(OR(F50="",F50=0),"",D50/F50)</f>
        <v>0.386243386243386</v>
      </c>
      <c r="H50" s="52" t="n">
        <f aca="false">IF(OR(F50="",F50=0),"",E50/F50)</f>
        <v>0.613756613756614</v>
      </c>
      <c r="I50" s="21" t="s">
        <v>122</v>
      </c>
      <c r="J50" s="53" t="n">
        <v>1.9254971424187</v>
      </c>
      <c r="K50" s="52" t="n">
        <f aca="false">IF(G50="","",MAX(0,G50-J50/100))</f>
        <v>0.366988414819199</v>
      </c>
      <c r="L50" s="52" t="n">
        <f aca="false">IF(G50="","",MIN(1,G50+J50/100))</f>
        <v>0.405498357667573</v>
      </c>
      <c r="M50" s="37" t="n">
        <f aca="false">IF(F50="","",ROUND(F50*J50/100,0))</f>
        <v>18</v>
      </c>
      <c r="P50" s="54" t="n">
        <v>-11.6894448710709</v>
      </c>
      <c r="Q50" s="55" t="n">
        <f aca="false">T50*$H$5</f>
        <v>945.214912280702</v>
      </c>
      <c r="R50" s="56" t="n">
        <f aca="false">MAX(0,MIN(1,P50/100+$D$5))</f>
        <v>0.385756024426509</v>
      </c>
      <c r="S50" s="57" t="s">
        <v>132</v>
      </c>
      <c r="T50" s="55" t="n">
        <v>945.214912280702</v>
      </c>
    </row>
    <row r="51" customFormat="false" ht="15" hidden="false" customHeight="false" outlineLevel="0" collapsed="false">
      <c r="A51" s="21" t="s">
        <v>120</v>
      </c>
      <c r="B51" s="21" t="s">
        <v>170</v>
      </c>
      <c r="C51" s="21" t="s">
        <v>174</v>
      </c>
      <c r="D51" s="37" t="n">
        <f aca="false">ROUND(Q51*R51,0)</f>
        <v>367</v>
      </c>
      <c r="E51" s="37" t="n">
        <f aca="false">ROUND(Q51,0)-D51</f>
        <v>749</v>
      </c>
      <c r="F51" s="37" t="n">
        <f aca="false">IF(COUNTA(D51:E51)=0,"",SUM(D51:E51))</f>
        <v>1116</v>
      </c>
      <c r="G51" s="52" t="n">
        <f aca="false">IF(OR(F51="",F51=0),"",D51/F51)</f>
        <v>0.328853046594982</v>
      </c>
      <c r="H51" s="52" t="n">
        <f aca="false">IF(OR(F51="",F51=0),"",E51/F51)</f>
        <v>0.671146953405018</v>
      </c>
      <c r="I51" s="21" t="s">
        <v>122</v>
      </c>
      <c r="J51" s="53" t="n">
        <v>1.9254971424187</v>
      </c>
      <c r="K51" s="52" t="n">
        <f aca="false">IF(G51="","",MAX(0,G51-J51/100))</f>
        <v>0.309598075170795</v>
      </c>
      <c r="L51" s="52" t="n">
        <f aca="false">IF(G51="","",MIN(1,G51+J51/100))</f>
        <v>0.348108018019169</v>
      </c>
      <c r="M51" s="37" t="n">
        <f aca="false">IF(F51="","",ROUND(F51*J51/100,0))</f>
        <v>21</v>
      </c>
      <c r="P51" s="54" t="n">
        <v>-17.3755995618652</v>
      </c>
      <c r="Q51" s="55" t="n">
        <f aca="false">T51*$H$5</f>
        <v>1115.89731051345</v>
      </c>
      <c r="R51" s="56" t="n">
        <f aca="false">MAX(0,MIN(1,P51/100+$D$5))</f>
        <v>0.328894477518566</v>
      </c>
      <c r="S51" s="57" t="s">
        <v>132</v>
      </c>
      <c r="T51" s="55" t="n">
        <v>1115.89731051345</v>
      </c>
    </row>
    <row r="52" customFormat="false" ht="15" hidden="false" customHeight="false" outlineLevel="0" collapsed="false">
      <c r="A52" s="21" t="s">
        <v>120</v>
      </c>
      <c r="B52" s="21" t="s">
        <v>170</v>
      </c>
      <c r="C52" s="21" t="s">
        <v>175</v>
      </c>
      <c r="D52" s="37" t="n">
        <f aca="false">ROUND(Q52*R52,0)</f>
        <v>342</v>
      </c>
      <c r="E52" s="37" t="n">
        <f aca="false">ROUND(Q52,0)-D52</f>
        <v>590</v>
      </c>
      <c r="F52" s="37" t="n">
        <f aca="false">IF(COUNTA(D52:E52)=0,"",SUM(D52:E52))</f>
        <v>932</v>
      </c>
      <c r="G52" s="52" t="n">
        <f aca="false">IF(OR(F52="",F52=0),"",D52/F52)</f>
        <v>0.366952789699571</v>
      </c>
      <c r="H52" s="52" t="n">
        <f aca="false">IF(OR(F52="",F52=0),"",E52/F52)</f>
        <v>0.633047210300429</v>
      </c>
      <c r="I52" s="21" t="s">
        <v>122</v>
      </c>
      <c r="J52" s="53" t="n">
        <v>1.9254971424187</v>
      </c>
      <c r="K52" s="52" t="n">
        <f aca="false">IF(G52="","",MAX(0,G52-J52/100))</f>
        <v>0.347697818275384</v>
      </c>
      <c r="L52" s="52" t="n">
        <f aca="false">IF(G52="","",MIN(1,G52+J52/100))</f>
        <v>0.386207761123758</v>
      </c>
      <c r="M52" s="37" t="n">
        <f aca="false">IF(F52="","",ROUND(F52*J52/100,0))</f>
        <v>18</v>
      </c>
      <c r="P52" s="54" t="n">
        <v>-13.5723287510776</v>
      </c>
      <c r="Q52" s="55" t="n">
        <f aca="false">T52*$H$5</f>
        <v>932.161434977579</v>
      </c>
      <c r="R52" s="56" t="n">
        <f aca="false">MAX(0,MIN(1,P52/100+$D$5))</f>
        <v>0.366927185626441</v>
      </c>
      <c r="S52" s="57" t="s">
        <v>132</v>
      </c>
      <c r="T52" s="55" t="n">
        <v>932.161434977579</v>
      </c>
    </row>
    <row r="53" customFormat="false" ht="15" hidden="false" customHeight="false" outlineLevel="0" collapsed="false">
      <c r="A53" s="21" t="s">
        <v>120</v>
      </c>
      <c r="B53" s="21" t="s">
        <v>176</v>
      </c>
      <c r="C53" s="21" t="s">
        <v>177</v>
      </c>
      <c r="D53" s="37" t="n">
        <f aca="false">ROUND(Q53*R53,0)</f>
        <v>147</v>
      </c>
      <c r="E53" s="37" t="n">
        <f aca="false">ROUND(Q53,0)-D53</f>
        <v>157</v>
      </c>
      <c r="F53" s="37" t="n">
        <f aca="false">IF(COUNTA(D53:E53)=0,"",SUM(D53:E53))</f>
        <v>304</v>
      </c>
      <c r="G53" s="52" t="n">
        <f aca="false">IF(OR(F53="",F53=0),"",D53/F53)</f>
        <v>0.483552631578947</v>
      </c>
      <c r="H53" s="52" t="n">
        <f aca="false">IF(OR(F53="",F53=0),"",E53/F53)</f>
        <v>0.516447368421053</v>
      </c>
      <c r="I53" s="21" t="s">
        <v>122</v>
      </c>
      <c r="J53" s="53" t="n">
        <v>2.87918965002339</v>
      </c>
      <c r="K53" s="52" t="n">
        <f aca="false">IF(G53="","",MAX(0,G53-J53/100))</f>
        <v>0.454760735078714</v>
      </c>
      <c r="L53" s="52" t="n">
        <f aca="false">IF(G53="","",MIN(1,G53+J53/100))</f>
        <v>0.512344528079181</v>
      </c>
      <c r="M53" s="37" t="n">
        <f aca="false">IF(F53="","",ROUND(F53*J53/100,0))</f>
        <v>9</v>
      </c>
      <c r="P53" s="54" t="n">
        <v>-1.89680825242165</v>
      </c>
      <c r="Q53" s="55" t="n">
        <f aca="false">T53*$H$5</f>
        <v>304.095808383234</v>
      </c>
      <c r="R53" s="56" t="n">
        <f aca="false">MAX(0,MIN(1,P53/100+$D$5))</f>
        <v>0.483682390613001</v>
      </c>
      <c r="S53" s="57" t="s">
        <v>123</v>
      </c>
      <c r="T53" s="55" t="n">
        <v>304.095808383234</v>
      </c>
    </row>
    <row r="54" customFormat="false" ht="15" hidden="false" customHeight="false" outlineLevel="0" collapsed="false">
      <c r="A54" s="21" t="s">
        <v>120</v>
      </c>
      <c r="B54" s="21" t="s">
        <v>176</v>
      </c>
      <c r="C54" s="21" t="s">
        <v>178</v>
      </c>
      <c r="D54" s="37" t="n">
        <f aca="false">ROUND(Q54*R54,0)</f>
        <v>167</v>
      </c>
      <c r="E54" s="37" t="n">
        <f aca="false">ROUND(Q54,0)-D54</f>
        <v>172</v>
      </c>
      <c r="F54" s="37" t="n">
        <f aca="false">IF(COUNTA(D54:E54)=0,"",SUM(D54:E54))</f>
        <v>339</v>
      </c>
      <c r="G54" s="52" t="n">
        <f aca="false">IF(OR(F54="",F54=0),"",D54/F54)</f>
        <v>0.492625368731563</v>
      </c>
      <c r="H54" s="52" t="n">
        <f aca="false">IF(OR(F54="",F54=0),"",E54/F54)</f>
        <v>0.507374631268437</v>
      </c>
      <c r="I54" s="21" t="s">
        <v>122</v>
      </c>
      <c r="J54" s="53" t="n">
        <v>2.87918965002339</v>
      </c>
      <c r="K54" s="52" t="n">
        <f aca="false">IF(G54="","",MAX(0,G54-J54/100))</f>
        <v>0.46383347223133</v>
      </c>
      <c r="L54" s="52" t="n">
        <f aca="false">IF(G54="","",MIN(1,G54+J54/100))</f>
        <v>0.521417265231797</v>
      </c>
      <c r="M54" s="37" t="n">
        <f aca="false">IF(F54="","",ROUND(F54*J54/100,0))</f>
        <v>10</v>
      </c>
      <c r="P54" s="54" t="n">
        <v>-0.887901115547381</v>
      </c>
      <c r="Q54" s="55" t="n">
        <f aca="false">T54*$H$5</f>
        <v>338.993963782696</v>
      </c>
      <c r="R54" s="56" t="n">
        <f aca="false">MAX(0,MIN(1,P54/100+$D$5))</f>
        <v>0.493771461981744</v>
      </c>
      <c r="S54" s="57" t="s">
        <v>123</v>
      </c>
      <c r="T54" s="55" t="n">
        <v>338.993963782696</v>
      </c>
    </row>
    <row r="55" customFormat="false" ht="15" hidden="false" customHeight="false" outlineLevel="0" collapsed="false">
      <c r="A55" s="21" t="s">
        <v>120</v>
      </c>
      <c r="B55" s="21" t="s">
        <v>176</v>
      </c>
      <c r="C55" s="21" t="s">
        <v>179</v>
      </c>
      <c r="D55" s="37" t="n">
        <f aca="false">ROUND(Q55*R55,0)</f>
        <v>95</v>
      </c>
      <c r="E55" s="37" t="n">
        <f aca="false">ROUND(Q55,0)-D55</f>
        <v>148</v>
      </c>
      <c r="F55" s="37" t="n">
        <f aca="false">IF(COUNTA(D55:E55)=0,"",SUM(D55:E55))</f>
        <v>243</v>
      </c>
      <c r="G55" s="52" t="n">
        <f aca="false">IF(OR(F55="",F55=0),"",D55/F55)</f>
        <v>0.390946502057613</v>
      </c>
      <c r="H55" s="52" t="n">
        <f aca="false">IF(OR(F55="",F55=0),"",E55/F55)</f>
        <v>0.609053497942387</v>
      </c>
      <c r="I55" s="21" t="s">
        <v>122</v>
      </c>
      <c r="J55" s="53" t="n">
        <v>2.87918965002339</v>
      </c>
      <c r="K55" s="52" t="n">
        <f aca="false">IF(G55="","",MAX(0,G55-J55/100))</f>
        <v>0.362154605557379</v>
      </c>
      <c r="L55" s="52" t="n">
        <f aca="false">IF(G55="","",MIN(1,G55+J55/100))</f>
        <v>0.419738398557847</v>
      </c>
      <c r="M55" s="37" t="n">
        <f aca="false">IF(F55="","",ROUND(F55*J55/100,0))</f>
        <v>7</v>
      </c>
      <c r="P55" s="54" t="n">
        <v>-11.3019190467258</v>
      </c>
      <c r="Q55" s="55" t="n">
        <f aca="false">T55*$H$5</f>
        <v>242.881401617251</v>
      </c>
      <c r="R55" s="56" t="n">
        <f aca="false">MAX(0,MIN(1,P55/100+$D$5))</f>
        <v>0.38963128266996</v>
      </c>
      <c r="S55" s="57" t="s">
        <v>123</v>
      </c>
      <c r="T55" s="55" t="n">
        <v>242.881401617251</v>
      </c>
    </row>
    <row r="56" customFormat="false" ht="15" hidden="false" customHeight="false" outlineLevel="0" collapsed="false">
      <c r="A56" s="21" t="s">
        <v>120</v>
      </c>
      <c r="B56" s="21" t="s">
        <v>176</v>
      </c>
      <c r="C56" s="21" t="s">
        <v>180</v>
      </c>
      <c r="D56" s="37" t="n">
        <f aca="false">ROUND(Q56*R56,0)</f>
        <v>169</v>
      </c>
      <c r="E56" s="37" t="n">
        <f aca="false">ROUND(Q56,0)-D56</f>
        <v>236</v>
      </c>
      <c r="F56" s="37" t="n">
        <f aca="false">IF(COUNTA(D56:E56)=0,"",SUM(D56:E56))</f>
        <v>405</v>
      </c>
      <c r="G56" s="52" t="n">
        <f aca="false">IF(OR(F56="",F56=0),"",D56/F56)</f>
        <v>0.417283950617284</v>
      </c>
      <c r="H56" s="52" t="n">
        <f aca="false">IF(OR(F56="",F56=0),"",E56/F56)</f>
        <v>0.582716049382716</v>
      </c>
      <c r="I56" s="21" t="s">
        <v>122</v>
      </c>
      <c r="J56" s="53" t="n">
        <v>2.87918965002339</v>
      </c>
      <c r="K56" s="52" t="n">
        <f aca="false">IF(G56="","",MAX(0,G56-J56/100))</f>
        <v>0.38849205411705</v>
      </c>
      <c r="L56" s="52" t="n">
        <f aca="false">IF(G56="","",MIN(1,G56+J56/100))</f>
        <v>0.446075847117518</v>
      </c>
      <c r="M56" s="37" t="n">
        <f aca="false">IF(F56="","",ROUND(F56*J56/100,0))</f>
        <v>12</v>
      </c>
      <c r="P56" s="54" t="n">
        <v>-8.64146898317017</v>
      </c>
      <c r="Q56" s="55" t="n">
        <f aca="false">T56*$H$5</f>
        <v>405.365413533835</v>
      </c>
      <c r="R56" s="56" t="n">
        <f aca="false">MAX(0,MIN(1,P56/100+$D$5))</f>
        <v>0.416235783305516</v>
      </c>
      <c r="S56" s="57" t="s">
        <v>123</v>
      </c>
      <c r="T56" s="55" t="n">
        <v>405.365413533835</v>
      </c>
    </row>
    <row r="57" customFormat="false" ht="15" hidden="false" customHeight="false" outlineLevel="0" collapsed="false">
      <c r="A57" s="21" t="s">
        <v>120</v>
      </c>
      <c r="B57" s="21" t="s">
        <v>181</v>
      </c>
      <c r="C57" s="21" t="s">
        <v>182</v>
      </c>
      <c r="D57" s="37" t="n">
        <f aca="false">ROUND(Q57*R57,0)</f>
        <v>238</v>
      </c>
      <c r="E57" s="37" t="n">
        <f aca="false">ROUND(Q57,0)-D57</f>
        <v>532</v>
      </c>
      <c r="F57" s="37" t="n">
        <f aca="false">IF(COUNTA(D57:E57)=0,"",SUM(D57:E57))</f>
        <v>770</v>
      </c>
      <c r="G57" s="52" t="n">
        <f aca="false">IF(OR(F57="",F57=0),"",D57/F57)</f>
        <v>0.309090909090909</v>
      </c>
      <c r="H57" s="52" t="n">
        <f aca="false">IF(OR(F57="",F57=0),"",E57/F57)</f>
        <v>0.690909090909091</v>
      </c>
      <c r="I57" s="21" t="s">
        <v>122</v>
      </c>
      <c r="J57" s="53" t="n">
        <v>2.87918965002339</v>
      </c>
      <c r="K57" s="52" t="n">
        <f aca="false">IF(G57="","",MAX(0,G57-J57/100))</f>
        <v>0.280299012590675</v>
      </c>
      <c r="L57" s="52" t="n">
        <f aca="false">IF(G57="","",MIN(1,G57+J57/100))</f>
        <v>0.337882805591143</v>
      </c>
      <c r="M57" s="37" t="n">
        <f aca="false">IF(F57="","",ROUND(F57*J57/100,0))</f>
        <v>22</v>
      </c>
      <c r="P57" s="54" t="n">
        <v>-19.296058828714</v>
      </c>
      <c r="Q57" s="55" t="n">
        <f aca="false">T57*$H$5</f>
        <v>769.717741935484</v>
      </c>
      <c r="R57" s="56" t="n">
        <f aca="false">MAX(0,MIN(1,P57/100+$D$5))</f>
        <v>0.309689884850078</v>
      </c>
      <c r="S57" s="57" t="s">
        <v>123</v>
      </c>
      <c r="T57" s="55" t="n">
        <v>769.717741935484</v>
      </c>
    </row>
    <row r="58" customFormat="false" ht="15" hidden="false" customHeight="false" outlineLevel="0" collapsed="false">
      <c r="A58" s="21" t="s">
        <v>120</v>
      </c>
      <c r="B58" s="21" t="s">
        <v>181</v>
      </c>
      <c r="C58" s="21" t="s">
        <v>183</v>
      </c>
      <c r="D58" s="37" t="n">
        <f aca="false">ROUND(Q58*R58,0)</f>
        <v>224</v>
      </c>
      <c r="E58" s="37" t="n">
        <f aca="false">ROUND(Q58,0)-D58</f>
        <v>562</v>
      </c>
      <c r="F58" s="37" t="n">
        <f aca="false">IF(COUNTA(D58:E58)=0,"",SUM(D58:E58))</f>
        <v>786</v>
      </c>
      <c r="G58" s="52" t="n">
        <f aca="false">IF(OR(F58="",F58=0),"",D58/F58)</f>
        <v>0.28498727735369</v>
      </c>
      <c r="H58" s="52" t="n">
        <f aca="false">IF(OR(F58="",F58=0),"",E58/F58)</f>
        <v>0.71501272264631</v>
      </c>
      <c r="I58" s="21" t="s">
        <v>122</v>
      </c>
      <c r="J58" s="53" t="n">
        <v>1.9254971424187</v>
      </c>
      <c r="K58" s="52" t="n">
        <f aca="false">IF(G58="","",MAX(0,G58-J58/100))</f>
        <v>0.265732305929503</v>
      </c>
      <c r="L58" s="52" t="n">
        <f aca="false">IF(G58="","",MIN(1,G58+J58/100))</f>
        <v>0.304242248777877</v>
      </c>
      <c r="M58" s="37" t="n">
        <f aca="false">IF(F58="","",ROUND(F58*J58/100,0))</f>
        <v>15</v>
      </c>
      <c r="P58" s="54" t="n">
        <v>-21.7215425059419</v>
      </c>
      <c r="Q58" s="55" t="n">
        <f aca="false">T58*$H$5</f>
        <v>786.289198606272</v>
      </c>
      <c r="R58" s="56" t="n">
        <f aca="false">MAX(0,MIN(1,P58/100+$D$5))</f>
        <v>0.285435048077799</v>
      </c>
      <c r="S58" s="57" t="s">
        <v>132</v>
      </c>
      <c r="T58" s="55" t="n">
        <v>786.289198606272</v>
      </c>
    </row>
    <row r="59" customFormat="false" ht="15" hidden="false" customHeight="false" outlineLevel="0" collapsed="false">
      <c r="A59" s="21" t="s">
        <v>120</v>
      </c>
      <c r="B59" s="21" t="s">
        <v>181</v>
      </c>
      <c r="C59" s="21" t="s">
        <v>184</v>
      </c>
      <c r="D59" s="37" t="n">
        <f aca="false">ROUND(Q59*R59,0)</f>
        <v>207</v>
      </c>
      <c r="E59" s="37" t="n">
        <f aca="false">ROUND(Q59,0)-D59</f>
        <v>494</v>
      </c>
      <c r="F59" s="37" t="n">
        <f aca="false">IF(COUNTA(D59:E59)=0,"",SUM(D59:E59))</f>
        <v>701</v>
      </c>
      <c r="G59" s="52" t="n">
        <f aca="false">IF(OR(F59="",F59=0),"",D59/F59)</f>
        <v>0.295292439372325</v>
      </c>
      <c r="H59" s="52" t="n">
        <f aca="false">IF(OR(F59="",F59=0),"",E59/F59)</f>
        <v>0.704707560627675</v>
      </c>
      <c r="I59" s="21" t="s">
        <v>122</v>
      </c>
      <c r="J59" s="53" t="n">
        <v>2.87918965002339</v>
      </c>
      <c r="K59" s="52" t="n">
        <f aca="false">IF(G59="","",MAX(0,G59-J59/100))</f>
        <v>0.266500542872091</v>
      </c>
      <c r="L59" s="52" t="n">
        <f aca="false">IF(G59="","",MIN(1,G59+J59/100))</f>
        <v>0.324084335872559</v>
      </c>
      <c r="M59" s="37" t="n">
        <f aca="false">IF(F59="","",ROUND(F59*J59/100,0))</f>
        <v>20</v>
      </c>
      <c r="P59" s="54" t="n">
        <v>-20.7192302781334</v>
      </c>
      <c r="Q59" s="55" t="n">
        <f aca="false">T59*$H$5</f>
        <v>700.937313432836</v>
      </c>
      <c r="R59" s="56" t="n">
        <f aca="false">MAX(0,MIN(1,P59/100+$D$5))</f>
        <v>0.295458170355884</v>
      </c>
      <c r="S59" s="57" t="s">
        <v>123</v>
      </c>
      <c r="T59" s="55" t="n">
        <v>700.937313432836</v>
      </c>
    </row>
    <row r="60" customFormat="false" ht="15" hidden="false" customHeight="false" outlineLevel="0" collapsed="false">
      <c r="A60" s="21" t="s">
        <v>120</v>
      </c>
      <c r="B60" s="21" t="s">
        <v>185</v>
      </c>
      <c r="C60" s="21" t="s">
        <v>186</v>
      </c>
      <c r="D60" s="37" t="n">
        <f aca="false">ROUND(Q60*R60,0)</f>
        <v>182</v>
      </c>
      <c r="E60" s="37" t="n">
        <f aca="false">ROUND(Q60,0)-D60</f>
        <v>419</v>
      </c>
      <c r="F60" s="37" t="n">
        <f aca="false">IF(COUNTA(D60:E60)=0,"",SUM(D60:E60))</f>
        <v>601</v>
      </c>
      <c r="G60" s="52" t="n">
        <f aca="false">IF(OR(F60="",F60=0),"",D60/F60)</f>
        <v>0.302828618968386</v>
      </c>
      <c r="H60" s="52" t="n">
        <f aca="false">IF(OR(F60="",F60=0),"",E60/F60)</f>
        <v>0.697171381031614</v>
      </c>
      <c r="I60" s="21" t="s">
        <v>122</v>
      </c>
      <c r="J60" s="53" t="n">
        <v>2.87918965002339</v>
      </c>
      <c r="K60" s="52" t="n">
        <f aca="false">IF(G60="","",MAX(0,G60-J60/100))</f>
        <v>0.274036722468152</v>
      </c>
      <c r="L60" s="52" t="n">
        <f aca="false">IF(G60="","",MIN(1,G60+J60/100))</f>
        <v>0.33162051546862</v>
      </c>
      <c r="M60" s="37" t="n">
        <f aca="false">IF(F60="","",ROUND(F60*J60/100,0))</f>
        <v>17</v>
      </c>
      <c r="P60" s="54" t="n">
        <v>-19.9918182265665</v>
      </c>
      <c r="Q60" s="55" t="n">
        <f aca="false">T60*$H$5</f>
        <v>601.421153846154</v>
      </c>
      <c r="R60" s="56" t="n">
        <f aca="false">MAX(0,MIN(1,P60/100+$D$5))</f>
        <v>0.302732290871552</v>
      </c>
      <c r="S60" s="57" t="s">
        <v>123</v>
      </c>
      <c r="T60" s="55" t="n">
        <v>601.421153846154</v>
      </c>
    </row>
    <row r="61" customFormat="false" ht="15" hidden="false" customHeight="false" outlineLevel="0" collapsed="false">
      <c r="A61" s="21" t="s">
        <v>120</v>
      </c>
      <c r="B61" s="21" t="s">
        <v>185</v>
      </c>
      <c r="C61" s="21" t="s">
        <v>187</v>
      </c>
      <c r="D61" s="37" t="n">
        <f aca="false">ROUND(Q61*R61,0)</f>
        <v>91</v>
      </c>
      <c r="E61" s="37" t="n">
        <f aca="false">ROUND(Q61,0)-D61</f>
        <v>221</v>
      </c>
      <c r="F61" s="37" t="n">
        <f aca="false">IF(COUNTA(D61:E61)=0,"",SUM(D61:E61))</f>
        <v>312</v>
      </c>
      <c r="G61" s="52" t="n">
        <f aca="false">IF(OR(F61="",F61=0),"",D61/F61)</f>
        <v>0.291666666666667</v>
      </c>
      <c r="H61" s="52" t="n">
        <f aca="false">IF(OR(F61="",F61=0),"",E61/F61)</f>
        <v>0.708333333333333</v>
      </c>
      <c r="I61" s="21" t="s">
        <v>122</v>
      </c>
      <c r="J61" s="53" t="n">
        <v>2.87918965002339</v>
      </c>
      <c r="K61" s="52" t="n">
        <f aca="false">IF(G61="","",MAX(0,G61-J61/100))</f>
        <v>0.262874770166433</v>
      </c>
      <c r="L61" s="52" t="n">
        <f aca="false">IF(G61="","",MIN(1,G61+J61/100))</f>
        <v>0.320458563166901</v>
      </c>
      <c r="M61" s="37" t="n">
        <f aca="false">IF(F61="","",ROUND(F61*J61/100,0))</f>
        <v>9</v>
      </c>
      <c r="P61" s="54" t="n">
        <v>-21.1967298092351</v>
      </c>
      <c r="Q61" s="55" t="n">
        <f aca="false">T61*$H$5</f>
        <v>312.431640625</v>
      </c>
      <c r="R61" s="56" t="n">
        <f aca="false">MAX(0,MIN(1,P61/100+$D$5))</f>
        <v>0.290683175044867</v>
      </c>
      <c r="S61" s="57" t="s">
        <v>123</v>
      </c>
      <c r="T61" s="55" t="n">
        <v>312.431640625</v>
      </c>
    </row>
    <row r="62" customFormat="false" ht="15" hidden="false" customHeight="false" outlineLevel="0" collapsed="false">
      <c r="A62" s="21" t="s">
        <v>120</v>
      </c>
      <c r="B62" s="21" t="s">
        <v>188</v>
      </c>
      <c r="C62" s="21" t="s">
        <v>188</v>
      </c>
      <c r="D62" s="37" t="n">
        <f aca="false">ROUND(Q62*R62,0)</f>
        <v>41</v>
      </c>
      <c r="E62" s="37" t="n">
        <f aca="false">ROUND(Q62,0)-D62</f>
        <v>66</v>
      </c>
      <c r="F62" s="37" t="n">
        <f aca="false">IF(COUNTA(D62:E62)=0,"",SUM(D62:E62))</f>
        <v>107</v>
      </c>
      <c r="G62" s="52" t="n">
        <f aca="false">IF(OR(F62="",F62=0),"",D62/F62)</f>
        <v>0.383177570093458</v>
      </c>
      <c r="H62" s="52" t="n">
        <f aca="false">IF(OR(F62="",F62=0),"",E62/F62)</f>
        <v>0.616822429906542</v>
      </c>
      <c r="I62" s="21" t="s">
        <v>122</v>
      </c>
      <c r="J62" s="53" t="n">
        <v>2.87918965002339</v>
      </c>
      <c r="K62" s="52" t="n">
        <f aca="false">IF(G62="","",MAX(0,G62-J62/100))</f>
        <v>0.354385673593224</v>
      </c>
      <c r="L62" s="52" t="n">
        <f aca="false">IF(G62="","",MIN(1,G62+J62/100))</f>
        <v>0.411969466593692</v>
      </c>
      <c r="M62" s="37" t="n">
        <f aca="false">IF(F62="","",ROUND(F62*J62/100,0))</f>
        <v>3</v>
      </c>
      <c r="P62" s="54" t="n">
        <v>-12.2525255104501</v>
      </c>
      <c r="Q62" s="55" t="n">
        <f aca="false">T62*$H$5</f>
        <v>106.666666666667</v>
      </c>
      <c r="R62" s="56" t="n">
        <f aca="false">MAX(0,MIN(1,P62/100+$D$5))</f>
        <v>0.380125218032716</v>
      </c>
      <c r="S62" s="57" t="s">
        <v>123</v>
      </c>
      <c r="T62" s="55" t="n">
        <v>106.666666666667</v>
      </c>
    </row>
    <row r="63" customFormat="false" ht="15" hidden="false" customHeight="false" outlineLevel="0" collapsed="false">
      <c r="A63" s="21" t="s">
        <v>189</v>
      </c>
      <c r="B63" s="21" t="s">
        <v>190</v>
      </c>
      <c r="C63" s="21" t="s">
        <v>190</v>
      </c>
      <c r="D63" s="37" t="n">
        <f aca="false">ROUND(Q63*R63,0)</f>
        <v>506</v>
      </c>
      <c r="E63" s="37" t="n">
        <f aca="false">ROUND(Q63,0)-D63</f>
        <v>555</v>
      </c>
      <c r="F63" s="37" t="n">
        <f aca="false">IF(COUNTA(D63:E63)=0,"",SUM(D63:E63))</f>
        <v>1061</v>
      </c>
      <c r="G63" s="52" t="n">
        <f aca="false">IF(OR(F63="",F63=0),"",D63/F63)</f>
        <v>0.476908576814326</v>
      </c>
      <c r="H63" s="52" t="n">
        <f aca="false">IF(OR(F63="",F63=0),"",E63/F63)</f>
        <v>0.523091423185674</v>
      </c>
      <c r="I63" s="21" t="s">
        <v>122</v>
      </c>
      <c r="J63" s="53" t="n">
        <v>1.9254971424187</v>
      </c>
      <c r="K63" s="52" t="n">
        <f aca="false">IF(G63="","",MAX(0,G63-J63/100))</f>
        <v>0.457653605390139</v>
      </c>
      <c r="L63" s="52" t="n">
        <f aca="false">IF(G63="","",MIN(1,G63+J63/100))</f>
        <v>0.496163548238513</v>
      </c>
      <c r="M63" s="37" t="n">
        <f aca="false">IF(F63="","",ROUND(F63*J63/100,0))</f>
        <v>20</v>
      </c>
      <c r="P63" s="54" t="n">
        <v>-2.54573130695408</v>
      </c>
      <c r="Q63" s="55" t="n">
        <f aca="false">T63*$H$5</f>
        <v>1060.80585424134</v>
      </c>
      <c r="R63" s="56" t="n">
        <f aca="false">MAX(0,MIN(1,P63/100+$D$5))</f>
        <v>0.477193160067677</v>
      </c>
      <c r="S63" s="57" t="s">
        <v>132</v>
      </c>
      <c r="T63" s="55" t="n">
        <v>1060.80585424134</v>
      </c>
    </row>
    <row r="64" customFormat="false" ht="15" hidden="false" customHeight="false" outlineLevel="0" collapsed="false">
      <c r="A64" s="21" t="s">
        <v>189</v>
      </c>
      <c r="B64" s="21" t="s">
        <v>191</v>
      </c>
      <c r="C64" s="21" t="s">
        <v>192</v>
      </c>
      <c r="D64" s="37" t="n">
        <f aca="false">ROUND(Q64*R64,0)</f>
        <v>244</v>
      </c>
      <c r="E64" s="37" t="n">
        <f aca="false">ROUND(Q64,0)-D64</f>
        <v>95</v>
      </c>
      <c r="F64" s="37" t="n">
        <f aca="false">IF(COUNTA(D64:E64)=0,"",SUM(D64:E64))</f>
        <v>339</v>
      </c>
      <c r="G64" s="52" t="n">
        <f aca="false">IF(OR(F64="",F64=0),"",D64/F64)</f>
        <v>0.71976401179941</v>
      </c>
      <c r="H64" s="52" t="n">
        <f aca="false">IF(OR(F64="",F64=0),"",E64/F64)</f>
        <v>0.28023598820059</v>
      </c>
      <c r="I64" s="21" t="s">
        <v>122</v>
      </c>
      <c r="J64" s="53" t="n">
        <v>2.87918965002339</v>
      </c>
      <c r="K64" s="52" t="n">
        <f aca="false">IF(G64="","",MAX(0,G64-J64/100))</f>
        <v>0.690972115299176</v>
      </c>
      <c r="L64" s="52" t="n">
        <f aca="false">IF(G64="","",MIN(1,G64+J64/100))</f>
        <v>0.748555908299644</v>
      </c>
      <c r="M64" s="37" t="n">
        <f aca="false">IF(F64="","",ROUND(F64*J64/100,0))</f>
        <v>10</v>
      </c>
      <c r="P64" s="54" t="n">
        <v>21.7232016122236</v>
      </c>
      <c r="Q64" s="55" t="n">
        <f aca="false">T64*$H$5</f>
        <v>338.759820426487</v>
      </c>
      <c r="R64" s="56" t="n">
        <f aca="false">MAX(0,MIN(1,P64/100+$D$5))</f>
        <v>0.719882489259454</v>
      </c>
      <c r="S64" s="57" t="s">
        <v>123</v>
      </c>
      <c r="T64" s="55" t="n">
        <v>338.759820426487</v>
      </c>
    </row>
    <row r="65" customFormat="false" ht="15" hidden="false" customHeight="false" outlineLevel="0" collapsed="false">
      <c r="A65" s="21" t="s">
        <v>189</v>
      </c>
      <c r="B65" s="21" t="s">
        <v>191</v>
      </c>
      <c r="C65" s="21" t="s">
        <v>193</v>
      </c>
      <c r="D65" s="37" t="n">
        <f aca="false">ROUND(Q65*R65,0)</f>
        <v>135</v>
      </c>
      <c r="E65" s="37" t="n">
        <f aca="false">ROUND(Q65,0)-D65</f>
        <v>66</v>
      </c>
      <c r="F65" s="37" t="n">
        <f aca="false">IF(COUNTA(D65:E65)=0,"",SUM(D65:E65))</f>
        <v>201</v>
      </c>
      <c r="G65" s="52" t="n">
        <f aca="false">IF(OR(F65="",F65=0),"",D65/F65)</f>
        <v>0.671641791044776</v>
      </c>
      <c r="H65" s="52" t="n">
        <f aca="false">IF(OR(F65="",F65=0),"",E65/F65)</f>
        <v>0.328358208955224</v>
      </c>
      <c r="I65" s="21" t="s">
        <v>122</v>
      </c>
      <c r="J65" s="53" t="n">
        <v>2.87918965002339</v>
      </c>
      <c r="K65" s="52" t="n">
        <f aca="false">IF(G65="","",MAX(0,G65-J65/100))</f>
        <v>0.642849894544542</v>
      </c>
      <c r="L65" s="52" t="n">
        <f aca="false">IF(G65="","",MIN(1,G65+J65/100))</f>
        <v>0.70043368754501</v>
      </c>
      <c r="M65" s="37" t="n">
        <f aca="false">IF(F65="","",ROUND(F65*J65/100,0))</f>
        <v>6</v>
      </c>
      <c r="P65" s="54" t="n">
        <v>17.1815096162652</v>
      </c>
      <c r="Q65" s="55" t="n">
        <f aca="false">T65*$H$5</f>
        <v>200.692863595303</v>
      </c>
      <c r="R65" s="56" t="n">
        <f aca="false">MAX(0,MIN(1,P65/100+$D$5))</f>
        <v>0.67446556929987</v>
      </c>
      <c r="S65" s="57" t="s">
        <v>123</v>
      </c>
      <c r="T65" s="55" t="n">
        <v>200.692863595303</v>
      </c>
    </row>
    <row r="66" customFormat="false" ht="15" hidden="false" customHeight="false" outlineLevel="0" collapsed="false">
      <c r="A66" s="21" t="s">
        <v>189</v>
      </c>
      <c r="B66" s="21" t="s">
        <v>191</v>
      </c>
      <c r="C66" s="21" t="s">
        <v>194</v>
      </c>
      <c r="D66" s="37" t="n">
        <f aca="false">ROUND(Q66*R66,0)</f>
        <v>165</v>
      </c>
      <c r="E66" s="37" t="n">
        <f aca="false">ROUND(Q66,0)-D66</f>
        <v>68</v>
      </c>
      <c r="F66" s="37" t="n">
        <f aca="false">IF(COUNTA(D66:E66)=0,"",SUM(D66:E66))</f>
        <v>233</v>
      </c>
      <c r="G66" s="52" t="n">
        <f aca="false">IF(OR(F66="",F66=0),"",D66/F66)</f>
        <v>0.708154506437768</v>
      </c>
      <c r="H66" s="52" t="n">
        <f aca="false">IF(OR(F66="",F66=0),"",E66/F66)</f>
        <v>0.291845493562232</v>
      </c>
      <c r="I66" s="21" t="s">
        <v>122</v>
      </c>
      <c r="J66" s="53" t="n">
        <v>2.87918965002339</v>
      </c>
      <c r="K66" s="52" t="n">
        <f aca="false">IF(G66="","",MAX(0,G66-J66/100))</f>
        <v>0.679362609937534</v>
      </c>
      <c r="L66" s="52" t="n">
        <f aca="false">IF(G66="","",MIN(1,G66+J66/100))</f>
        <v>0.736946402938002</v>
      </c>
      <c r="M66" s="37" t="n">
        <f aca="false">IF(F66="","",ROUND(F66*J66/100,0))</f>
        <v>7</v>
      </c>
      <c r="P66" s="54" t="n">
        <v>20.5591189053192</v>
      </c>
      <c r="Q66" s="55" t="n">
        <f aca="false">T66*$H$5</f>
        <v>232.72650296359</v>
      </c>
      <c r="R66" s="56" t="n">
        <f aca="false">MAX(0,MIN(1,P66/100+$D$5))</f>
        <v>0.70824166219041</v>
      </c>
      <c r="S66" s="57" t="s">
        <v>123</v>
      </c>
      <c r="T66" s="55" t="n">
        <v>232.72650296359</v>
      </c>
    </row>
    <row r="67" customFormat="false" ht="15" hidden="false" customHeight="false" outlineLevel="0" collapsed="false">
      <c r="A67" s="21" t="s">
        <v>189</v>
      </c>
      <c r="B67" s="21" t="s">
        <v>191</v>
      </c>
      <c r="C67" s="21" t="s">
        <v>195</v>
      </c>
      <c r="D67" s="37" t="n">
        <f aca="false">ROUND(Q67*R67,0)</f>
        <v>160</v>
      </c>
      <c r="E67" s="37" t="n">
        <f aca="false">ROUND(Q67,0)-D67</f>
        <v>75</v>
      </c>
      <c r="F67" s="37" t="n">
        <f aca="false">IF(COUNTA(D67:E67)=0,"",SUM(D67:E67))</f>
        <v>235</v>
      </c>
      <c r="G67" s="52" t="n">
        <f aca="false">IF(OR(F67="",F67=0),"",D67/F67)</f>
        <v>0.680851063829787</v>
      </c>
      <c r="H67" s="52" t="n">
        <f aca="false">IF(OR(F67="",F67=0),"",E67/F67)</f>
        <v>0.319148936170213</v>
      </c>
      <c r="I67" s="21" t="s">
        <v>122</v>
      </c>
      <c r="J67" s="53" t="n">
        <v>2.87918965002339</v>
      </c>
      <c r="K67" s="52" t="n">
        <f aca="false">IF(G67="","",MAX(0,G67-J67/100))</f>
        <v>0.652059167329553</v>
      </c>
      <c r="L67" s="52" t="n">
        <f aca="false">IF(G67="","",MIN(1,G67+J67/100))</f>
        <v>0.709642960330021</v>
      </c>
      <c r="M67" s="37" t="n">
        <f aca="false">IF(F67="","",ROUND(F67*J67/100,0))</f>
        <v>7</v>
      </c>
      <c r="P67" s="54" t="n">
        <v>18.1198857232105</v>
      </c>
      <c r="Q67" s="55" t="n">
        <f aca="false">T67*$H$5</f>
        <v>234.521920668059</v>
      </c>
      <c r="R67" s="56" t="n">
        <f aca="false">MAX(0,MIN(1,P67/100+$D$5))</f>
        <v>0.683849330369322</v>
      </c>
      <c r="S67" s="57" t="s">
        <v>123</v>
      </c>
      <c r="T67" s="55" t="n">
        <v>234.521920668059</v>
      </c>
    </row>
    <row r="68" customFormat="false" ht="15" hidden="false" customHeight="false" outlineLevel="0" collapsed="false">
      <c r="A68" s="21" t="s">
        <v>189</v>
      </c>
      <c r="B68" s="21" t="s">
        <v>191</v>
      </c>
      <c r="C68" s="21" t="s">
        <v>196</v>
      </c>
      <c r="D68" s="37" t="n">
        <f aca="false">ROUND(Q68*R68,0)</f>
        <v>171</v>
      </c>
      <c r="E68" s="37" t="n">
        <f aca="false">ROUND(Q68,0)-D68</f>
        <v>56</v>
      </c>
      <c r="F68" s="37" t="n">
        <f aca="false">IF(COUNTA(D68:E68)=0,"",SUM(D68:E68))</f>
        <v>227</v>
      </c>
      <c r="G68" s="52" t="n">
        <f aca="false">IF(OR(F68="",F68=0),"",D68/F68)</f>
        <v>0.753303964757709</v>
      </c>
      <c r="H68" s="52" t="n">
        <f aca="false">IF(OR(F68="",F68=0),"",E68/F68)</f>
        <v>0.246696035242291</v>
      </c>
      <c r="I68" s="21" t="s">
        <v>122</v>
      </c>
      <c r="J68" s="53" t="n">
        <v>2.87918965002339</v>
      </c>
      <c r="K68" s="52" t="n">
        <f aca="false">IF(G68="","",MAX(0,G68-J68/100))</f>
        <v>0.724512068257475</v>
      </c>
      <c r="L68" s="52" t="n">
        <f aca="false">IF(G68="","",MIN(1,G68+J68/100))</f>
        <v>0.782095861257943</v>
      </c>
      <c r="M68" s="37" t="n">
        <f aca="false">IF(F68="","",ROUND(F68*J68/100,0))</f>
        <v>7</v>
      </c>
      <c r="P68" s="54" t="n">
        <v>24.766251705005</v>
      </c>
      <c r="Q68" s="55" t="n">
        <f aca="false">T68*$H$5</f>
        <v>227.321723189734</v>
      </c>
      <c r="R68" s="56" t="n">
        <f aca="false">MAX(0,MIN(1,P68/100+$D$5))</f>
        <v>0.750312990187268</v>
      </c>
      <c r="S68" s="57" t="s">
        <v>123</v>
      </c>
      <c r="T68" s="55" t="n">
        <v>227.321723189734</v>
      </c>
    </row>
    <row r="69" customFormat="false" ht="15" hidden="false" customHeight="false" outlineLevel="0" collapsed="false">
      <c r="A69" s="21" t="s">
        <v>189</v>
      </c>
      <c r="B69" s="21" t="s">
        <v>191</v>
      </c>
      <c r="C69" s="21" t="s">
        <v>197</v>
      </c>
      <c r="D69" s="37" t="n">
        <f aca="false">ROUND(Q69*R69,0)</f>
        <v>244</v>
      </c>
      <c r="E69" s="37" t="n">
        <f aca="false">ROUND(Q69,0)-D69</f>
        <v>117</v>
      </c>
      <c r="F69" s="37" t="n">
        <f aca="false">IF(COUNTA(D69:E69)=0,"",SUM(D69:E69))</f>
        <v>361</v>
      </c>
      <c r="G69" s="52" t="n">
        <f aca="false">IF(OR(F69="",F69=0),"",D69/F69)</f>
        <v>0.67590027700831</v>
      </c>
      <c r="H69" s="52" t="n">
        <f aca="false">IF(OR(F69="",F69=0),"",E69/F69)</f>
        <v>0.32409972299169</v>
      </c>
      <c r="I69" s="21" t="s">
        <v>122</v>
      </c>
      <c r="J69" s="53" t="n">
        <v>2.87918965002339</v>
      </c>
      <c r="K69" s="52" t="n">
        <f aca="false">IF(G69="","",MAX(0,G69-J69/100))</f>
        <v>0.647108380508076</v>
      </c>
      <c r="L69" s="52" t="n">
        <f aca="false">IF(G69="","",MIN(1,G69+J69/100))</f>
        <v>0.704692173508544</v>
      </c>
      <c r="M69" s="37" t="n">
        <f aca="false">IF(F69="","",ROUND(F69*J69/100,0))</f>
        <v>10</v>
      </c>
      <c r="P69" s="54" t="n">
        <v>17.3065878074033</v>
      </c>
      <c r="Q69" s="55" t="n">
        <f aca="false">T69*$H$5</f>
        <v>360.922448979592</v>
      </c>
      <c r="R69" s="56" t="n">
        <f aca="false">MAX(0,MIN(1,P69/100+$D$5))</f>
        <v>0.675716351211251</v>
      </c>
      <c r="S69" s="57" t="s">
        <v>123</v>
      </c>
      <c r="T69" s="55" t="n">
        <v>360.922448979592</v>
      </c>
    </row>
    <row r="70" customFormat="false" ht="15" hidden="false" customHeight="false" outlineLevel="0" collapsed="false">
      <c r="A70" s="21" t="s">
        <v>189</v>
      </c>
      <c r="B70" s="21" t="s">
        <v>191</v>
      </c>
      <c r="C70" s="21" t="s">
        <v>198</v>
      </c>
      <c r="D70" s="37" t="n">
        <f aca="false">ROUND(Q70*R70,0)</f>
        <v>577</v>
      </c>
      <c r="E70" s="37" t="n">
        <f aca="false">ROUND(Q70,0)-D70</f>
        <v>181</v>
      </c>
      <c r="F70" s="37" t="n">
        <f aca="false">IF(COUNTA(D70:E70)=0,"",SUM(D70:E70))</f>
        <v>758</v>
      </c>
      <c r="G70" s="52" t="n">
        <f aca="false">IF(OR(F70="",F70=0),"",D70/F70)</f>
        <v>0.761213720316623</v>
      </c>
      <c r="H70" s="52" t="n">
        <f aca="false">IF(OR(F70="",F70=0),"",E70/F70)</f>
        <v>0.238786279683377</v>
      </c>
      <c r="I70" s="21" t="s">
        <v>122</v>
      </c>
      <c r="J70" s="53" t="n">
        <v>2.87918965002339</v>
      </c>
      <c r="K70" s="52" t="n">
        <f aca="false">IF(G70="","",MAX(0,G70-J70/100))</f>
        <v>0.732421823816389</v>
      </c>
      <c r="L70" s="52" t="n">
        <f aca="false">IF(G70="","",MIN(1,G70+J70/100))</f>
        <v>0.790005616816857</v>
      </c>
      <c r="M70" s="37" t="n">
        <f aca="false">IF(F70="","",ROUND(F70*J70/100,0))</f>
        <v>22</v>
      </c>
      <c r="P70" s="54" t="n">
        <v>25.8158914311552</v>
      </c>
      <c r="Q70" s="55" t="n">
        <f aca="false">T70*$H$5</f>
        <v>757.916666666666</v>
      </c>
      <c r="R70" s="56" t="n">
        <f aca="false">MAX(0,MIN(1,P70/100+$D$5))</f>
        <v>0.76080938744877</v>
      </c>
      <c r="S70" s="57" t="s">
        <v>123</v>
      </c>
      <c r="T70" s="55" t="n">
        <v>757.916666666666</v>
      </c>
    </row>
    <row r="71" customFormat="false" ht="15" hidden="false" customHeight="false" outlineLevel="0" collapsed="false">
      <c r="A71" s="21" t="s">
        <v>189</v>
      </c>
      <c r="B71" s="21" t="s">
        <v>191</v>
      </c>
      <c r="C71" s="21" t="s">
        <v>199</v>
      </c>
      <c r="D71" s="37" t="n">
        <f aca="false">ROUND(Q71*R71,0)</f>
        <v>270</v>
      </c>
      <c r="E71" s="37" t="n">
        <f aca="false">ROUND(Q71,0)-D71</f>
        <v>141</v>
      </c>
      <c r="F71" s="37" t="n">
        <f aca="false">IF(COUNTA(D71:E71)=0,"",SUM(D71:E71))</f>
        <v>411</v>
      </c>
      <c r="G71" s="52" t="n">
        <f aca="false">IF(OR(F71="",F71=0),"",D71/F71)</f>
        <v>0.656934306569343</v>
      </c>
      <c r="H71" s="52" t="n">
        <f aca="false">IF(OR(F71="",F71=0),"",E71/F71)</f>
        <v>0.343065693430657</v>
      </c>
      <c r="I71" s="21" t="s">
        <v>122</v>
      </c>
      <c r="J71" s="53" t="n">
        <v>2.87918965002339</v>
      </c>
      <c r="K71" s="52" t="n">
        <f aca="false">IF(G71="","",MAX(0,G71-J71/100))</f>
        <v>0.628142410069109</v>
      </c>
      <c r="L71" s="52" t="n">
        <f aca="false">IF(G71="","",MIN(1,G71+J71/100))</f>
        <v>0.685726203069577</v>
      </c>
      <c r="M71" s="37" t="n">
        <f aca="false">IF(F71="","",ROUND(F71*J71/100,0))</f>
        <v>12</v>
      </c>
      <c r="P71" s="54" t="n">
        <v>15.3983404143376</v>
      </c>
      <c r="Q71" s="55" t="n">
        <f aca="false">T71*$H$5</f>
        <v>411.119158878505</v>
      </c>
      <c r="R71" s="56" t="n">
        <f aca="false">MAX(0,MIN(1,P71/100+$D$5))</f>
        <v>0.656633877280594</v>
      </c>
      <c r="S71" s="57" t="s">
        <v>123</v>
      </c>
      <c r="T71" s="55" t="n">
        <v>411.119158878505</v>
      </c>
    </row>
    <row r="72" customFormat="false" ht="15" hidden="false" customHeight="false" outlineLevel="0" collapsed="false">
      <c r="A72" s="21" t="s">
        <v>189</v>
      </c>
      <c r="B72" s="21" t="s">
        <v>191</v>
      </c>
      <c r="C72" s="21" t="s">
        <v>200</v>
      </c>
      <c r="D72" s="37" t="n">
        <f aca="false">ROUND(Q72*R72,0)</f>
        <v>413</v>
      </c>
      <c r="E72" s="37" t="n">
        <f aca="false">ROUND(Q72,0)-D72</f>
        <v>257</v>
      </c>
      <c r="F72" s="37" t="n">
        <f aca="false">IF(COUNTA(D72:E72)=0,"",SUM(D72:E72))</f>
        <v>670</v>
      </c>
      <c r="G72" s="52" t="n">
        <f aca="false">IF(OR(F72="",F72=0),"",D72/F72)</f>
        <v>0.616417910447761</v>
      </c>
      <c r="H72" s="52" t="n">
        <f aca="false">IF(OR(F72="",F72=0),"",E72/F72)</f>
        <v>0.383582089552239</v>
      </c>
      <c r="I72" s="21" t="s">
        <v>122</v>
      </c>
      <c r="J72" s="53" t="n">
        <v>2.87918965002339</v>
      </c>
      <c r="K72" s="52" t="n">
        <f aca="false">IF(G72="","",MAX(0,G72-J72/100))</f>
        <v>0.587626013947527</v>
      </c>
      <c r="L72" s="52" t="n">
        <f aca="false">IF(G72="","",MIN(1,G72+J72/100))</f>
        <v>0.645209806947995</v>
      </c>
      <c r="M72" s="37" t="n">
        <f aca="false">IF(F72="","",ROUND(F72*J72/100,0))</f>
        <v>19</v>
      </c>
      <c r="P72" s="54" t="n">
        <v>11.4061229444114</v>
      </c>
      <c r="Q72" s="55" t="n">
        <f aca="false">T72*$H$5</f>
        <v>669.509193776521</v>
      </c>
      <c r="R72" s="56" t="n">
        <f aca="false">MAX(0,MIN(1,P72/100+$D$5))</f>
        <v>0.616711702581332</v>
      </c>
      <c r="S72" s="57" t="s">
        <v>123</v>
      </c>
      <c r="T72" s="55" t="n">
        <v>669.509193776521</v>
      </c>
    </row>
    <row r="73" customFormat="false" ht="15" hidden="false" customHeight="false" outlineLevel="0" collapsed="false">
      <c r="A73" s="21" t="s">
        <v>189</v>
      </c>
      <c r="B73" s="21" t="s">
        <v>191</v>
      </c>
      <c r="C73" s="21" t="s">
        <v>201</v>
      </c>
      <c r="D73" s="37" t="n">
        <f aca="false">ROUND(Q73*R73,0)</f>
        <v>344</v>
      </c>
      <c r="E73" s="37" t="n">
        <f aca="false">ROUND(Q73,0)-D73</f>
        <v>205</v>
      </c>
      <c r="F73" s="37" t="n">
        <f aca="false">IF(COUNTA(D73:E73)=0,"",SUM(D73:E73))</f>
        <v>549</v>
      </c>
      <c r="G73" s="52" t="n">
        <f aca="false">IF(OR(F73="",F73=0),"",D73/F73)</f>
        <v>0.626593806921676</v>
      </c>
      <c r="H73" s="52" t="n">
        <f aca="false">IF(OR(F73="",F73=0),"",E73/F73)</f>
        <v>0.373406193078324</v>
      </c>
      <c r="I73" s="21" t="s">
        <v>122</v>
      </c>
      <c r="J73" s="53" t="n">
        <v>2.87918965002339</v>
      </c>
      <c r="K73" s="52" t="n">
        <f aca="false">IF(G73="","",MAX(0,G73-J73/100))</f>
        <v>0.597801910421442</v>
      </c>
      <c r="L73" s="52" t="n">
        <f aca="false">IF(G73="","",MIN(1,G73+J73/100))</f>
        <v>0.65538570342191</v>
      </c>
      <c r="M73" s="37" t="n">
        <f aca="false">IF(F73="","",ROUND(F73*J73/100,0))</f>
        <v>16</v>
      </c>
      <c r="P73" s="54" t="n">
        <v>12.426742088123</v>
      </c>
      <c r="Q73" s="55" t="n">
        <f aca="false">T73*$H$5</f>
        <v>549.287257019439</v>
      </c>
      <c r="R73" s="56" t="n">
        <f aca="false">MAX(0,MIN(1,P73/100+$D$5))</f>
        <v>0.626917894018448</v>
      </c>
      <c r="S73" s="57" t="s">
        <v>123</v>
      </c>
      <c r="T73" s="55" t="n">
        <v>549.287257019439</v>
      </c>
    </row>
    <row r="74" customFormat="false" ht="15" hidden="false" customHeight="false" outlineLevel="0" collapsed="false">
      <c r="A74" s="21" t="s">
        <v>189</v>
      </c>
      <c r="B74" s="21" t="s">
        <v>191</v>
      </c>
      <c r="C74" s="21" t="s">
        <v>202</v>
      </c>
      <c r="D74" s="37" t="n">
        <f aca="false">ROUND(Q74*R74,0)</f>
        <v>254</v>
      </c>
      <c r="E74" s="37" t="n">
        <f aca="false">ROUND(Q74,0)-D74</f>
        <v>124</v>
      </c>
      <c r="F74" s="37" t="n">
        <f aca="false">IF(COUNTA(D74:E74)=0,"",SUM(D74:E74))</f>
        <v>378</v>
      </c>
      <c r="G74" s="52" t="n">
        <f aca="false">IF(OR(F74="",F74=0),"",D74/F74)</f>
        <v>0.671957671957672</v>
      </c>
      <c r="H74" s="52" t="n">
        <f aca="false">IF(OR(F74="",F74=0),"",E74/F74)</f>
        <v>0.328042328042328</v>
      </c>
      <c r="I74" s="21" t="s">
        <v>122</v>
      </c>
      <c r="J74" s="53" t="n">
        <v>2.87918965002339</v>
      </c>
      <c r="K74" s="52" t="n">
        <f aca="false">IF(G74="","",MAX(0,G74-J74/100))</f>
        <v>0.643165775457438</v>
      </c>
      <c r="L74" s="52" t="n">
        <f aca="false">IF(G74="","",MIN(1,G74+J74/100))</f>
        <v>0.700749568457906</v>
      </c>
      <c r="M74" s="37" t="n">
        <f aca="false">IF(F74="","",ROUND(F74*J74/100,0))</f>
        <v>11</v>
      </c>
      <c r="P74" s="54" t="n">
        <v>16.8233618437105</v>
      </c>
      <c r="Q74" s="55" t="n">
        <f aca="false">T74*$H$5</f>
        <v>378.339066339066</v>
      </c>
      <c r="R74" s="56" t="n">
        <f aca="false">MAX(0,MIN(1,P74/100+$D$5))</f>
        <v>0.670884091574323</v>
      </c>
      <c r="S74" s="57" t="s">
        <v>123</v>
      </c>
      <c r="T74" s="55" t="n">
        <v>378.339066339066</v>
      </c>
    </row>
    <row r="75" customFormat="false" ht="15" hidden="false" customHeight="false" outlineLevel="0" collapsed="false">
      <c r="A75" s="21" t="s">
        <v>189</v>
      </c>
      <c r="B75" s="21" t="s">
        <v>191</v>
      </c>
      <c r="C75" s="21" t="s">
        <v>203</v>
      </c>
      <c r="D75" s="37" t="n">
        <f aca="false">ROUND(Q75*R75,0)</f>
        <v>312</v>
      </c>
      <c r="E75" s="37" t="n">
        <f aca="false">ROUND(Q75,0)-D75</f>
        <v>173</v>
      </c>
      <c r="F75" s="37" t="n">
        <f aca="false">IF(COUNTA(D75:E75)=0,"",SUM(D75:E75))</f>
        <v>485</v>
      </c>
      <c r="G75" s="52" t="n">
        <f aca="false">IF(OR(F75="",F75=0),"",D75/F75)</f>
        <v>0.643298969072165</v>
      </c>
      <c r="H75" s="52" t="n">
        <f aca="false">IF(OR(F75="",F75=0),"",E75/F75)</f>
        <v>0.356701030927835</v>
      </c>
      <c r="I75" s="21" t="s">
        <v>122</v>
      </c>
      <c r="J75" s="53" t="n">
        <v>2.87918965002339</v>
      </c>
      <c r="K75" s="52" t="n">
        <f aca="false">IF(G75="","",MAX(0,G75-J75/100))</f>
        <v>0.614507072571931</v>
      </c>
      <c r="L75" s="52" t="n">
        <f aca="false">IF(G75="","",MIN(1,G75+J75/100))</f>
        <v>0.672090865572399</v>
      </c>
      <c r="M75" s="37" t="n">
        <f aca="false">IF(F75="","",ROUND(F75*J75/100,0))</f>
        <v>14</v>
      </c>
      <c r="P75" s="54" t="n">
        <v>14.024984993593</v>
      </c>
      <c r="Q75" s="55" t="n">
        <f aca="false">T75*$H$5</f>
        <v>484.695302013423</v>
      </c>
      <c r="R75" s="56" t="n">
        <f aca="false">MAX(0,MIN(1,P75/100+$D$5))</f>
        <v>0.642900323073148</v>
      </c>
      <c r="S75" s="57" t="s">
        <v>123</v>
      </c>
      <c r="T75" s="55" t="n">
        <v>484.695302013423</v>
      </c>
    </row>
    <row r="76" customFormat="false" ht="15" hidden="false" customHeight="false" outlineLevel="0" collapsed="false">
      <c r="A76" s="21" t="s">
        <v>189</v>
      </c>
      <c r="B76" s="21" t="s">
        <v>191</v>
      </c>
      <c r="C76" s="21" t="s">
        <v>204</v>
      </c>
      <c r="D76" s="37" t="n">
        <f aca="false">ROUND(Q76*R76,0)</f>
        <v>360</v>
      </c>
      <c r="E76" s="37" t="n">
        <f aca="false">ROUND(Q76,0)-D76</f>
        <v>214</v>
      </c>
      <c r="F76" s="37" t="n">
        <f aca="false">IF(COUNTA(D76:E76)=0,"",SUM(D76:E76))</f>
        <v>574</v>
      </c>
      <c r="G76" s="52" t="n">
        <f aca="false">IF(OR(F76="",F76=0),"",D76/F76)</f>
        <v>0.627177700348432</v>
      </c>
      <c r="H76" s="52" t="n">
        <f aca="false">IF(OR(F76="",F76=0),"",E76/F76)</f>
        <v>0.372822299651568</v>
      </c>
      <c r="I76" s="21" t="s">
        <v>122</v>
      </c>
      <c r="J76" s="53" t="n">
        <v>2.87918965002339</v>
      </c>
      <c r="K76" s="52" t="n">
        <f aca="false">IF(G76="","",MAX(0,G76-J76/100))</f>
        <v>0.598385803848198</v>
      </c>
      <c r="L76" s="52" t="n">
        <f aca="false">IF(G76="","",MIN(1,G76+J76/100))</f>
        <v>0.655969596848666</v>
      </c>
      <c r="M76" s="37" t="n">
        <f aca="false">IF(F76="","",ROUND(F76*J76/100,0))</f>
        <v>17</v>
      </c>
      <c r="P76" s="54" t="n">
        <v>12.3264389257547</v>
      </c>
      <c r="Q76" s="55" t="n">
        <f aca="false">T76*$H$5</f>
        <v>574.422997946612</v>
      </c>
      <c r="R76" s="56" t="n">
        <f aca="false">MAX(0,MIN(1,P76/100+$D$5))</f>
        <v>0.625914862394765</v>
      </c>
      <c r="S76" s="57" t="s">
        <v>123</v>
      </c>
      <c r="T76" s="55" t="n">
        <v>574.422997946612</v>
      </c>
    </row>
    <row r="77" customFormat="false" ht="15" hidden="false" customHeight="false" outlineLevel="0" collapsed="false">
      <c r="A77" s="21" t="s">
        <v>189</v>
      </c>
      <c r="B77" s="21" t="s">
        <v>191</v>
      </c>
      <c r="C77" s="21" t="s">
        <v>205</v>
      </c>
      <c r="D77" s="37" t="n">
        <f aca="false">ROUND(Q77*R77,0)</f>
        <v>337</v>
      </c>
      <c r="E77" s="37" t="n">
        <f aca="false">ROUND(Q77,0)-D77</f>
        <v>242</v>
      </c>
      <c r="F77" s="37" t="n">
        <f aca="false">IF(COUNTA(D77:E77)=0,"",SUM(D77:E77))</f>
        <v>579</v>
      </c>
      <c r="G77" s="52" t="n">
        <f aca="false">IF(OR(F77="",F77=0),"",D77/F77)</f>
        <v>0.582037996545769</v>
      </c>
      <c r="H77" s="52" t="n">
        <f aca="false">IF(OR(F77="",F77=0),"",E77/F77)</f>
        <v>0.417962003454231</v>
      </c>
      <c r="I77" s="21" t="s">
        <v>122</v>
      </c>
      <c r="J77" s="53" t="n">
        <v>2.87918965002339</v>
      </c>
      <c r="K77" s="52" t="n">
        <f aca="false">IF(G77="","",MAX(0,G77-J77/100))</f>
        <v>0.553246100045535</v>
      </c>
      <c r="L77" s="52" t="n">
        <f aca="false">IF(G77="","",MIN(1,G77+J77/100))</f>
        <v>0.610829893046002</v>
      </c>
      <c r="M77" s="37" t="n">
        <f aca="false">IF(F77="","",ROUND(F77*J77/100,0))</f>
        <v>17</v>
      </c>
      <c r="P77" s="54" t="n">
        <v>7.97645104562664</v>
      </c>
      <c r="Q77" s="55" t="n">
        <f aca="false">T77*$H$5</f>
        <v>579.434468524251</v>
      </c>
      <c r="R77" s="56" t="n">
        <f aca="false">MAX(0,MIN(1,P77/100+$D$5))</f>
        <v>0.582414983593484</v>
      </c>
      <c r="S77" s="57" t="s">
        <v>123</v>
      </c>
      <c r="T77" s="55" t="n">
        <v>579.434468524251</v>
      </c>
    </row>
    <row r="78" customFormat="false" ht="15" hidden="false" customHeight="false" outlineLevel="0" collapsed="false">
      <c r="A78" s="21" t="s">
        <v>189</v>
      </c>
      <c r="B78" s="21" t="s">
        <v>191</v>
      </c>
      <c r="C78" s="21" t="s">
        <v>206</v>
      </c>
      <c r="D78" s="37" t="n">
        <f aca="false">ROUND(Q78*R78,0)</f>
        <v>266</v>
      </c>
      <c r="E78" s="37" t="n">
        <f aca="false">ROUND(Q78,0)-D78</f>
        <v>166</v>
      </c>
      <c r="F78" s="37" t="n">
        <f aca="false">IF(COUNTA(D78:E78)=0,"",SUM(D78:E78))</f>
        <v>432</v>
      </c>
      <c r="G78" s="52" t="n">
        <f aca="false">IF(OR(F78="",F78=0),"",D78/F78)</f>
        <v>0.615740740740741</v>
      </c>
      <c r="H78" s="52" t="n">
        <f aca="false">IF(OR(F78="",F78=0),"",E78/F78)</f>
        <v>0.384259259259259</v>
      </c>
      <c r="I78" s="21" t="s">
        <v>122</v>
      </c>
      <c r="J78" s="53" t="n">
        <v>2.87918965002339</v>
      </c>
      <c r="K78" s="52" t="n">
        <f aca="false">IF(G78="","",MAX(0,G78-J78/100))</f>
        <v>0.586948844240507</v>
      </c>
      <c r="L78" s="52" t="n">
        <f aca="false">IF(G78="","",MIN(1,G78+J78/100))</f>
        <v>0.644532637240975</v>
      </c>
      <c r="M78" s="37" t="n">
        <f aca="false">IF(F78="","",ROUND(F78*J78/100,0))</f>
        <v>12</v>
      </c>
      <c r="P78" s="54" t="n">
        <v>11.3223837278267</v>
      </c>
      <c r="Q78" s="55" t="n">
        <f aca="false">T78*$H$5</f>
        <v>431.913793103448</v>
      </c>
      <c r="R78" s="56" t="n">
        <f aca="false">MAX(0,MIN(1,P78/100+$D$5))</f>
        <v>0.615874310415485</v>
      </c>
      <c r="S78" s="57" t="s">
        <v>123</v>
      </c>
      <c r="T78" s="55" t="n">
        <v>431.913793103448</v>
      </c>
    </row>
    <row r="79" customFormat="false" ht="15" hidden="false" customHeight="false" outlineLevel="0" collapsed="false">
      <c r="A79" s="21" t="s">
        <v>189</v>
      </c>
      <c r="B79" s="21" t="s">
        <v>191</v>
      </c>
      <c r="C79" s="21" t="s">
        <v>207</v>
      </c>
      <c r="D79" s="37" t="n">
        <f aca="false">ROUND(Q79*R79,0)</f>
        <v>257</v>
      </c>
      <c r="E79" s="37" t="n">
        <f aca="false">ROUND(Q79,0)-D79</f>
        <v>107</v>
      </c>
      <c r="F79" s="37" t="n">
        <f aca="false">IF(COUNTA(D79:E79)=0,"",SUM(D79:E79))</f>
        <v>364</v>
      </c>
      <c r="G79" s="52" t="n">
        <f aca="false">IF(OR(F79="",F79=0),"",D79/F79)</f>
        <v>0.706043956043956</v>
      </c>
      <c r="H79" s="52" t="n">
        <f aca="false">IF(OR(F79="",F79=0),"",E79/F79)</f>
        <v>0.293956043956044</v>
      </c>
      <c r="I79" s="21" t="s">
        <v>122</v>
      </c>
      <c r="J79" s="53" t="n">
        <v>2.87918965002339</v>
      </c>
      <c r="K79" s="52" t="n">
        <f aca="false">IF(G79="","",MAX(0,G79-J79/100))</f>
        <v>0.677252059543722</v>
      </c>
      <c r="L79" s="52" t="n">
        <f aca="false">IF(G79="","",MIN(1,G79+J79/100))</f>
        <v>0.73483585254419</v>
      </c>
      <c r="M79" s="37" t="n">
        <f aca="false">IF(F79="","",ROUND(F79*J79/100,0))</f>
        <v>10</v>
      </c>
      <c r="P79" s="54" t="n">
        <v>20.3740335650762</v>
      </c>
      <c r="Q79" s="55" t="n">
        <f aca="false">T79*$H$5</f>
        <v>363.966015293118</v>
      </c>
      <c r="R79" s="56" t="n">
        <f aca="false">MAX(0,MIN(1,P79/100+$D$5))</f>
        <v>0.70639080878798</v>
      </c>
      <c r="S79" s="57" t="s">
        <v>123</v>
      </c>
      <c r="T79" s="55" t="n">
        <v>363.966015293118</v>
      </c>
    </row>
    <row r="80" customFormat="false" ht="15" hidden="false" customHeight="false" outlineLevel="0" collapsed="false">
      <c r="A80" s="21" t="s">
        <v>189</v>
      </c>
      <c r="B80" s="21" t="s">
        <v>191</v>
      </c>
      <c r="C80" s="21" t="s">
        <v>208</v>
      </c>
      <c r="D80" s="37" t="n">
        <f aca="false">ROUND(Q80*R80,0)</f>
        <v>200</v>
      </c>
      <c r="E80" s="37" t="n">
        <f aca="false">ROUND(Q80,0)-D80</f>
        <v>104</v>
      </c>
      <c r="F80" s="37" t="n">
        <f aca="false">IF(COUNTA(D80:E80)=0,"",SUM(D80:E80))</f>
        <v>304</v>
      </c>
      <c r="G80" s="52" t="n">
        <f aca="false">IF(OR(F80="",F80=0),"",D80/F80)</f>
        <v>0.657894736842105</v>
      </c>
      <c r="H80" s="52" t="n">
        <f aca="false">IF(OR(F80="",F80=0),"",E80/F80)</f>
        <v>0.342105263157895</v>
      </c>
      <c r="I80" s="21" t="s">
        <v>122</v>
      </c>
      <c r="J80" s="53" t="n">
        <v>2.87918965002339</v>
      </c>
      <c r="K80" s="52" t="n">
        <f aca="false">IF(G80="","",MAX(0,G80-J80/100))</f>
        <v>0.629102840341872</v>
      </c>
      <c r="L80" s="52" t="n">
        <f aca="false">IF(G80="","",MIN(1,G80+J80/100))</f>
        <v>0.686686633342339</v>
      </c>
      <c r="M80" s="37" t="n">
        <f aca="false">IF(F80="","",ROUND(F80*J80/100,0))</f>
        <v>9</v>
      </c>
      <c r="P80" s="54" t="n">
        <v>15.679178755327</v>
      </c>
      <c r="Q80" s="55" t="n">
        <f aca="false">T80*$H$5</f>
        <v>303.644444444444</v>
      </c>
      <c r="R80" s="56" t="n">
        <f aca="false">MAX(0,MIN(1,P80/100+$D$5))</f>
        <v>0.659442260690488</v>
      </c>
      <c r="S80" s="57" t="s">
        <v>123</v>
      </c>
      <c r="T80" s="55" t="n">
        <v>303.644444444444</v>
      </c>
    </row>
    <row r="81" customFormat="false" ht="15" hidden="false" customHeight="false" outlineLevel="0" collapsed="false">
      <c r="A81" s="21" t="s">
        <v>189</v>
      </c>
      <c r="B81" s="21" t="s">
        <v>191</v>
      </c>
      <c r="C81" s="21" t="s">
        <v>209</v>
      </c>
      <c r="D81" s="37" t="n">
        <f aca="false">ROUND(Q81*R81,0)</f>
        <v>257</v>
      </c>
      <c r="E81" s="37" t="n">
        <f aca="false">ROUND(Q81,0)-D81</f>
        <v>138</v>
      </c>
      <c r="F81" s="37" t="n">
        <f aca="false">IF(COUNTA(D81:E81)=0,"",SUM(D81:E81))</f>
        <v>395</v>
      </c>
      <c r="G81" s="52" t="n">
        <f aca="false">IF(OR(F81="",F81=0),"",D81/F81)</f>
        <v>0.650632911392405</v>
      </c>
      <c r="H81" s="52" t="n">
        <f aca="false">IF(OR(F81="",F81=0),"",E81/F81)</f>
        <v>0.349367088607595</v>
      </c>
      <c r="I81" s="21" t="s">
        <v>122</v>
      </c>
      <c r="J81" s="53" t="n">
        <v>2.87918965002339</v>
      </c>
      <c r="K81" s="52" t="n">
        <f aca="false">IF(G81="","",MAX(0,G81-J81/100))</f>
        <v>0.621841014892171</v>
      </c>
      <c r="L81" s="52" t="n">
        <f aca="false">IF(G81="","",MIN(1,G81+J81/100))</f>
        <v>0.679424807892639</v>
      </c>
      <c r="M81" s="37" t="n">
        <f aca="false">IF(F81="","",ROUND(F81*J81/100,0))</f>
        <v>11</v>
      </c>
      <c r="P81" s="54" t="n">
        <v>14.6651865927515</v>
      </c>
      <c r="Q81" s="55" t="n">
        <f aca="false">T81*$H$5</f>
        <v>395.313313313313</v>
      </c>
      <c r="R81" s="56" t="n">
        <f aca="false">MAX(0,MIN(1,P81/100+$D$5))</f>
        <v>0.649302339064733</v>
      </c>
      <c r="S81" s="57" t="s">
        <v>123</v>
      </c>
      <c r="T81" s="55" t="n">
        <v>395.313313313313</v>
      </c>
    </row>
    <row r="82" customFormat="false" ht="15" hidden="false" customHeight="false" outlineLevel="0" collapsed="false">
      <c r="A82" s="21" t="s">
        <v>189</v>
      </c>
      <c r="B82" s="21" t="s">
        <v>191</v>
      </c>
      <c r="C82" s="21" t="s">
        <v>210</v>
      </c>
      <c r="D82" s="37" t="n">
        <f aca="false">ROUND(Q82*R82,0)</f>
        <v>206</v>
      </c>
      <c r="E82" s="37" t="n">
        <f aca="false">ROUND(Q82,0)-D82</f>
        <v>95</v>
      </c>
      <c r="F82" s="37" t="n">
        <f aca="false">IF(COUNTA(D82:E82)=0,"",SUM(D82:E82))</f>
        <v>301</v>
      </c>
      <c r="G82" s="52" t="n">
        <f aca="false">IF(OR(F82="",F82=0),"",D82/F82)</f>
        <v>0.684385382059801</v>
      </c>
      <c r="H82" s="52" t="n">
        <f aca="false">IF(OR(F82="",F82=0),"",E82/F82)</f>
        <v>0.315614617940199</v>
      </c>
      <c r="I82" s="21" t="s">
        <v>122</v>
      </c>
      <c r="J82" s="53" t="n">
        <v>2.87918965002339</v>
      </c>
      <c r="K82" s="52" t="n">
        <f aca="false">IF(G82="","",MAX(0,G82-J82/100))</f>
        <v>0.655593485559567</v>
      </c>
      <c r="L82" s="52" t="n">
        <f aca="false">IF(G82="","",MIN(1,G82+J82/100))</f>
        <v>0.713177278560035</v>
      </c>
      <c r="M82" s="37" t="n">
        <f aca="false">IF(F82="","",ROUND(F82*J82/100,0))</f>
        <v>9</v>
      </c>
      <c r="P82" s="54" t="n">
        <v>18.1418693117322</v>
      </c>
      <c r="Q82" s="55" t="n">
        <f aca="false">T82*$H$5</f>
        <v>300.567123287671</v>
      </c>
      <c r="R82" s="56" t="n">
        <f aca="false">MAX(0,MIN(1,P82/100+$D$5))</f>
        <v>0.684069166254539</v>
      </c>
      <c r="S82" s="57" t="s">
        <v>123</v>
      </c>
      <c r="T82" s="55" t="n">
        <v>300.567123287671</v>
      </c>
    </row>
    <row r="83" customFormat="false" ht="15" hidden="false" customHeight="false" outlineLevel="0" collapsed="false">
      <c r="A83" s="21" t="s">
        <v>189</v>
      </c>
      <c r="B83" s="21" t="s">
        <v>191</v>
      </c>
      <c r="C83" s="21" t="s">
        <v>211</v>
      </c>
      <c r="D83" s="37" t="n">
        <f aca="false">ROUND(Q83*R83,0)</f>
        <v>375</v>
      </c>
      <c r="E83" s="37" t="n">
        <f aca="false">ROUND(Q83,0)-D83</f>
        <v>211</v>
      </c>
      <c r="F83" s="37" t="n">
        <f aca="false">IF(COUNTA(D83:E83)=0,"",SUM(D83:E83))</f>
        <v>586</v>
      </c>
      <c r="G83" s="52" t="n">
        <f aca="false">IF(OR(F83="",F83=0),"",D83/F83)</f>
        <v>0.639931740614334</v>
      </c>
      <c r="H83" s="52" t="n">
        <f aca="false">IF(OR(F83="",F83=0),"",E83/F83)</f>
        <v>0.360068259385666</v>
      </c>
      <c r="I83" s="21" t="s">
        <v>122</v>
      </c>
      <c r="J83" s="53" t="n">
        <v>2.87918965002339</v>
      </c>
      <c r="K83" s="52" t="n">
        <f aca="false">IF(G83="","",MAX(0,G83-J83/100))</f>
        <v>0.611139844114101</v>
      </c>
      <c r="L83" s="52" t="n">
        <f aca="false">IF(G83="","",MIN(1,G83+J83/100))</f>
        <v>0.668723637114568</v>
      </c>
      <c r="M83" s="37" t="n">
        <f aca="false">IF(F83="","",ROUND(F83*J83/100,0))</f>
        <v>17</v>
      </c>
      <c r="P83" s="54" t="n">
        <v>13.677970244015</v>
      </c>
      <c r="Q83" s="55" t="n">
        <f aca="false">T83*$H$5</f>
        <v>586.485403548941</v>
      </c>
      <c r="R83" s="56" t="n">
        <f aca="false">MAX(0,MIN(1,P83/100+$D$5))</f>
        <v>0.639430175577368</v>
      </c>
      <c r="S83" s="57" t="s">
        <v>123</v>
      </c>
      <c r="T83" s="55" t="n">
        <v>586.485403548941</v>
      </c>
    </row>
    <row r="84" customFormat="false" ht="15" hidden="false" customHeight="false" outlineLevel="0" collapsed="false">
      <c r="A84" s="21" t="s">
        <v>189</v>
      </c>
      <c r="B84" s="21" t="s">
        <v>191</v>
      </c>
      <c r="C84" s="21" t="s">
        <v>212</v>
      </c>
      <c r="D84" s="37" t="n">
        <f aca="false">ROUND(Q84*R84,0)</f>
        <v>371</v>
      </c>
      <c r="E84" s="37" t="n">
        <f aca="false">ROUND(Q84,0)-D84</f>
        <v>200</v>
      </c>
      <c r="F84" s="37" t="n">
        <f aca="false">IF(COUNTA(D84:E84)=0,"",SUM(D84:E84))</f>
        <v>571</v>
      </c>
      <c r="G84" s="52" t="n">
        <f aca="false">IF(OR(F84="",F84=0),"",D84/F84)</f>
        <v>0.649737302977233</v>
      </c>
      <c r="H84" s="52" t="n">
        <f aca="false">IF(OR(F84="",F84=0),"",E84/F84)</f>
        <v>0.350262697022767</v>
      </c>
      <c r="I84" s="21" t="s">
        <v>122</v>
      </c>
      <c r="J84" s="53" t="n">
        <v>2.87918965002339</v>
      </c>
      <c r="K84" s="52" t="n">
        <f aca="false">IF(G84="","",MAX(0,G84-J84/100))</f>
        <v>0.620945406476999</v>
      </c>
      <c r="L84" s="52" t="n">
        <f aca="false">IF(G84="","",MIN(1,G84+J84/100))</f>
        <v>0.678529199477467</v>
      </c>
      <c r="M84" s="37" t="n">
        <f aca="false">IF(F84="","",ROUND(F84*J84/100,0))</f>
        <v>16</v>
      </c>
      <c r="P84" s="54" t="n">
        <v>14.7394445958549</v>
      </c>
      <c r="Q84" s="55" t="n">
        <f aca="false">T84*$H$5</f>
        <v>571.299896587383</v>
      </c>
      <c r="R84" s="56" t="n">
        <f aca="false">MAX(0,MIN(1,P84/100+$D$5))</f>
        <v>0.650044919095766</v>
      </c>
      <c r="S84" s="57" t="s">
        <v>123</v>
      </c>
      <c r="T84" s="55" t="n">
        <v>571.299896587383</v>
      </c>
    </row>
    <row r="85" customFormat="false" ht="15" hidden="false" customHeight="false" outlineLevel="0" collapsed="false">
      <c r="A85" s="21" t="s">
        <v>189</v>
      </c>
      <c r="B85" s="21" t="s">
        <v>191</v>
      </c>
      <c r="C85" s="21" t="s">
        <v>213</v>
      </c>
      <c r="D85" s="37" t="n">
        <f aca="false">ROUND(Q85*R85,0)</f>
        <v>307</v>
      </c>
      <c r="E85" s="37" t="n">
        <f aca="false">ROUND(Q85,0)-D85</f>
        <v>216</v>
      </c>
      <c r="F85" s="37" t="n">
        <f aca="false">IF(COUNTA(D85:E85)=0,"",SUM(D85:E85))</f>
        <v>523</v>
      </c>
      <c r="G85" s="52" t="n">
        <f aca="false">IF(OR(F85="",F85=0),"",D85/F85)</f>
        <v>0.586998087954111</v>
      </c>
      <c r="H85" s="52" t="n">
        <f aca="false">IF(OR(F85="",F85=0),"",E85/F85)</f>
        <v>0.413001912045889</v>
      </c>
      <c r="I85" s="21" t="s">
        <v>122</v>
      </c>
      <c r="J85" s="53" t="n">
        <v>2.87918965002339</v>
      </c>
      <c r="K85" s="52" t="n">
        <f aca="false">IF(G85="","",MAX(0,G85-J85/100))</f>
        <v>0.558206191453877</v>
      </c>
      <c r="L85" s="52" t="n">
        <f aca="false">IF(G85="","",MIN(1,G85+J85/100))</f>
        <v>0.615789984454345</v>
      </c>
      <c r="M85" s="37" t="n">
        <f aca="false">IF(F85="","",ROUND(F85*J85/100,0))</f>
        <v>15</v>
      </c>
      <c r="P85" s="54" t="n">
        <v>8.55831659520326</v>
      </c>
      <c r="Q85" s="55" t="n">
        <f aca="false">T85*$H$5</f>
        <v>522.567052980132</v>
      </c>
      <c r="R85" s="56" t="n">
        <f aca="false">MAX(0,MIN(1,P85/100+$D$5))</f>
        <v>0.58823363908925</v>
      </c>
      <c r="S85" s="57" t="s">
        <v>123</v>
      </c>
      <c r="T85" s="55" t="n">
        <v>522.567052980132</v>
      </c>
    </row>
    <row r="86" customFormat="false" ht="15" hidden="false" customHeight="false" outlineLevel="0" collapsed="false">
      <c r="A86" s="21" t="s">
        <v>189</v>
      </c>
      <c r="B86" s="21" t="s">
        <v>191</v>
      </c>
      <c r="C86" s="21" t="s">
        <v>214</v>
      </c>
      <c r="D86" s="37" t="n">
        <f aca="false">ROUND(Q86*R86,0)</f>
        <v>383</v>
      </c>
      <c r="E86" s="37" t="n">
        <f aca="false">ROUND(Q86,0)-D86</f>
        <v>227</v>
      </c>
      <c r="F86" s="37" t="n">
        <f aca="false">IF(COUNTA(D86:E86)=0,"",SUM(D86:E86))</f>
        <v>610</v>
      </c>
      <c r="G86" s="52" t="n">
        <f aca="false">IF(OR(F86="",F86=0),"",D86/F86)</f>
        <v>0.627868852459016</v>
      </c>
      <c r="H86" s="52" t="n">
        <f aca="false">IF(OR(F86="",F86=0),"",E86/F86)</f>
        <v>0.372131147540984</v>
      </c>
      <c r="I86" s="21" t="s">
        <v>122</v>
      </c>
      <c r="J86" s="53" t="n">
        <v>2.87918965002339</v>
      </c>
      <c r="K86" s="52" t="n">
        <f aca="false">IF(G86="","",MAX(0,G86-J86/100))</f>
        <v>0.599076955958783</v>
      </c>
      <c r="L86" s="52" t="n">
        <f aca="false">IF(G86="","",MIN(1,G86+J86/100))</f>
        <v>0.65666074895925</v>
      </c>
      <c r="M86" s="37" t="n">
        <f aca="false">IF(F86="","",ROUND(F86*J86/100,0))</f>
        <v>18</v>
      </c>
      <c r="P86" s="54" t="n">
        <v>12.5309896075713</v>
      </c>
      <c r="Q86" s="55" t="n">
        <f aca="false">T86*$H$5</f>
        <v>610.325752919484</v>
      </c>
      <c r="R86" s="56" t="n">
        <f aca="false">MAX(0,MIN(1,P86/100+$D$5))</f>
        <v>0.62796036921293</v>
      </c>
      <c r="S86" s="57" t="s">
        <v>123</v>
      </c>
      <c r="T86" s="55" t="n">
        <v>610.325752919484</v>
      </c>
    </row>
    <row r="87" customFormat="false" ht="15" hidden="false" customHeight="false" outlineLevel="0" collapsed="false">
      <c r="A87" s="21" t="s">
        <v>189</v>
      </c>
      <c r="B87" s="21" t="s">
        <v>191</v>
      </c>
      <c r="C87" s="21" t="s">
        <v>215</v>
      </c>
      <c r="D87" s="37" t="n">
        <f aca="false">ROUND(Q87*R87,0)</f>
        <v>424</v>
      </c>
      <c r="E87" s="37" t="n">
        <f aca="false">ROUND(Q87,0)-D87</f>
        <v>257</v>
      </c>
      <c r="F87" s="37" t="n">
        <f aca="false">IF(COUNTA(D87:E87)=0,"",SUM(D87:E87))</f>
        <v>681</v>
      </c>
      <c r="G87" s="52" t="n">
        <f aca="false">IF(OR(F87="",F87=0),"",D87/F87)</f>
        <v>0.622613803230543</v>
      </c>
      <c r="H87" s="52" t="n">
        <f aca="false">IF(OR(F87="",F87=0),"",E87/F87)</f>
        <v>0.377386196769457</v>
      </c>
      <c r="I87" s="21" t="s">
        <v>122</v>
      </c>
      <c r="J87" s="53" t="n">
        <v>2.87918965002339</v>
      </c>
      <c r="K87" s="52" t="n">
        <f aca="false">IF(G87="","",MAX(0,G87-J87/100))</f>
        <v>0.593821906730309</v>
      </c>
      <c r="L87" s="52" t="n">
        <f aca="false">IF(G87="","",MIN(1,G87+J87/100))</f>
        <v>0.651405699730777</v>
      </c>
      <c r="M87" s="37" t="n">
        <f aca="false">IF(F87="","",ROUND(F87*J87/100,0))</f>
        <v>20</v>
      </c>
      <c r="P87" s="54" t="n">
        <v>12.0285279357438</v>
      </c>
      <c r="Q87" s="55" t="n">
        <f aca="false">T87*$H$5</f>
        <v>680.907053394859</v>
      </c>
      <c r="R87" s="56" t="n">
        <f aca="false">MAX(0,MIN(1,P87/100+$D$5))</f>
        <v>0.622935752494656</v>
      </c>
      <c r="S87" s="57" t="s">
        <v>123</v>
      </c>
      <c r="T87" s="55" t="n">
        <v>680.907053394859</v>
      </c>
    </row>
    <row r="88" customFormat="false" ht="15" hidden="false" customHeight="false" outlineLevel="0" collapsed="false">
      <c r="A88" s="21" t="s">
        <v>189</v>
      </c>
      <c r="B88" s="21" t="s">
        <v>191</v>
      </c>
      <c r="C88" s="21" t="s">
        <v>216</v>
      </c>
      <c r="D88" s="37" t="n">
        <f aca="false">ROUND(Q88*R88,0)</f>
        <v>292</v>
      </c>
      <c r="E88" s="37" t="n">
        <f aca="false">ROUND(Q88,0)-D88</f>
        <v>200</v>
      </c>
      <c r="F88" s="37" t="n">
        <f aca="false">IF(COUNTA(D88:E88)=0,"",SUM(D88:E88))</f>
        <v>492</v>
      </c>
      <c r="G88" s="52" t="n">
        <f aca="false">IF(OR(F88="",F88=0),"",D88/F88)</f>
        <v>0.59349593495935</v>
      </c>
      <c r="H88" s="52" t="n">
        <f aca="false">IF(OR(F88="",F88=0),"",E88/F88)</f>
        <v>0.40650406504065</v>
      </c>
      <c r="I88" s="21" t="s">
        <v>122</v>
      </c>
      <c r="J88" s="53" t="n">
        <v>2.87918965002339</v>
      </c>
      <c r="K88" s="52" t="n">
        <f aca="false">IF(G88="","",MAX(0,G88-J88/100))</f>
        <v>0.564704038459116</v>
      </c>
      <c r="L88" s="52" t="n">
        <f aca="false">IF(G88="","",MIN(1,G88+J88/100))</f>
        <v>0.622287831459583</v>
      </c>
      <c r="M88" s="37" t="n">
        <f aca="false">IF(F88="","",ROUND(F88*J88/100,0))</f>
        <v>14</v>
      </c>
      <c r="P88" s="54" t="n">
        <v>9.18772276107635</v>
      </c>
      <c r="Q88" s="55" t="n">
        <f aca="false">T88*$H$5</f>
        <v>491.515840779854</v>
      </c>
      <c r="R88" s="56" t="n">
        <f aca="false">MAX(0,MIN(1,P88/100+$D$5))</f>
        <v>0.594527700747981</v>
      </c>
      <c r="S88" s="57" t="s">
        <v>123</v>
      </c>
      <c r="T88" s="55" t="n">
        <v>491.515840779854</v>
      </c>
    </row>
    <row r="89" customFormat="false" ht="15" hidden="false" customHeight="false" outlineLevel="0" collapsed="false">
      <c r="A89" s="21" t="s">
        <v>189</v>
      </c>
      <c r="B89" s="21" t="s">
        <v>191</v>
      </c>
      <c r="C89" s="21" t="s">
        <v>217</v>
      </c>
      <c r="D89" s="37" t="n">
        <f aca="false">ROUND(Q89*R89,0)</f>
        <v>290</v>
      </c>
      <c r="E89" s="37" t="n">
        <f aca="false">ROUND(Q89,0)-D89</f>
        <v>170</v>
      </c>
      <c r="F89" s="37" t="n">
        <f aca="false">IF(COUNTA(D89:E89)=0,"",SUM(D89:E89))</f>
        <v>460</v>
      </c>
      <c r="G89" s="52" t="n">
        <f aca="false">IF(OR(F89="",F89=0),"",D89/F89)</f>
        <v>0.630434782608696</v>
      </c>
      <c r="H89" s="52" t="n">
        <f aca="false">IF(OR(F89="",F89=0),"",E89/F89)</f>
        <v>0.369565217391304</v>
      </c>
      <c r="I89" s="21" t="s">
        <v>122</v>
      </c>
      <c r="J89" s="53" t="n">
        <v>2.87918965002339</v>
      </c>
      <c r="K89" s="52" t="n">
        <f aca="false">IF(G89="","",MAX(0,G89-J89/100))</f>
        <v>0.601642886108462</v>
      </c>
      <c r="L89" s="52" t="n">
        <f aca="false">IF(G89="","",MIN(1,G89+J89/100))</f>
        <v>0.65922667910893</v>
      </c>
      <c r="M89" s="37" t="n">
        <f aca="false">IF(F89="","",ROUND(F89*J89/100,0))</f>
        <v>13</v>
      </c>
      <c r="P89" s="54" t="n">
        <v>12.7462583252552</v>
      </c>
      <c r="Q89" s="55" t="n">
        <f aca="false">T89*$H$5</f>
        <v>460.299781181619</v>
      </c>
      <c r="R89" s="56" t="n">
        <f aca="false">MAX(0,MIN(1,P89/100+$D$5))</f>
        <v>0.63011305638977</v>
      </c>
      <c r="S89" s="57" t="s">
        <v>123</v>
      </c>
      <c r="T89" s="55" t="n">
        <v>460.299781181619</v>
      </c>
    </row>
    <row r="90" customFormat="false" ht="15" hidden="false" customHeight="false" outlineLevel="0" collapsed="false">
      <c r="A90" s="21" t="s">
        <v>189</v>
      </c>
      <c r="B90" s="21" t="s">
        <v>191</v>
      </c>
      <c r="C90" s="21" t="s">
        <v>218</v>
      </c>
      <c r="D90" s="37" t="n">
        <f aca="false">ROUND(Q90*R90,0)</f>
        <v>495</v>
      </c>
      <c r="E90" s="37" t="n">
        <f aca="false">ROUND(Q90,0)-D90</f>
        <v>326</v>
      </c>
      <c r="F90" s="37" t="n">
        <f aca="false">IF(COUNTA(D90:E90)=0,"",SUM(D90:E90))</f>
        <v>821</v>
      </c>
      <c r="G90" s="52" t="n">
        <f aca="false">IF(OR(F90="",F90=0),"",D90/F90)</f>
        <v>0.602923264311815</v>
      </c>
      <c r="H90" s="52" t="n">
        <f aca="false">IF(OR(F90="",F90=0),"",E90/F90)</f>
        <v>0.397076735688185</v>
      </c>
      <c r="I90" s="21" t="s">
        <v>122</v>
      </c>
      <c r="J90" s="53" t="n">
        <v>1.9254971424187</v>
      </c>
      <c r="K90" s="52" t="n">
        <f aca="false">IF(G90="","",MAX(0,G90-J90/100))</f>
        <v>0.583668292887628</v>
      </c>
      <c r="L90" s="52" t="n">
        <f aca="false">IF(G90="","",MIN(1,G90+J90/100))</f>
        <v>0.622178235736002</v>
      </c>
      <c r="M90" s="37" t="n">
        <f aca="false">IF(F90="","",ROUND(F90*J90/100,0))</f>
        <v>16</v>
      </c>
      <c r="P90" s="54" t="n">
        <v>9.99815172937556</v>
      </c>
      <c r="Q90" s="55" t="n">
        <f aca="false">T90*$H$5</f>
        <v>821.477888730385</v>
      </c>
      <c r="R90" s="56" t="n">
        <f aca="false">MAX(0,MIN(1,P90/100+$D$5))</f>
        <v>0.602631990430973</v>
      </c>
      <c r="S90" s="57" t="s">
        <v>132</v>
      </c>
      <c r="T90" s="55" t="n">
        <v>821.477888730385</v>
      </c>
    </row>
    <row r="91" customFormat="false" ht="15" hidden="false" customHeight="false" outlineLevel="0" collapsed="false">
      <c r="A91" s="21" t="s">
        <v>189</v>
      </c>
      <c r="B91" s="21" t="s">
        <v>191</v>
      </c>
      <c r="C91" s="21" t="s">
        <v>219</v>
      </c>
      <c r="D91" s="37" t="n">
        <f aca="false">ROUND(Q91*R91,0)</f>
        <v>350</v>
      </c>
      <c r="E91" s="37" t="n">
        <f aca="false">ROUND(Q91,0)-D91</f>
        <v>170</v>
      </c>
      <c r="F91" s="37" t="n">
        <f aca="false">IF(COUNTA(D91:E91)=0,"",SUM(D91:E91))</f>
        <v>520</v>
      </c>
      <c r="G91" s="52" t="n">
        <f aca="false">IF(OR(F91="",F91=0),"",D91/F91)</f>
        <v>0.673076923076923</v>
      </c>
      <c r="H91" s="52" t="n">
        <f aca="false">IF(OR(F91="",F91=0),"",E91/F91)</f>
        <v>0.326923076923077</v>
      </c>
      <c r="I91" s="21" t="s">
        <v>122</v>
      </c>
      <c r="J91" s="53" t="n">
        <v>2.87918965002339</v>
      </c>
      <c r="K91" s="52" t="n">
        <f aca="false">IF(G91="","",MAX(0,G91-J91/100))</f>
        <v>0.644285026576689</v>
      </c>
      <c r="L91" s="52" t="n">
        <f aca="false">IF(G91="","",MIN(1,G91+J91/100))</f>
        <v>0.701868819577157</v>
      </c>
      <c r="M91" s="37" t="n">
        <f aca="false">IF(F91="","",ROUND(F91*J91/100,0))</f>
        <v>15</v>
      </c>
      <c r="P91" s="54" t="n">
        <v>17.156812681147</v>
      </c>
      <c r="Q91" s="55" t="n">
        <f aca="false">T91*$H$5</f>
        <v>519.765237020316</v>
      </c>
      <c r="R91" s="56" t="n">
        <f aca="false">MAX(0,MIN(1,P91/100+$D$5))</f>
        <v>0.674218599948688</v>
      </c>
      <c r="S91" s="57" t="s">
        <v>123</v>
      </c>
      <c r="T91" s="55" t="n">
        <v>519.765237020316</v>
      </c>
    </row>
    <row r="92" customFormat="false" ht="15" hidden="false" customHeight="false" outlineLevel="0" collapsed="false">
      <c r="A92" s="21" t="s">
        <v>189</v>
      </c>
      <c r="B92" s="21" t="s">
        <v>191</v>
      </c>
      <c r="C92" s="21" t="s">
        <v>220</v>
      </c>
      <c r="D92" s="37" t="n">
        <f aca="false">ROUND(Q92*R92,0)</f>
        <v>389</v>
      </c>
      <c r="E92" s="37" t="n">
        <f aca="false">ROUND(Q92,0)-D92</f>
        <v>228</v>
      </c>
      <c r="F92" s="37" t="n">
        <f aca="false">IF(COUNTA(D92:E92)=0,"",SUM(D92:E92))</f>
        <v>617</v>
      </c>
      <c r="G92" s="52" t="n">
        <f aca="false">IF(OR(F92="",F92=0),"",D92/F92)</f>
        <v>0.630470016207456</v>
      </c>
      <c r="H92" s="52" t="n">
        <f aca="false">IF(OR(F92="",F92=0),"",E92/F92)</f>
        <v>0.369529983792545</v>
      </c>
      <c r="I92" s="21" t="s">
        <v>122</v>
      </c>
      <c r="J92" s="53" t="n">
        <v>2.87918965002339</v>
      </c>
      <c r="K92" s="52" t="n">
        <f aca="false">IF(G92="","",MAX(0,G92-J92/100))</f>
        <v>0.601678119707222</v>
      </c>
      <c r="L92" s="52" t="n">
        <f aca="false">IF(G92="","",MIN(1,G92+J92/100))</f>
        <v>0.659261912707689</v>
      </c>
      <c r="M92" s="37" t="n">
        <f aca="false">IF(F92="","",ROUND(F92*J92/100,0))</f>
        <v>18</v>
      </c>
      <c r="P92" s="54" t="n">
        <v>12.8138562267569</v>
      </c>
      <c r="Q92" s="55" t="n">
        <f aca="false">T92*$H$5</f>
        <v>617.474012474013</v>
      </c>
      <c r="R92" s="56" t="n">
        <f aca="false">MAX(0,MIN(1,P92/100+$D$5))</f>
        <v>0.630789035404787</v>
      </c>
      <c r="S92" s="57" t="s">
        <v>123</v>
      </c>
      <c r="T92" s="55" t="n">
        <v>617.474012474013</v>
      </c>
    </row>
    <row r="93" customFormat="false" ht="15" hidden="false" customHeight="false" outlineLevel="0" collapsed="false">
      <c r="A93" s="21" t="s">
        <v>189</v>
      </c>
      <c r="B93" s="21" t="s">
        <v>191</v>
      </c>
      <c r="C93" s="21" t="s">
        <v>221</v>
      </c>
      <c r="D93" s="37" t="n">
        <f aca="false">ROUND(Q93*R93,0)</f>
        <v>416</v>
      </c>
      <c r="E93" s="37" t="n">
        <f aca="false">ROUND(Q93,0)-D93</f>
        <v>260</v>
      </c>
      <c r="F93" s="37" t="n">
        <f aca="false">IF(COUNTA(D93:E93)=0,"",SUM(D93:E93))</f>
        <v>676</v>
      </c>
      <c r="G93" s="52" t="n">
        <f aca="false">IF(OR(F93="",F93=0),"",D93/F93)</f>
        <v>0.615384615384615</v>
      </c>
      <c r="H93" s="52" t="n">
        <f aca="false">IF(OR(F93="",F93=0),"",E93/F93)</f>
        <v>0.384615384615385</v>
      </c>
      <c r="I93" s="21" t="s">
        <v>122</v>
      </c>
      <c r="J93" s="53" t="n">
        <v>2.87918965002339</v>
      </c>
      <c r="K93" s="52" t="n">
        <f aca="false">IF(G93="","",MAX(0,G93-J93/100))</f>
        <v>0.586592718884382</v>
      </c>
      <c r="L93" s="52" t="n">
        <f aca="false">IF(G93="","",MIN(1,G93+J93/100))</f>
        <v>0.644176511884849</v>
      </c>
      <c r="M93" s="37" t="n">
        <f aca="false">IF(F93="","",ROUND(F93*J93/100,0))</f>
        <v>19</v>
      </c>
      <c r="P93" s="54" t="n">
        <v>11.275652453748</v>
      </c>
      <c r="Q93" s="55" t="n">
        <f aca="false">T93*$H$5</f>
        <v>675.646008403362</v>
      </c>
      <c r="R93" s="56" t="n">
        <f aca="false">MAX(0,MIN(1,P93/100+$D$5))</f>
        <v>0.615406997674697</v>
      </c>
      <c r="S93" s="57" t="s">
        <v>123</v>
      </c>
      <c r="T93" s="55" t="n">
        <v>675.646008403362</v>
      </c>
    </row>
    <row r="94" customFormat="false" ht="15" hidden="false" customHeight="false" outlineLevel="0" collapsed="false">
      <c r="A94" s="21" t="s">
        <v>189</v>
      </c>
      <c r="B94" s="21" t="s">
        <v>191</v>
      </c>
      <c r="C94" s="21" t="s">
        <v>222</v>
      </c>
      <c r="D94" s="37" t="n">
        <f aca="false">ROUND(Q94*R94,0)</f>
        <v>309</v>
      </c>
      <c r="E94" s="37" t="n">
        <f aca="false">ROUND(Q94,0)-D94</f>
        <v>246</v>
      </c>
      <c r="F94" s="37" t="n">
        <f aca="false">IF(COUNTA(D94:E94)=0,"",SUM(D94:E94))</f>
        <v>555</v>
      </c>
      <c r="G94" s="52" t="n">
        <f aca="false">IF(OR(F94="",F94=0),"",D94/F94)</f>
        <v>0.556756756756757</v>
      </c>
      <c r="H94" s="52" t="n">
        <f aca="false">IF(OR(F94="",F94=0),"",E94/F94)</f>
        <v>0.443243243243243</v>
      </c>
      <c r="I94" s="21" t="s">
        <v>223</v>
      </c>
      <c r="J94" s="53" t="n">
        <v>2.87918965002339</v>
      </c>
      <c r="K94" s="52" t="n">
        <f aca="false">IF(G94="","",MAX(0,G94-J94/100))</f>
        <v>0.527964860256523</v>
      </c>
      <c r="L94" s="52" t="n">
        <f aca="false">IF(G94="","",MIN(1,G94+J94/100))</f>
        <v>0.585548653256991</v>
      </c>
      <c r="M94" s="37" t="n">
        <f aca="false">IF(F94="","",ROUND(F94*J94/100,0))</f>
        <v>16</v>
      </c>
      <c r="P94" s="54" t="n">
        <v>5.42479063883041</v>
      </c>
      <c r="Q94" s="55" t="n">
        <f aca="false">T94*$H$5</f>
        <v>554.842964315995</v>
      </c>
      <c r="R94" s="56" t="n">
        <f aca="false">MAX(0,MIN(1,P94/100+$D$5))</f>
        <v>0.556898379525522</v>
      </c>
      <c r="S94" s="57" t="s">
        <v>123</v>
      </c>
      <c r="T94" s="55" t="n">
        <v>554.842964315995</v>
      </c>
    </row>
    <row r="95" customFormat="false" ht="15" hidden="false" customHeight="false" outlineLevel="0" collapsed="false">
      <c r="A95" s="21" t="s">
        <v>189</v>
      </c>
      <c r="B95" s="21" t="s">
        <v>191</v>
      </c>
      <c r="C95" s="21" t="s">
        <v>224</v>
      </c>
      <c r="D95" s="37" t="n">
        <f aca="false">ROUND(Q95*R95,0)</f>
        <v>720</v>
      </c>
      <c r="E95" s="37" t="n">
        <f aca="false">ROUND(Q95,0)-D95</f>
        <v>557</v>
      </c>
      <c r="F95" s="37" t="n">
        <f aca="false">IF(COUNTA(D95:E95)=0,"",SUM(D95:E95))</f>
        <v>1277</v>
      </c>
      <c r="G95" s="52" t="n">
        <f aca="false">IF(OR(F95="",F95=0),"",D95/F95)</f>
        <v>0.563821456538763</v>
      </c>
      <c r="H95" s="52" t="n">
        <f aca="false">IF(OR(F95="",F95=0),"",E95/F95)</f>
        <v>0.436178543461237</v>
      </c>
      <c r="I95" s="21" t="s">
        <v>223</v>
      </c>
      <c r="J95" s="53" t="n">
        <v>1.86991787188303</v>
      </c>
      <c r="K95" s="52" t="n">
        <f aca="false">IF(G95="","",MAX(0,G95-J95/100))</f>
        <v>0.545122277819932</v>
      </c>
      <c r="L95" s="52" t="n">
        <f aca="false">IF(G95="","",MIN(1,G95+J95/100))</f>
        <v>0.582520635257593</v>
      </c>
      <c r="M95" s="37" t="n">
        <f aca="false">IF(F95="","",ROUND(F95*J95/100,0))</f>
        <v>24</v>
      </c>
      <c r="P95" s="54" t="n">
        <v>6.09125695740781</v>
      </c>
      <c r="Q95" s="55" t="n">
        <f aca="false">T95*$H$5</f>
        <v>1276.87601973974</v>
      </c>
      <c r="R95" s="56" t="n">
        <f aca="false">MAX(0,MIN(1,P95/100+$D$5))</f>
        <v>0.563563042711296</v>
      </c>
      <c r="S95" s="57" t="s">
        <v>225</v>
      </c>
      <c r="T95" s="55" t="n">
        <v>1276.87601973974</v>
      </c>
    </row>
    <row r="96" customFormat="false" ht="15" hidden="false" customHeight="false" outlineLevel="0" collapsed="false">
      <c r="A96" s="21" t="s">
        <v>189</v>
      </c>
      <c r="B96" s="21" t="s">
        <v>191</v>
      </c>
      <c r="C96" s="21" t="s">
        <v>226</v>
      </c>
      <c r="D96" s="37" t="n">
        <f aca="false">ROUND(Q96*R96,0)</f>
        <v>392</v>
      </c>
      <c r="E96" s="37" t="n">
        <f aca="false">ROUND(Q96,0)-D96</f>
        <v>193</v>
      </c>
      <c r="F96" s="37" t="n">
        <f aca="false">IF(COUNTA(D96:E96)=0,"",SUM(D96:E96))</f>
        <v>585</v>
      </c>
      <c r="G96" s="52" t="n">
        <f aca="false">IF(OR(F96="",F96=0),"",D96/F96)</f>
        <v>0.67008547008547</v>
      </c>
      <c r="H96" s="52" t="n">
        <f aca="false">IF(OR(F96="",F96=0),"",E96/F96)</f>
        <v>0.32991452991453</v>
      </c>
      <c r="I96" s="21" t="s">
        <v>122</v>
      </c>
      <c r="J96" s="53" t="n">
        <v>2.87918965002339</v>
      </c>
      <c r="K96" s="52" t="n">
        <f aca="false">IF(G96="","",MAX(0,G96-J96/100))</f>
        <v>0.641293573585236</v>
      </c>
      <c r="L96" s="52" t="n">
        <f aca="false">IF(G96="","",MIN(1,G96+J96/100))</f>
        <v>0.698877366585704</v>
      </c>
      <c r="M96" s="37" t="n">
        <f aca="false">IF(F96="","",ROUND(F96*J96/100,0))</f>
        <v>17</v>
      </c>
      <c r="P96" s="54" t="n">
        <v>16.7376933787333</v>
      </c>
      <c r="Q96" s="55" t="n">
        <f aca="false">T96*$H$5</f>
        <v>585.1929092805</v>
      </c>
      <c r="R96" s="56" t="n">
        <f aca="false">MAX(0,MIN(1,P96/100+$D$5))</f>
        <v>0.670027406924551</v>
      </c>
      <c r="S96" s="57" t="s">
        <v>123</v>
      </c>
      <c r="T96" s="55" t="n">
        <v>585.1929092805</v>
      </c>
    </row>
    <row r="97" customFormat="false" ht="15" hidden="false" customHeight="false" outlineLevel="0" collapsed="false">
      <c r="A97" s="21" t="s">
        <v>189</v>
      </c>
      <c r="B97" s="21" t="s">
        <v>191</v>
      </c>
      <c r="C97" s="21" t="s">
        <v>227</v>
      </c>
      <c r="D97" s="37" t="n">
        <f aca="false">ROUND(Q97*R97,0)</f>
        <v>485</v>
      </c>
      <c r="E97" s="37" t="n">
        <f aca="false">ROUND(Q97,0)-D97</f>
        <v>300</v>
      </c>
      <c r="F97" s="37" t="n">
        <f aca="false">IF(COUNTA(D97:E97)=0,"",SUM(D97:E97))</f>
        <v>785</v>
      </c>
      <c r="G97" s="52" t="n">
        <f aca="false">IF(OR(F97="",F97=0),"",D97/F97)</f>
        <v>0.617834394904459</v>
      </c>
      <c r="H97" s="52" t="n">
        <f aca="false">IF(OR(F97="",F97=0),"",E97/F97)</f>
        <v>0.382165605095541</v>
      </c>
      <c r="I97" s="21" t="s">
        <v>122</v>
      </c>
      <c r="J97" s="53" t="n">
        <v>1.9254971424187</v>
      </c>
      <c r="K97" s="52" t="n">
        <f aca="false">IF(G97="","",MAX(0,G97-J97/100))</f>
        <v>0.598579423480272</v>
      </c>
      <c r="L97" s="52" t="n">
        <f aca="false">IF(G97="","",MIN(1,G97+J97/100))</f>
        <v>0.637089366328646</v>
      </c>
      <c r="M97" s="37" t="n">
        <f aca="false">IF(F97="","",ROUND(F97*J97/100,0))</f>
        <v>15</v>
      </c>
      <c r="P97" s="54" t="n">
        <v>11.5023451609738</v>
      </c>
      <c r="Q97" s="55" t="n">
        <f aca="false">T97*$H$5</f>
        <v>785.366995073891</v>
      </c>
      <c r="R97" s="56" t="n">
        <f aca="false">MAX(0,MIN(1,P97/100+$D$5))</f>
        <v>0.617673924746956</v>
      </c>
      <c r="S97" s="57" t="s">
        <v>132</v>
      </c>
      <c r="T97" s="55" t="n">
        <v>785.366995073891</v>
      </c>
    </row>
    <row r="98" customFormat="false" ht="15" hidden="false" customHeight="false" outlineLevel="0" collapsed="false">
      <c r="A98" s="21" t="s">
        <v>189</v>
      </c>
      <c r="B98" s="21" t="s">
        <v>191</v>
      </c>
      <c r="C98" s="21" t="s">
        <v>228</v>
      </c>
      <c r="D98" s="37" t="n">
        <f aca="false">ROUND(Q98*R98,0)</f>
        <v>12</v>
      </c>
      <c r="E98" s="37" t="n">
        <f aca="false">ROUND(Q98,0)-D98</f>
        <v>10</v>
      </c>
      <c r="F98" s="37" t="n">
        <f aca="false">IF(COUNTA(D98:E98)=0,"",SUM(D98:E98))</f>
        <v>22</v>
      </c>
      <c r="G98" s="52" t="n">
        <f aca="false">IF(OR(F98="",F98=0),"",D98/F98)</f>
        <v>0.545454545454545</v>
      </c>
      <c r="H98" s="52" t="n">
        <f aca="false">IF(OR(F98="",F98=0),"",E98/F98)</f>
        <v>0.454545454545455</v>
      </c>
      <c r="I98" s="21" t="s">
        <v>223</v>
      </c>
      <c r="J98" s="53" t="n">
        <v>2.87918965002339</v>
      </c>
      <c r="K98" s="52" t="n">
        <f aca="false">IF(G98="","",MAX(0,G98-J98/100))</f>
        <v>0.516662648954312</v>
      </c>
      <c r="L98" s="52" t="n">
        <f aca="false">IF(G98="","",MIN(1,G98+J98/100))</f>
        <v>0.574246441954779</v>
      </c>
      <c r="M98" s="37" t="n">
        <f aca="false">IF(F98="","",ROUND(F98*J98/100,0))</f>
        <v>1</v>
      </c>
      <c r="P98" s="54" t="n">
        <v>3.65495628982457</v>
      </c>
      <c r="Q98" s="55" t="n">
        <f aca="false">T98*$H$5</f>
        <v>22.339451542408</v>
      </c>
      <c r="R98" s="56" t="n">
        <f aca="false">MAX(0,MIN(1,P98/100+$D$5))</f>
        <v>0.539200036035463</v>
      </c>
      <c r="S98" s="57" t="s">
        <v>123</v>
      </c>
      <c r="T98" s="55" t="n">
        <v>22.339451542408</v>
      </c>
    </row>
    <row r="99" customFormat="false" ht="15" hidden="false" customHeight="false" outlineLevel="0" collapsed="false">
      <c r="A99" s="21" t="s">
        <v>189</v>
      </c>
      <c r="B99" s="21" t="s">
        <v>191</v>
      </c>
      <c r="C99" s="21" t="s">
        <v>229</v>
      </c>
      <c r="D99" s="37" t="n">
        <f aca="false">ROUND(Q99*R99,0)</f>
        <v>223</v>
      </c>
      <c r="E99" s="37" t="n">
        <f aca="false">ROUND(Q99,0)-D99</f>
        <v>158</v>
      </c>
      <c r="F99" s="37" t="n">
        <f aca="false">IF(COUNTA(D99:E99)=0,"",SUM(D99:E99))</f>
        <v>381</v>
      </c>
      <c r="G99" s="52" t="n">
        <f aca="false">IF(OR(F99="",F99=0),"",D99/F99)</f>
        <v>0.585301837270341</v>
      </c>
      <c r="H99" s="52" t="n">
        <f aca="false">IF(OR(F99="",F99=0),"",E99/F99)</f>
        <v>0.414698162729659</v>
      </c>
      <c r="I99" s="21" t="s">
        <v>122</v>
      </c>
      <c r="J99" s="53" t="n">
        <v>2.87918965002339</v>
      </c>
      <c r="K99" s="52" t="n">
        <f aca="false">IF(G99="","",MAX(0,G99-J99/100))</f>
        <v>0.556509940770107</v>
      </c>
      <c r="L99" s="52" t="n">
        <f aca="false">IF(G99="","",MIN(1,G99+J99/100))</f>
        <v>0.614093733770575</v>
      </c>
      <c r="M99" s="37" t="n">
        <f aca="false">IF(F99="","",ROUND(F99*J99/100,0))</f>
        <v>11</v>
      </c>
      <c r="P99" s="54" t="n">
        <v>8.12679371471484</v>
      </c>
      <c r="Q99" s="55" t="n">
        <f aca="false">T99*$H$5</f>
        <v>381.16646562123</v>
      </c>
      <c r="R99" s="56" t="n">
        <f aca="false">MAX(0,MIN(1,P99/100+$D$5))</f>
        <v>0.583918410284366</v>
      </c>
      <c r="S99" s="57" t="s">
        <v>123</v>
      </c>
      <c r="T99" s="55" t="n">
        <v>381.16646562123</v>
      </c>
    </row>
    <row r="100" customFormat="false" ht="15" hidden="false" customHeight="false" outlineLevel="0" collapsed="false">
      <c r="A100" s="21" t="s">
        <v>189</v>
      </c>
      <c r="B100" s="21" t="s">
        <v>191</v>
      </c>
      <c r="C100" s="21" t="s">
        <v>230</v>
      </c>
      <c r="D100" s="37" t="n">
        <f aca="false">ROUND(Q100*R100,0)</f>
        <v>367</v>
      </c>
      <c r="E100" s="37" t="n">
        <f aca="false">ROUND(Q100,0)-D100</f>
        <v>193</v>
      </c>
      <c r="F100" s="37" t="n">
        <f aca="false">IF(COUNTA(D100:E100)=0,"",SUM(D100:E100))</f>
        <v>560</v>
      </c>
      <c r="G100" s="52" t="n">
        <f aca="false">IF(OR(F100="",F100=0),"",D100/F100)</f>
        <v>0.655357142857143</v>
      </c>
      <c r="H100" s="52" t="n">
        <f aca="false">IF(OR(F100="",F100=0),"",E100/F100)</f>
        <v>0.344642857142857</v>
      </c>
      <c r="I100" s="21" t="s">
        <v>122</v>
      </c>
      <c r="J100" s="53" t="n">
        <v>2.87918965002339</v>
      </c>
      <c r="K100" s="52" t="n">
        <f aca="false">IF(G100="","",MAX(0,G100-J100/100))</f>
        <v>0.626565246356909</v>
      </c>
      <c r="L100" s="52" t="n">
        <f aca="false">IF(G100="","",MIN(1,G100+J100/100))</f>
        <v>0.684149039357377</v>
      </c>
      <c r="M100" s="37" t="n">
        <f aca="false">IF(F100="","",ROUND(F100*J100/100,0))</f>
        <v>16</v>
      </c>
      <c r="P100" s="54" t="n">
        <v>15.2761084566532</v>
      </c>
      <c r="Q100" s="55" t="n">
        <f aca="false">T100*$H$5</f>
        <v>559.617875647668</v>
      </c>
      <c r="R100" s="56" t="n">
        <f aca="false">MAX(0,MIN(1,P100/100+$D$5))</f>
        <v>0.65541155770375</v>
      </c>
      <c r="S100" s="57" t="s">
        <v>123</v>
      </c>
      <c r="T100" s="55" t="n">
        <v>559.617875647668</v>
      </c>
    </row>
    <row r="101" customFormat="false" ht="15" hidden="false" customHeight="false" outlineLevel="0" collapsed="false">
      <c r="A101" s="21" t="s">
        <v>189</v>
      </c>
      <c r="B101" s="21" t="s">
        <v>191</v>
      </c>
      <c r="C101" s="21" t="s">
        <v>231</v>
      </c>
      <c r="D101" s="37" t="n">
        <f aca="false">ROUND(Q101*R101,0)</f>
        <v>264</v>
      </c>
      <c r="E101" s="37" t="n">
        <f aca="false">ROUND(Q101,0)-D101</f>
        <v>175</v>
      </c>
      <c r="F101" s="37" t="n">
        <f aca="false">IF(COUNTA(D101:E101)=0,"",SUM(D101:E101))</f>
        <v>439</v>
      </c>
      <c r="G101" s="52" t="n">
        <f aca="false">IF(OR(F101="",F101=0),"",D101/F101)</f>
        <v>0.601366742596811</v>
      </c>
      <c r="H101" s="52" t="n">
        <f aca="false">IF(OR(F101="",F101=0),"",E101/F101)</f>
        <v>0.398633257403189</v>
      </c>
      <c r="I101" s="21" t="s">
        <v>122</v>
      </c>
      <c r="J101" s="53" t="n">
        <v>2.87918965002339</v>
      </c>
      <c r="K101" s="52" t="n">
        <f aca="false">IF(G101="","",MAX(0,G101-J101/100))</f>
        <v>0.572574846096577</v>
      </c>
      <c r="L101" s="52" t="n">
        <f aca="false">IF(G101="","",MIN(1,G101+J101/100))</f>
        <v>0.630158639097045</v>
      </c>
      <c r="M101" s="37" t="n">
        <f aca="false">IF(F101="","",ROUND(F101*J101/100,0))</f>
        <v>13</v>
      </c>
      <c r="P101" s="54" t="n">
        <v>9.89088756670457</v>
      </c>
      <c r="Q101" s="55" t="n">
        <f aca="false">T101*$H$5</f>
        <v>439.019455252919</v>
      </c>
      <c r="R101" s="56" t="n">
        <f aca="false">MAX(0,MIN(1,P101/100+$D$5))</f>
        <v>0.601559348804263</v>
      </c>
      <c r="S101" s="57" t="s">
        <v>123</v>
      </c>
      <c r="T101" s="55" t="n">
        <v>439.019455252919</v>
      </c>
    </row>
    <row r="102" customFormat="false" ht="15" hidden="false" customHeight="false" outlineLevel="0" collapsed="false">
      <c r="A102" s="21" t="s">
        <v>189</v>
      </c>
      <c r="B102" s="21" t="s">
        <v>191</v>
      </c>
      <c r="C102" s="21" t="s">
        <v>232</v>
      </c>
      <c r="D102" s="37" t="n">
        <f aca="false">ROUND(Q102*R102,0)</f>
        <v>242</v>
      </c>
      <c r="E102" s="37" t="n">
        <f aca="false">ROUND(Q102,0)-D102</f>
        <v>133</v>
      </c>
      <c r="F102" s="37" t="n">
        <f aca="false">IF(COUNTA(D102:E102)=0,"",SUM(D102:E102))</f>
        <v>375</v>
      </c>
      <c r="G102" s="52" t="n">
        <f aca="false">IF(OR(F102="",F102=0),"",D102/F102)</f>
        <v>0.645333333333333</v>
      </c>
      <c r="H102" s="52" t="n">
        <f aca="false">IF(OR(F102="",F102=0),"",E102/F102)</f>
        <v>0.354666666666667</v>
      </c>
      <c r="I102" s="21" t="s">
        <v>122</v>
      </c>
      <c r="J102" s="53" t="n">
        <v>2.87918965002339</v>
      </c>
      <c r="K102" s="52" t="n">
        <f aca="false">IF(G102="","",MAX(0,G102-J102/100))</f>
        <v>0.6165414368331</v>
      </c>
      <c r="L102" s="52" t="n">
        <f aca="false">IF(G102="","",MIN(1,G102+J102/100))</f>
        <v>0.674125229833567</v>
      </c>
      <c r="M102" s="37" t="n">
        <f aca="false">IF(F102="","",ROUND(F102*J102/100,0))</f>
        <v>11</v>
      </c>
      <c r="P102" s="54" t="n">
        <v>14.2816674951924</v>
      </c>
      <c r="Q102" s="55" t="n">
        <f aca="false">T102*$H$5</f>
        <v>374.938159879337</v>
      </c>
      <c r="R102" s="56" t="n">
        <f aca="false">MAX(0,MIN(1,P102/100+$D$5))</f>
        <v>0.645467148089142</v>
      </c>
      <c r="S102" s="57" t="s">
        <v>123</v>
      </c>
      <c r="T102" s="55" t="n">
        <v>374.938159879337</v>
      </c>
    </row>
    <row r="103" customFormat="false" ht="15" hidden="false" customHeight="false" outlineLevel="0" collapsed="false">
      <c r="A103" s="21" t="s">
        <v>189</v>
      </c>
      <c r="B103" s="21" t="s">
        <v>191</v>
      </c>
      <c r="C103" s="21" t="s">
        <v>233</v>
      </c>
      <c r="D103" s="37" t="n">
        <f aca="false">ROUND(Q103*R103,0)</f>
        <v>366</v>
      </c>
      <c r="E103" s="37" t="n">
        <f aca="false">ROUND(Q103,0)-D103</f>
        <v>235</v>
      </c>
      <c r="F103" s="37" t="n">
        <f aca="false">IF(COUNTA(D103:E103)=0,"",SUM(D103:E103))</f>
        <v>601</v>
      </c>
      <c r="G103" s="52" t="n">
        <f aca="false">IF(OR(F103="",F103=0),"",D103/F103)</f>
        <v>0.608985024958403</v>
      </c>
      <c r="H103" s="52" t="n">
        <f aca="false">IF(OR(F103="",F103=0),"",E103/F103)</f>
        <v>0.391014975041597</v>
      </c>
      <c r="I103" s="21" t="s">
        <v>122</v>
      </c>
      <c r="J103" s="53" t="n">
        <v>2.87918965002339</v>
      </c>
      <c r="K103" s="52" t="n">
        <f aca="false">IF(G103="","",MAX(0,G103-J103/100))</f>
        <v>0.580193128458169</v>
      </c>
      <c r="L103" s="52" t="n">
        <f aca="false">IF(G103="","",MIN(1,G103+J103/100))</f>
        <v>0.637776921458637</v>
      </c>
      <c r="M103" s="37" t="n">
        <f aca="false">IF(F103="","",ROUND(F103*J103/100,0))</f>
        <v>17</v>
      </c>
      <c r="P103" s="54" t="n">
        <v>10.5734880326748</v>
      </c>
      <c r="Q103" s="55" t="n">
        <f aca="false">T103*$H$5</f>
        <v>600.916119620715</v>
      </c>
      <c r="R103" s="56" t="n">
        <f aca="false">MAX(0,MIN(1,P103/100+$D$5))</f>
        <v>0.608385353463966</v>
      </c>
      <c r="S103" s="57" t="s">
        <v>123</v>
      </c>
      <c r="T103" s="55" t="n">
        <v>600.916119620715</v>
      </c>
    </row>
    <row r="104" customFormat="false" ht="15" hidden="false" customHeight="false" outlineLevel="0" collapsed="false">
      <c r="A104" s="21" t="s">
        <v>189</v>
      </c>
      <c r="B104" s="21" t="s">
        <v>191</v>
      </c>
      <c r="C104" s="21" t="s">
        <v>234</v>
      </c>
      <c r="D104" s="37" t="n">
        <f aca="false">ROUND(Q104*R104,0)</f>
        <v>1</v>
      </c>
      <c r="E104" s="37" t="n">
        <f aca="false">ROUND(Q104,0)-D104</f>
        <v>1</v>
      </c>
      <c r="F104" s="37" t="n">
        <f aca="false">IF(COUNTA(D104:E104)=0,"",SUM(D104:E104))</f>
        <v>2</v>
      </c>
      <c r="G104" s="52" t="n">
        <f aca="false">IF(OR(F104="",F104=0),"",D104/F104)</f>
        <v>0.5</v>
      </c>
      <c r="H104" s="52" t="n">
        <f aca="false">IF(OR(F104="",F104=0),"",E104/F104)</f>
        <v>0.5</v>
      </c>
      <c r="I104" s="21" t="s">
        <v>223</v>
      </c>
      <c r="J104" s="53" t="n">
        <v>2.87918965002339</v>
      </c>
      <c r="K104" s="52" t="n">
        <f aca="false">IF(G104="","",MAX(0,G104-J104/100))</f>
        <v>0.471208103499766</v>
      </c>
      <c r="L104" s="52" t="n">
        <f aca="false">IF(G104="","",MIN(1,G104+J104/100))</f>
        <v>0.528791896500234</v>
      </c>
      <c r="M104" s="37" t="n">
        <f aca="false">IF(F104="","",ROUND(F104*J104/100,0))</f>
        <v>0</v>
      </c>
      <c r="P104" s="54" t="n">
        <v>1.45058785709342</v>
      </c>
      <c r="Q104" s="55" t="n">
        <f aca="false">T104*$H$5</f>
        <v>2.35152121499031</v>
      </c>
      <c r="R104" s="56" t="n">
        <f aca="false">MAX(0,MIN(1,P104/100+$D$5))</f>
        <v>0.517156351708152</v>
      </c>
      <c r="S104" s="57" t="s">
        <v>123</v>
      </c>
      <c r="T104" s="55" t="n">
        <v>2.35152121499031</v>
      </c>
    </row>
    <row r="105" customFormat="false" ht="15" hidden="false" customHeight="false" outlineLevel="0" collapsed="false">
      <c r="A105" s="21" t="s">
        <v>189</v>
      </c>
      <c r="B105" s="21" t="s">
        <v>191</v>
      </c>
      <c r="C105" s="21" t="s">
        <v>235</v>
      </c>
      <c r="D105" s="37" t="n">
        <f aca="false">ROUND(Q105*R105,0)</f>
        <v>493</v>
      </c>
      <c r="E105" s="37" t="n">
        <f aca="false">ROUND(Q105,0)-D105</f>
        <v>291</v>
      </c>
      <c r="F105" s="37" t="n">
        <f aca="false">IF(COUNTA(D105:E105)=0,"",SUM(D105:E105))</f>
        <v>784</v>
      </c>
      <c r="G105" s="52" t="n">
        <f aca="false">IF(OR(F105="",F105=0),"",D105/F105)</f>
        <v>0.628826530612245</v>
      </c>
      <c r="H105" s="52" t="n">
        <f aca="false">IF(OR(F105="",F105=0),"",E105/F105)</f>
        <v>0.371173469387755</v>
      </c>
      <c r="I105" s="21" t="s">
        <v>122</v>
      </c>
      <c r="J105" s="53" t="n">
        <v>1.9254971424187</v>
      </c>
      <c r="K105" s="52" t="n">
        <f aca="false">IF(G105="","",MAX(0,G105-J105/100))</f>
        <v>0.609571559188058</v>
      </c>
      <c r="L105" s="52" t="n">
        <f aca="false">IF(G105="","",MIN(1,G105+J105/100))</f>
        <v>0.648081502036432</v>
      </c>
      <c r="M105" s="37" t="n">
        <f aca="false">IF(F105="","",ROUND(F105*J105/100,0))</f>
        <v>15</v>
      </c>
      <c r="P105" s="54" t="n">
        <v>12.6184651248215</v>
      </c>
      <c r="Q105" s="55" t="n">
        <f aca="false">T105*$H$5</f>
        <v>784.118962432916</v>
      </c>
      <c r="R105" s="56" t="n">
        <f aca="false">MAX(0,MIN(1,P105/100+$D$5))</f>
        <v>0.628835124385433</v>
      </c>
      <c r="S105" s="57" t="s">
        <v>132</v>
      </c>
      <c r="T105" s="55" t="n">
        <v>784.118962432916</v>
      </c>
    </row>
    <row r="106" customFormat="false" ht="15" hidden="false" customHeight="false" outlineLevel="0" collapsed="false">
      <c r="A106" s="21" t="s">
        <v>189</v>
      </c>
      <c r="B106" s="21" t="s">
        <v>191</v>
      </c>
      <c r="C106" s="21" t="s">
        <v>236</v>
      </c>
      <c r="D106" s="37" t="n">
        <f aca="false">ROUND(Q106*R106,0)</f>
        <v>229</v>
      </c>
      <c r="E106" s="37" t="n">
        <f aca="false">ROUND(Q106,0)-D106</f>
        <v>79</v>
      </c>
      <c r="F106" s="37" t="n">
        <f aca="false">IF(COUNTA(D106:E106)=0,"",SUM(D106:E106))</f>
        <v>308</v>
      </c>
      <c r="G106" s="52" t="n">
        <f aca="false">IF(OR(F106="",F106=0),"",D106/F106)</f>
        <v>0.743506493506494</v>
      </c>
      <c r="H106" s="52" t="n">
        <f aca="false">IF(OR(F106="",F106=0),"",E106/F106)</f>
        <v>0.256493506493507</v>
      </c>
      <c r="I106" s="21" t="s">
        <v>122</v>
      </c>
      <c r="J106" s="53" t="n">
        <v>2.87918965002339</v>
      </c>
      <c r="K106" s="52" t="n">
        <f aca="false">IF(G106="","",MAX(0,G106-J106/100))</f>
        <v>0.71471459700626</v>
      </c>
      <c r="L106" s="52" t="n">
        <f aca="false">IF(G106="","",MIN(1,G106+J106/100))</f>
        <v>0.772298390006727</v>
      </c>
      <c r="M106" s="37" t="n">
        <f aca="false">IF(F106="","",ROUND(F106*J106/100,0))</f>
        <v>9</v>
      </c>
      <c r="P106" s="54" t="n">
        <v>24.1538794896928</v>
      </c>
      <c r="Q106" s="55" t="n">
        <f aca="false">T106*$H$5</f>
        <v>307.670520231214</v>
      </c>
      <c r="R106" s="56" t="n">
        <f aca="false">MAX(0,MIN(1,P106/100+$D$5))</f>
        <v>0.744189268034146</v>
      </c>
      <c r="S106" s="57" t="s">
        <v>123</v>
      </c>
      <c r="T106" s="55" t="n">
        <v>307.670520231214</v>
      </c>
    </row>
    <row r="107" customFormat="false" ht="15" hidden="false" customHeight="false" outlineLevel="0" collapsed="false">
      <c r="A107" s="21" t="s">
        <v>189</v>
      </c>
      <c r="B107" s="21" t="s">
        <v>191</v>
      </c>
      <c r="C107" s="21" t="s">
        <v>237</v>
      </c>
      <c r="D107" s="37" t="n">
        <f aca="false">ROUND(Q107*R107,0)</f>
        <v>187</v>
      </c>
      <c r="E107" s="37" t="n">
        <f aca="false">ROUND(Q107,0)-D107</f>
        <v>85</v>
      </c>
      <c r="F107" s="37" t="n">
        <f aca="false">IF(COUNTA(D107:E107)=0,"",SUM(D107:E107))</f>
        <v>272</v>
      </c>
      <c r="G107" s="52" t="n">
        <f aca="false">IF(OR(F107="",F107=0),"",D107/F107)</f>
        <v>0.6875</v>
      </c>
      <c r="H107" s="52" t="n">
        <f aca="false">IF(OR(F107="",F107=0),"",E107/F107)</f>
        <v>0.3125</v>
      </c>
      <c r="I107" s="21" t="s">
        <v>122</v>
      </c>
      <c r="J107" s="53" t="n">
        <v>2.87918965002339</v>
      </c>
      <c r="K107" s="52" t="n">
        <f aca="false">IF(G107="","",MAX(0,G107-J107/100))</f>
        <v>0.658708103499766</v>
      </c>
      <c r="L107" s="52" t="n">
        <f aca="false">IF(G107="","",MIN(1,G107+J107/100))</f>
        <v>0.716291896500234</v>
      </c>
      <c r="M107" s="37" t="n">
        <f aca="false">IF(F107="","",ROUND(F107*J107/100,0))</f>
        <v>8</v>
      </c>
      <c r="P107" s="54" t="n">
        <v>18.7547921552682</v>
      </c>
      <c r="Q107" s="55" t="n">
        <f aca="false">T107*$H$5</f>
        <v>271.509527754764</v>
      </c>
      <c r="R107" s="56" t="n">
        <f aca="false">MAX(0,MIN(1,P107/100+$D$5))</f>
        <v>0.6901983946899</v>
      </c>
      <c r="S107" s="57" t="s">
        <v>123</v>
      </c>
      <c r="T107" s="55" t="n">
        <v>271.509527754764</v>
      </c>
    </row>
    <row r="108" customFormat="false" ht="15" hidden="false" customHeight="false" outlineLevel="0" collapsed="false">
      <c r="A108" s="21" t="s">
        <v>189</v>
      </c>
      <c r="B108" s="21" t="s">
        <v>191</v>
      </c>
      <c r="C108" s="21" t="s">
        <v>238</v>
      </c>
      <c r="D108" s="37" t="n">
        <f aca="false">ROUND(Q108*R108,0)</f>
        <v>392</v>
      </c>
      <c r="E108" s="37" t="n">
        <f aca="false">ROUND(Q108,0)-D108</f>
        <v>158</v>
      </c>
      <c r="F108" s="37" t="n">
        <f aca="false">IF(COUNTA(D108:E108)=0,"",SUM(D108:E108))</f>
        <v>550</v>
      </c>
      <c r="G108" s="52" t="n">
        <f aca="false">IF(OR(F108="",F108=0),"",D108/F108)</f>
        <v>0.712727272727273</v>
      </c>
      <c r="H108" s="52" t="n">
        <f aca="false">IF(OR(F108="",F108=0),"",E108/F108)</f>
        <v>0.287272727272727</v>
      </c>
      <c r="I108" s="21" t="s">
        <v>122</v>
      </c>
      <c r="J108" s="53" t="n">
        <v>2.87918965002339</v>
      </c>
      <c r="K108" s="52" t="n">
        <f aca="false">IF(G108="","",MAX(0,G108-J108/100))</f>
        <v>0.683935376227039</v>
      </c>
      <c r="L108" s="52" t="n">
        <f aca="false">IF(G108="","",MIN(1,G108+J108/100))</f>
        <v>0.741519169227507</v>
      </c>
      <c r="M108" s="37" t="n">
        <f aca="false">IF(F108="","",ROUND(F108*J108/100,0))</f>
        <v>16</v>
      </c>
      <c r="P108" s="54" t="n">
        <v>21.0130625009803</v>
      </c>
      <c r="Q108" s="55" t="n">
        <f aca="false">T108*$H$5</f>
        <v>550.335990190067</v>
      </c>
      <c r="R108" s="56" t="n">
        <f aca="false">MAX(0,MIN(1,P108/100+$D$5))</f>
        <v>0.71278109814702</v>
      </c>
      <c r="S108" s="57" t="s">
        <v>123</v>
      </c>
      <c r="T108" s="55" t="n">
        <v>550.335990190067</v>
      </c>
    </row>
    <row r="109" customFormat="false" ht="15" hidden="false" customHeight="false" outlineLevel="0" collapsed="false">
      <c r="A109" s="21" t="s">
        <v>189</v>
      </c>
      <c r="B109" s="21" t="s">
        <v>191</v>
      </c>
      <c r="C109" s="21" t="s">
        <v>239</v>
      </c>
      <c r="D109" s="37" t="n">
        <f aca="false">ROUND(Q109*R109,0)</f>
        <v>159</v>
      </c>
      <c r="E109" s="37" t="n">
        <f aca="false">ROUND(Q109,0)-D109</f>
        <v>74</v>
      </c>
      <c r="F109" s="37" t="n">
        <f aca="false">IF(COUNTA(D109:E109)=0,"",SUM(D109:E109))</f>
        <v>233</v>
      </c>
      <c r="G109" s="52" t="n">
        <f aca="false">IF(OR(F109="",F109=0),"",D109/F109)</f>
        <v>0.682403433476395</v>
      </c>
      <c r="H109" s="52" t="n">
        <f aca="false">IF(OR(F109="",F109=0),"",E109/F109)</f>
        <v>0.317596566523605</v>
      </c>
      <c r="I109" s="21" t="s">
        <v>122</v>
      </c>
      <c r="J109" s="53" t="n">
        <v>2.87918965002339</v>
      </c>
      <c r="K109" s="52" t="n">
        <f aca="false">IF(G109="","",MAX(0,G109-J109/100))</f>
        <v>0.653611536976161</v>
      </c>
      <c r="L109" s="52" t="n">
        <f aca="false">IF(G109="","",MIN(1,G109+J109/100))</f>
        <v>0.711195329976629</v>
      </c>
      <c r="M109" s="37" t="n">
        <f aca="false">IF(F109="","",ROUND(F109*J109/100,0))</f>
        <v>7</v>
      </c>
      <c r="P109" s="54" t="n">
        <v>18.1446518330974</v>
      </c>
      <c r="Q109" s="55" t="n">
        <f aca="false">T109*$H$5</f>
        <v>232.689791873142</v>
      </c>
      <c r="R109" s="56" t="n">
        <f aca="false">MAX(0,MIN(1,P109/100+$D$5))</f>
        <v>0.684096991468192</v>
      </c>
      <c r="S109" s="57" t="s">
        <v>123</v>
      </c>
      <c r="T109" s="55" t="n">
        <v>232.689791873142</v>
      </c>
    </row>
    <row r="110" customFormat="false" ht="15" hidden="false" customHeight="false" outlineLevel="0" collapsed="false">
      <c r="A110" s="21" t="s">
        <v>189</v>
      </c>
      <c r="B110" s="21" t="s">
        <v>191</v>
      </c>
      <c r="C110" s="21" t="s">
        <v>240</v>
      </c>
      <c r="D110" s="37" t="n">
        <f aca="false">ROUND(Q110*R110,0)</f>
        <v>233</v>
      </c>
      <c r="E110" s="37" t="n">
        <f aca="false">ROUND(Q110,0)-D110</f>
        <v>74</v>
      </c>
      <c r="F110" s="37" t="n">
        <f aca="false">IF(COUNTA(D110:E110)=0,"",SUM(D110:E110))</f>
        <v>307</v>
      </c>
      <c r="G110" s="52" t="n">
        <f aca="false">IF(OR(F110="",F110=0),"",D110/F110)</f>
        <v>0.758957654723127</v>
      </c>
      <c r="H110" s="52" t="n">
        <f aca="false">IF(OR(F110="",F110=0),"",E110/F110)</f>
        <v>0.241042345276873</v>
      </c>
      <c r="I110" s="21" t="s">
        <v>122</v>
      </c>
      <c r="J110" s="53" t="n">
        <v>2.87918965002339</v>
      </c>
      <c r="K110" s="52" t="n">
        <f aca="false">IF(G110="","",MAX(0,G110-J110/100))</f>
        <v>0.730165758222893</v>
      </c>
      <c r="L110" s="52" t="n">
        <f aca="false">IF(G110="","",MIN(1,G110+J110/100))</f>
        <v>0.787749551223361</v>
      </c>
      <c r="M110" s="37" t="n">
        <f aca="false">IF(F110="","",ROUND(F110*J110/100,0))</f>
        <v>9</v>
      </c>
      <c r="P110" s="54" t="n">
        <v>25.5723537217342</v>
      </c>
      <c r="Q110" s="55" t="n">
        <f aca="false">T110*$H$5</f>
        <v>306.767588932806</v>
      </c>
      <c r="R110" s="56" t="n">
        <f aca="false">MAX(0,MIN(1,P110/100+$D$5))</f>
        <v>0.75837401035456</v>
      </c>
      <c r="S110" s="57" t="s">
        <v>123</v>
      </c>
      <c r="T110" s="55" t="n">
        <v>306.767588932806</v>
      </c>
    </row>
    <row r="111" customFormat="false" ht="15" hidden="false" customHeight="false" outlineLevel="0" collapsed="false">
      <c r="A111" s="21" t="s">
        <v>189</v>
      </c>
      <c r="B111" s="21" t="s">
        <v>191</v>
      </c>
      <c r="C111" s="21" t="s">
        <v>241</v>
      </c>
      <c r="D111" s="37" t="n">
        <f aca="false">ROUND(Q111*R111,0)</f>
        <v>78</v>
      </c>
      <c r="E111" s="37" t="n">
        <f aca="false">ROUND(Q111,0)-D111</f>
        <v>41</v>
      </c>
      <c r="F111" s="37" t="n">
        <f aca="false">IF(COUNTA(D111:E111)=0,"",SUM(D111:E111))</f>
        <v>119</v>
      </c>
      <c r="G111" s="52" t="n">
        <f aca="false">IF(OR(F111="",F111=0),"",D111/F111)</f>
        <v>0.65546218487395</v>
      </c>
      <c r="H111" s="52" t="n">
        <f aca="false">IF(OR(F111="",F111=0),"",E111/F111)</f>
        <v>0.34453781512605</v>
      </c>
      <c r="I111" s="21" t="s">
        <v>122</v>
      </c>
      <c r="J111" s="53" t="n">
        <v>2.87918965002339</v>
      </c>
      <c r="K111" s="52" t="n">
        <f aca="false">IF(G111="","",MAX(0,G111-J111/100))</f>
        <v>0.626670288373716</v>
      </c>
      <c r="L111" s="52" t="n">
        <f aca="false">IF(G111="","",MIN(1,G111+J111/100))</f>
        <v>0.684254081374183</v>
      </c>
      <c r="M111" s="37" t="n">
        <f aca="false">IF(F111="","",ROUND(F111*J111/100,0))</f>
        <v>3</v>
      </c>
      <c r="P111" s="54" t="n">
        <v>15.4187122389246</v>
      </c>
      <c r="Q111" s="55" t="n">
        <f aca="false">T111*$H$5</f>
        <v>119.188732394366</v>
      </c>
      <c r="R111" s="56" t="n">
        <f aca="false">MAX(0,MIN(1,P111/100+$D$5))</f>
        <v>0.656837595526463</v>
      </c>
      <c r="S111" s="57" t="s">
        <v>123</v>
      </c>
      <c r="T111" s="55" t="n">
        <v>119.188732394366</v>
      </c>
    </row>
    <row r="112" customFormat="false" ht="15" hidden="false" customHeight="false" outlineLevel="0" collapsed="false">
      <c r="A112" s="21" t="s">
        <v>189</v>
      </c>
      <c r="B112" s="21" t="s">
        <v>191</v>
      </c>
      <c r="C112" s="21" t="s">
        <v>242</v>
      </c>
      <c r="D112" s="37" t="n">
        <f aca="false">ROUND(Q112*R112,0)</f>
        <v>189</v>
      </c>
      <c r="E112" s="37" t="n">
        <f aca="false">ROUND(Q112,0)-D112</f>
        <v>102</v>
      </c>
      <c r="F112" s="37" t="n">
        <f aca="false">IF(COUNTA(D112:E112)=0,"",SUM(D112:E112))</f>
        <v>291</v>
      </c>
      <c r="G112" s="52" t="n">
        <f aca="false">IF(OR(F112="",F112=0),"",D112/F112)</f>
        <v>0.649484536082474</v>
      </c>
      <c r="H112" s="52" t="n">
        <f aca="false">IF(OR(F112="",F112=0),"",E112/F112)</f>
        <v>0.350515463917526</v>
      </c>
      <c r="I112" s="21" t="s">
        <v>122</v>
      </c>
      <c r="J112" s="53" t="n">
        <v>2.87918965002339</v>
      </c>
      <c r="K112" s="52" t="n">
        <f aca="false">IF(G112="","",MAX(0,G112-J112/100))</f>
        <v>0.62069263958224</v>
      </c>
      <c r="L112" s="52" t="n">
        <f aca="false">IF(G112="","",MIN(1,G112+J112/100))</f>
        <v>0.678276432582708</v>
      </c>
      <c r="M112" s="37" t="n">
        <f aca="false">IF(F112="","",ROUND(F112*J112/100,0))</f>
        <v>8</v>
      </c>
      <c r="P112" s="54" t="n">
        <v>14.4618842186973</v>
      </c>
      <c r="Q112" s="55" t="n">
        <f aca="false">T112*$H$5</f>
        <v>291.248923341947</v>
      </c>
      <c r="R112" s="56" t="n">
        <f aca="false">MAX(0,MIN(1,P112/100+$D$5))</f>
        <v>0.647269315324191</v>
      </c>
      <c r="S112" s="57" t="s">
        <v>123</v>
      </c>
      <c r="T112" s="55" t="n">
        <v>291.248923341947</v>
      </c>
    </row>
    <row r="113" customFormat="false" ht="15" hidden="false" customHeight="false" outlineLevel="0" collapsed="false">
      <c r="A113" s="21" t="s">
        <v>189</v>
      </c>
      <c r="B113" s="21" t="s">
        <v>191</v>
      </c>
      <c r="C113" s="21" t="s">
        <v>243</v>
      </c>
      <c r="D113" s="37" t="n">
        <f aca="false">ROUND(Q113*R113,0)</f>
        <v>271</v>
      </c>
      <c r="E113" s="37" t="n">
        <f aca="false">ROUND(Q113,0)-D113</f>
        <v>104</v>
      </c>
      <c r="F113" s="37" t="n">
        <f aca="false">IF(COUNTA(D113:E113)=0,"",SUM(D113:E113))</f>
        <v>375</v>
      </c>
      <c r="G113" s="52" t="n">
        <f aca="false">IF(OR(F113="",F113=0),"",D113/F113)</f>
        <v>0.722666666666667</v>
      </c>
      <c r="H113" s="52" t="n">
        <f aca="false">IF(OR(F113="",F113=0),"",E113/F113)</f>
        <v>0.277333333333333</v>
      </c>
      <c r="I113" s="21" t="s">
        <v>122</v>
      </c>
      <c r="J113" s="53" t="n">
        <v>2.87918965002339</v>
      </c>
      <c r="K113" s="52" t="n">
        <f aca="false">IF(G113="","",MAX(0,G113-J113/100))</f>
        <v>0.693874770166433</v>
      </c>
      <c r="L113" s="52" t="n">
        <f aca="false">IF(G113="","",MIN(1,G113+J113/100))</f>
        <v>0.751458563166901</v>
      </c>
      <c r="M113" s="37" t="n">
        <f aca="false">IF(F113="","",ROUND(F113*J113/100,0))</f>
        <v>11</v>
      </c>
      <c r="P113" s="54" t="n">
        <v>22.086075089571</v>
      </c>
      <c r="Q113" s="55" t="n">
        <f aca="false">T113*$H$5</f>
        <v>375.212598425197</v>
      </c>
      <c r="R113" s="56" t="n">
        <f aca="false">MAX(0,MIN(1,P113/100+$D$5))</f>
        <v>0.723511224032928</v>
      </c>
      <c r="S113" s="57" t="s">
        <v>123</v>
      </c>
      <c r="T113" s="55" t="n">
        <v>375.212598425197</v>
      </c>
    </row>
    <row r="114" customFormat="false" ht="15" hidden="false" customHeight="false" outlineLevel="0" collapsed="false">
      <c r="A114" s="21" t="s">
        <v>189</v>
      </c>
      <c r="B114" s="21" t="s">
        <v>191</v>
      </c>
      <c r="C114" s="21" t="s">
        <v>244</v>
      </c>
      <c r="D114" s="37" t="n">
        <f aca="false">ROUND(Q114*R114,0)</f>
        <v>105</v>
      </c>
      <c r="E114" s="37" t="n">
        <f aca="false">ROUND(Q114,0)-D114</f>
        <v>39</v>
      </c>
      <c r="F114" s="37" t="n">
        <f aca="false">IF(COUNTA(D114:E114)=0,"",SUM(D114:E114))</f>
        <v>144</v>
      </c>
      <c r="G114" s="52" t="n">
        <f aca="false">IF(OR(F114="",F114=0),"",D114/F114)</f>
        <v>0.729166666666667</v>
      </c>
      <c r="H114" s="52" t="n">
        <f aca="false">IF(OR(F114="",F114=0),"",E114/F114)</f>
        <v>0.270833333333333</v>
      </c>
      <c r="I114" s="21" t="s">
        <v>122</v>
      </c>
      <c r="J114" s="53" t="n">
        <v>2.87918965002339</v>
      </c>
      <c r="K114" s="52" t="n">
        <f aca="false">IF(G114="","",MAX(0,G114-J114/100))</f>
        <v>0.700374770166433</v>
      </c>
      <c r="L114" s="52" t="n">
        <f aca="false">IF(G114="","",MIN(1,G114+J114/100))</f>
        <v>0.757958563166901</v>
      </c>
      <c r="M114" s="37" t="n">
        <f aca="false">IF(F114="","",ROUND(F114*J114/100,0))</f>
        <v>4</v>
      </c>
      <c r="P114" s="54" t="n">
        <v>23.0137473751257</v>
      </c>
      <c r="Q114" s="55" t="n">
        <f aca="false">T114*$H$5</f>
        <v>143.58320610687</v>
      </c>
      <c r="R114" s="56" t="n">
        <f aca="false">MAX(0,MIN(1,P114/100+$D$5))</f>
        <v>0.732787946888475</v>
      </c>
      <c r="S114" s="57" t="s">
        <v>123</v>
      </c>
      <c r="T114" s="55" t="n">
        <v>143.58320610687</v>
      </c>
    </row>
    <row r="115" customFormat="false" ht="15" hidden="false" customHeight="false" outlineLevel="0" collapsed="false">
      <c r="A115" s="21" t="s">
        <v>189</v>
      </c>
      <c r="B115" s="21" t="s">
        <v>191</v>
      </c>
      <c r="C115" s="21" t="s">
        <v>245</v>
      </c>
      <c r="D115" s="37" t="n">
        <f aca="false">ROUND(Q115*R115,0)</f>
        <v>131</v>
      </c>
      <c r="E115" s="37" t="n">
        <f aca="false">ROUND(Q115,0)-D115</f>
        <v>44</v>
      </c>
      <c r="F115" s="37" t="n">
        <f aca="false">IF(COUNTA(D115:E115)=0,"",SUM(D115:E115))</f>
        <v>175</v>
      </c>
      <c r="G115" s="52" t="n">
        <f aca="false">IF(OR(F115="",F115=0),"",D115/F115)</f>
        <v>0.748571428571429</v>
      </c>
      <c r="H115" s="52" t="n">
        <f aca="false">IF(OR(F115="",F115=0),"",E115/F115)</f>
        <v>0.251428571428571</v>
      </c>
      <c r="I115" s="21" t="s">
        <v>122</v>
      </c>
      <c r="J115" s="53" t="n">
        <v>2.87918965002339</v>
      </c>
      <c r="K115" s="52" t="n">
        <f aca="false">IF(G115="","",MAX(0,G115-J115/100))</f>
        <v>0.719779532071195</v>
      </c>
      <c r="L115" s="52" t="n">
        <f aca="false">IF(G115="","",MIN(1,G115+J115/100))</f>
        <v>0.777363325071662</v>
      </c>
      <c r="M115" s="37" t="n">
        <f aca="false">IF(F115="","",ROUND(F115*J115/100,0))</f>
        <v>5</v>
      </c>
      <c r="P115" s="54" t="n">
        <v>24.7318728380214</v>
      </c>
      <c r="Q115" s="55" t="n">
        <f aca="false">T115*$H$5</f>
        <v>174.69400244798</v>
      </c>
      <c r="R115" s="56" t="n">
        <f aca="false">MAX(0,MIN(1,P115/100+$D$5))</f>
        <v>0.749969201517431</v>
      </c>
      <c r="S115" s="57" t="s">
        <v>123</v>
      </c>
      <c r="T115" s="55" t="n">
        <v>174.69400244798</v>
      </c>
    </row>
    <row r="116" customFormat="false" ht="15" hidden="false" customHeight="false" outlineLevel="0" collapsed="false">
      <c r="A116" s="21" t="s">
        <v>189</v>
      </c>
      <c r="B116" s="21" t="s">
        <v>191</v>
      </c>
      <c r="C116" s="21" t="s">
        <v>246</v>
      </c>
      <c r="D116" s="37" t="n">
        <f aca="false">ROUND(Q116*R116,0)</f>
        <v>197</v>
      </c>
      <c r="E116" s="37" t="n">
        <f aca="false">ROUND(Q116,0)-D116</f>
        <v>66</v>
      </c>
      <c r="F116" s="37" t="n">
        <f aca="false">IF(COUNTA(D116:E116)=0,"",SUM(D116:E116))</f>
        <v>263</v>
      </c>
      <c r="G116" s="52" t="n">
        <f aca="false">IF(OR(F116="",F116=0),"",D116/F116)</f>
        <v>0.749049429657795</v>
      </c>
      <c r="H116" s="52" t="n">
        <f aca="false">IF(OR(F116="",F116=0),"",E116/F116)</f>
        <v>0.250950570342205</v>
      </c>
      <c r="I116" s="21" t="s">
        <v>122</v>
      </c>
      <c r="J116" s="53" t="n">
        <v>2.87918965002339</v>
      </c>
      <c r="K116" s="52" t="n">
        <f aca="false">IF(G116="","",MAX(0,G116-J116/100))</f>
        <v>0.720257533157561</v>
      </c>
      <c r="L116" s="52" t="n">
        <f aca="false">IF(G116="","",MIN(1,G116+J116/100))</f>
        <v>0.777841326158029</v>
      </c>
      <c r="M116" s="37" t="n">
        <f aca="false">IF(F116="","",ROUND(F116*J116/100,0))</f>
        <v>8</v>
      </c>
      <c r="P116" s="54" t="n">
        <v>24.5741183626873</v>
      </c>
      <c r="Q116" s="55" t="n">
        <f aca="false">T116*$H$5</f>
        <v>263.436544342508</v>
      </c>
      <c r="R116" s="56" t="n">
        <f aca="false">MAX(0,MIN(1,P116/100+$D$5))</f>
        <v>0.74839165676409</v>
      </c>
      <c r="S116" s="57" t="s">
        <v>123</v>
      </c>
      <c r="T116" s="55" t="n">
        <v>263.436544342508</v>
      </c>
    </row>
    <row r="117" customFormat="false" ht="15" hidden="false" customHeight="false" outlineLevel="0" collapsed="false">
      <c r="A117" s="21" t="s">
        <v>189</v>
      </c>
      <c r="B117" s="21" t="s">
        <v>191</v>
      </c>
      <c r="C117" s="21" t="s">
        <v>247</v>
      </c>
      <c r="D117" s="37" t="n">
        <f aca="false">ROUND(Q117*R117,0)</f>
        <v>327</v>
      </c>
      <c r="E117" s="37" t="n">
        <f aca="false">ROUND(Q117,0)-D117</f>
        <v>166</v>
      </c>
      <c r="F117" s="37" t="n">
        <f aca="false">IF(COUNTA(D117:E117)=0,"",SUM(D117:E117))</f>
        <v>493</v>
      </c>
      <c r="G117" s="52" t="n">
        <f aca="false">IF(OR(F117="",F117=0),"",D117/F117)</f>
        <v>0.663286004056795</v>
      </c>
      <c r="H117" s="52" t="n">
        <f aca="false">IF(OR(F117="",F117=0),"",E117/F117)</f>
        <v>0.336713995943205</v>
      </c>
      <c r="I117" s="21" t="s">
        <v>122</v>
      </c>
      <c r="J117" s="53" t="n">
        <v>2.87918965002339</v>
      </c>
      <c r="K117" s="52" t="n">
        <f aca="false">IF(G117="","",MAX(0,G117-J117/100))</f>
        <v>0.634494107556561</v>
      </c>
      <c r="L117" s="52" t="n">
        <f aca="false">IF(G117="","",MIN(1,G117+J117/100))</f>
        <v>0.692077900557029</v>
      </c>
      <c r="M117" s="37" t="n">
        <f aca="false">IF(F117="","",ROUND(F117*J117/100,0))</f>
        <v>14</v>
      </c>
      <c r="P117" s="54" t="n">
        <v>16.0187945946752</v>
      </c>
      <c r="Q117" s="55" t="n">
        <f aca="false">T117*$H$5</f>
        <v>493.360186418109</v>
      </c>
      <c r="R117" s="56" t="n">
        <f aca="false">MAX(0,MIN(1,P117/100+$D$5))</f>
        <v>0.662838419083969</v>
      </c>
      <c r="S117" s="57" t="s">
        <v>123</v>
      </c>
      <c r="T117" s="55" t="n">
        <v>493.360186418109</v>
      </c>
    </row>
    <row r="118" customFormat="false" ht="15" hidden="false" customHeight="false" outlineLevel="0" collapsed="false">
      <c r="A118" s="21" t="s">
        <v>189</v>
      </c>
      <c r="B118" s="21" t="s">
        <v>191</v>
      </c>
      <c r="C118" s="21" t="s">
        <v>248</v>
      </c>
      <c r="D118" s="37" t="n">
        <f aca="false">ROUND(Q118*R118,0)</f>
        <v>151</v>
      </c>
      <c r="E118" s="37" t="n">
        <f aca="false">ROUND(Q118,0)-D118</f>
        <v>73</v>
      </c>
      <c r="F118" s="37" t="n">
        <f aca="false">IF(COUNTA(D118:E118)=0,"",SUM(D118:E118))</f>
        <v>224</v>
      </c>
      <c r="G118" s="52" t="n">
        <f aca="false">IF(OR(F118="",F118=0),"",D118/F118)</f>
        <v>0.674107142857143</v>
      </c>
      <c r="H118" s="52" t="n">
        <f aca="false">IF(OR(F118="",F118=0),"",E118/F118)</f>
        <v>0.325892857142857</v>
      </c>
      <c r="I118" s="21" t="s">
        <v>122</v>
      </c>
      <c r="J118" s="53" t="n">
        <v>2.87918965002339</v>
      </c>
      <c r="K118" s="52" t="n">
        <f aca="false">IF(G118="","",MAX(0,G118-J118/100))</f>
        <v>0.645315246356909</v>
      </c>
      <c r="L118" s="52" t="n">
        <f aca="false">IF(G118="","",MIN(1,G118+J118/100))</f>
        <v>0.702899039357377</v>
      </c>
      <c r="M118" s="37" t="n">
        <f aca="false">IF(F118="","",ROUND(F118*J118/100,0))</f>
        <v>6</v>
      </c>
      <c r="P118" s="54" t="n">
        <v>17.0610990072908</v>
      </c>
      <c r="Q118" s="55" t="n">
        <f aca="false">T118*$H$5</f>
        <v>223.817896389325</v>
      </c>
      <c r="R118" s="56" t="n">
        <f aca="false">MAX(0,MIN(1,P118/100+$D$5))</f>
        <v>0.673261463210125</v>
      </c>
      <c r="S118" s="57" t="s">
        <v>123</v>
      </c>
      <c r="T118" s="55" t="n">
        <v>223.817896389325</v>
      </c>
    </row>
    <row r="119" customFormat="false" ht="15" hidden="false" customHeight="false" outlineLevel="0" collapsed="false">
      <c r="A119" s="21" t="s">
        <v>189</v>
      </c>
      <c r="B119" s="21" t="s">
        <v>191</v>
      </c>
      <c r="C119" s="21" t="s">
        <v>249</v>
      </c>
      <c r="D119" s="37" t="n">
        <f aca="false">ROUND(Q119*R119,0)</f>
        <v>168</v>
      </c>
      <c r="E119" s="37" t="n">
        <f aca="false">ROUND(Q119,0)-D119</f>
        <v>74</v>
      </c>
      <c r="F119" s="37" t="n">
        <f aca="false">IF(COUNTA(D119:E119)=0,"",SUM(D119:E119))</f>
        <v>242</v>
      </c>
      <c r="G119" s="52" t="n">
        <f aca="false">IF(OR(F119="",F119=0),"",D119/F119)</f>
        <v>0.694214876033058</v>
      </c>
      <c r="H119" s="52" t="n">
        <f aca="false">IF(OR(F119="",F119=0),"",E119/F119)</f>
        <v>0.305785123966942</v>
      </c>
      <c r="I119" s="21" t="s">
        <v>122</v>
      </c>
      <c r="J119" s="53" t="n">
        <v>2.87918965002339</v>
      </c>
      <c r="K119" s="52" t="n">
        <f aca="false">IF(G119="","",MAX(0,G119-J119/100))</f>
        <v>0.665422979532824</v>
      </c>
      <c r="L119" s="52" t="n">
        <f aca="false">IF(G119="","",MIN(1,G119+J119/100))</f>
        <v>0.723006772533292</v>
      </c>
      <c r="M119" s="37" t="n">
        <f aca="false">IF(F119="","",ROUND(F119*J119/100,0))</f>
        <v>7</v>
      </c>
      <c r="P119" s="54" t="n">
        <v>19.2182213434407</v>
      </c>
      <c r="Q119" s="55" t="n">
        <f aca="false">T119*$H$5</f>
        <v>242.481171548117</v>
      </c>
      <c r="R119" s="56" t="n">
        <f aca="false">MAX(0,MIN(1,P119/100+$D$5))</f>
        <v>0.694832686571625</v>
      </c>
      <c r="S119" s="57" t="s">
        <v>123</v>
      </c>
      <c r="T119" s="55" t="n">
        <v>242.481171548117</v>
      </c>
    </row>
    <row r="120" customFormat="false" ht="15" hidden="false" customHeight="false" outlineLevel="0" collapsed="false">
      <c r="A120" s="21" t="s">
        <v>189</v>
      </c>
      <c r="B120" s="21" t="s">
        <v>191</v>
      </c>
      <c r="C120" s="21" t="s">
        <v>250</v>
      </c>
      <c r="D120" s="37" t="n">
        <f aca="false">ROUND(Q120*R120,0)</f>
        <v>283</v>
      </c>
      <c r="E120" s="37" t="n">
        <f aca="false">ROUND(Q120,0)-D120</f>
        <v>166</v>
      </c>
      <c r="F120" s="37" t="n">
        <f aca="false">IF(COUNTA(D120:E120)=0,"",SUM(D120:E120))</f>
        <v>449</v>
      </c>
      <c r="G120" s="52" t="n">
        <f aca="false">IF(OR(F120="",F120=0),"",D120/F120)</f>
        <v>0.630289532293987</v>
      </c>
      <c r="H120" s="52" t="n">
        <f aca="false">IF(OR(F120="",F120=0),"",E120/F120)</f>
        <v>0.369710467706013</v>
      </c>
      <c r="I120" s="21" t="s">
        <v>122</v>
      </c>
      <c r="J120" s="53" t="n">
        <v>2.87918965002339</v>
      </c>
      <c r="K120" s="52" t="n">
        <f aca="false">IF(G120="","",MAX(0,G120-J120/100))</f>
        <v>0.601497635793753</v>
      </c>
      <c r="L120" s="52" t="n">
        <f aca="false">IF(G120="","",MIN(1,G120+J120/100))</f>
        <v>0.659081428794221</v>
      </c>
      <c r="M120" s="37" t="n">
        <f aca="false">IF(F120="","",ROUND(F120*J120/100,0))</f>
        <v>13</v>
      </c>
      <c r="P120" s="54" t="n">
        <v>12.7740544218078</v>
      </c>
      <c r="Q120" s="55" t="n">
        <f aca="false">T120*$H$5</f>
        <v>448.675647668394</v>
      </c>
      <c r="R120" s="56" t="n">
        <f aca="false">MAX(0,MIN(1,P120/100+$D$5))</f>
        <v>0.630391017355296</v>
      </c>
      <c r="S120" s="57" t="s">
        <v>123</v>
      </c>
      <c r="T120" s="55" t="n">
        <v>448.675647668394</v>
      </c>
    </row>
    <row r="121" customFormat="false" ht="15" hidden="false" customHeight="false" outlineLevel="0" collapsed="false">
      <c r="A121" s="21" t="s">
        <v>189</v>
      </c>
      <c r="B121" s="21" t="s">
        <v>191</v>
      </c>
      <c r="C121" s="21" t="s">
        <v>251</v>
      </c>
      <c r="D121" s="37" t="n">
        <f aca="false">ROUND(Q121*R121,0)</f>
        <v>220</v>
      </c>
      <c r="E121" s="37" t="n">
        <f aca="false">ROUND(Q121,0)-D121</f>
        <v>90</v>
      </c>
      <c r="F121" s="37" t="n">
        <f aca="false">IF(COUNTA(D121:E121)=0,"",SUM(D121:E121))</f>
        <v>310</v>
      </c>
      <c r="G121" s="52" t="n">
        <f aca="false">IF(OR(F121="",F121=0),"",D121/F121)</f>
        <v>0.709677419354839</v>
      </c>
      <c r="H121" s="52" t="n">
        <f aca="false">IF(OR(F121="",F121=0),"",E121/F121)</f>
        <v>0.290322580645161</v>
      </c>
      <c r="I121" s="21" t="s">
        <v>122</v>
      </c>
      <c r="J121" s="53" t="n">
        <v>2.87918965002339</v>
      </c>
      <c r="K121" s="52" t="n">
        <f aca="false">IF(G121="","",MAX(0,G121-J121/100))</f>
        <v>0.680885522854605</v>
      </c>
      <c r="L121" s="52" t="n">
        <f aca="false">IF(G121="","",MIN(1,G121+J121/100))</f>
        <v>0.738469315855073</v>
      </c>
      <c r="M121" s="37" t="n">
        <f aca="false">IF(F121="","",ROUND(F121*J121/100,0))</f>
        <v>9</v>
      </c>
      <c r="P121" s="54" t="n">
        <v>20.7075598025404</v>
      </c>
      <c r="Q121" s="55" t="n">
        <f aca="false">T121*$H$5</f>
        <v>310.16656308266</v>
      </c>
      <c r="R121" s="56" t="n">
        <f aca="false">MAX(0,MIN(1,P121/100+$D$5))</f>
        <v>0.709726071162622</v>
      </c>
      <c r="S121" s="57" t="s">
        <v>123</v>
      </c>
      <c r="T121" s="55" t="n">
        <v>310.16656308266</v>
      </c>
    </row>
    <row r="122" customFormat="false" ht="15" hidden="false" customHeight="false" outlineLevel="0" collapsed="false">
      <c r="A122" s="21" t="s">
        <v>189</v>
      </c>
      <c r="B122" s="21" t="s">
        <v>252</v>
      </c>
      <c r="C122" s="21" t="s">
        <v>253</v>
      </c>
      <c r="D122" s="37" t="n">
        <f aca="false">ROUND(Q122*R122,0)</f>
        <v>461</v>
      </c>
      <c r="E122" s="37" t="n">
        <f aca="false">ROUND(Q122,0)-D122</f>
        <v>196</v>
      </c>
      <c r="F122" s="37" t="n">
        <f aca="false">IF(COUNTA(D122:E122)=0,"",SUM(D122:E122))</f>
        <v>657</v>
      </c>
      <c r="G122" s="52" t="n">
        <f aca="false">IF(OR(F122="",F122=0),"",D122/F122)</f>
        <v>0.701674277016743</v>
      </c>
      <c r="H122" s="52" t="n">
        <f aca="false">IF(OR(F122="",F122=0),"",E122/F122)</f>
        <v>0.298325722983257</v>
      </c>
      <c r="I122" s="21" t="s">
        <v>122</v>
      </c>
      <c r="J122" s="53" t="n">
        <v>2.87918965002339</v>
      </c>
      <c r="K122" s="52" t="n">
        <f aca="false">IF(G122="","",MAX(0,G122-J122/100))</f>
        <v>0.672882380516509</v>
      </c>
      <c r="L122" s="52" t="n">
        <f aca="false">IF(G122="","",MIN(1,G122+J122/100))</f>
        <v>0.730466173516977</v>
      </c>
      <c r="M122" s="37" t="n">
        <f aca="false">IF(F122="","",ROUND(F122*J122/100,0))</f>
        <v>19</v>
      </c>
      <c r="P122" s="54" t="n">
        <v>19.8523512597163</v>
      </c>
      <c r="Q122" s="55" t="n">
        <f aca="false">T122*$H$5</f>
        <v>657.496995708155</v>
      </c>
      <c r="R122" s="56" t="n">
        <f aca="false">MAX(0,MIN(1,P122/100+$D$5))</f>
        <v>0.701173985734381</v>
      </c>
      <c r="S122" s="57" t="s">
        <v>123</v>
      </c>
      <c r="T122" s="55" t="n">
        <v>657.496995708155</v>
      </c>
    </row>
    <row r="123" customFormat="false" ht="15" hidden="false" customHeight="false" outlineLevel="0" collapsed="false">
      <c r="A123" s="21" t="s">
        <v>189</v>
      </c>
      <c r="B123" s="21" t="s">
        <v>252</v>
      </c>
      <c r="C123" s="21" t="s">
        <v>254</v>
      </c>
      <c r="D123" s="37" t="n">
        <f aca="false">ROUND(Q123*R123,0)</f>
        <v>313</v>
      </c>
      <c r="E123" s="37" t="n">
        <f aca="false">ROUND(Q123,0)-D123</f>
        <v>153</v>
      </c>
      <c r="F123" s="37" t="n">
        <f aca="false">IF(COUNTA(D123:E123)=0,"",SUM(D123:E123))</f>
        <v>466</v>
      </c>
      <c r="G123" s="52" t="n">
        <f aca="false">IF(OR(F123="",F123=0),"",D123/F123)</f>
        <v>0.671673819742489</v>
      </c>
      <c r="H123" s="52" t="n">
        <f aca="false">IF(OR(F123="",F123=0),"",E123/F123)</f>
        <v>0.328326180257511</v>
      </c>
      <c r="I123" s="21" t="s">
        <v>122</v>
      </c>
      <c r="J123" s="53" t="n">
        <v>2.87918965002339</v>
      </c>
      <c r="K123" s="52" t="n">
        <f aca="false">IF(G123="","",MAX(0,G123-J123/100))</f>
        <v>0.642881923242256</v>
      </c>
      <c r="L123" s="52" t="n">
        <f aca="false">IF(G123="","",MIN(1,G123+J123/100))</f>
        <v>0.700465716242723</v>
      </c>
      <c r="M123" s="37" t="n">
        <f aca="false">IF(F123="","",ROUND(F123*J123/100,0))</f>
        <v>13</v>
      </c>
      <c r="P123" s="54" t="n">
        <v>16.8826920932292</v>
      </c>
      <c r="Q123" s="55" t="n">
        <f aca="false">T123*$H$5</f>
        <v>465.633707865168</v>
      </c>
      <c r="R123" s="56" t="n">
        <f aca="false">MAX(0,MIN(1,P123/100+$D$5))</f>
        <v>0.67147739406951</v>
      </c>
      <c r="S123" s="57" t="s">
        <v>123</v>
      </c>
      <c r="T123" s="55" t="n">
        <v>465.633707865168</v>
      </c>
    </row>
    <row r="124" customFormat="false" ht="15" hidden="false" customHeight="false" outlineLevel="0" collapsed="false">
      <c r="A124" s="21" t="s">
        <v>189</v>
      </c>
      <c r="B124" s="21" t="s">
        <v>252</v>
      </c>
      <c r="C124" s="21" t="s">
        <v>255</v>
      </c>
      <c r="D124" s="37" t="n">
        <f aca="false">ROUND(Q124*R124,0)</f>
        <v>343</v>
      </c>
      <c r="E124" s="37" t="n">
        <f aca="false">ROUND(Q124,0)-D124</f>
        <v>144</v>
      </c>
      <c r="F124" s="37" t="n">
        <f aca="false">IF(COUNTA(D124:E124)=0,"",SUM(D124:E124))</f>
        <v>487</v>
      </c>
      <c r="G124" s="52" t="n">
        <f aca="false">IF(OR(F124="",F124=0),"",D124/F124)</f>
        <v>0.704312114989733</v>
      </c>
      <c r="H124" s="52" t="n">
        <f aca="false">IF(OR(F124="",F124=0),"",E124/F124)</f>
        <v>0.295687885010267</v>
      </c>
      <c r="I124" s="21" t="s">
        <v>122</v>
      </c>
      <c r="J124" s="53" t="n">
        <v>2.87918965002339</v>
      </c>
      <c r="K124" s="52" t="n">
        <f aca="false">IF(G124="","",MAX(0,G124-J124/100))</f>
        <v>0.675520218489499</v>
      </c>
      <c r="L124" s="52" t="n">
        <f aca="false">IF(G124="","",MIN(1,G124+J124/100))</f>
        <v>0.733104011489967</v>
      </c>
      <c r="M124" s="37" t="n">
        <f aca="false">IF(F124="","",ROUND(F124*J124/100,0))</f>
        <v>14</v>
      </c>
      <c r="P124" s="54" t="n">
        <v>20.1754829012301</v>
      </c>
      <c r="Q124" s="55" t="n">
        <f aca="false">T124*$H$5</f>
        <v>486.64</v>
      </c>
      <c r="R124" s="56" t="n">
        <f aca="false">MAX(0,MIN(1,P124/100+$D$5))</f>
        <v>0.704405302149519</v>
      </c>
      <c r="S124" s="57" t="s">
        <v>123</v>
      </c>
      <c r="T124" s="55" t="n">
        <v>486.64</v>
      </c>
    </row>
    <row r="125" customFormat="false" ht="15" hidden="false" customHeight="false" outlineLevel="0" collapsed="false">
      <c r="A125" s="21" t="s">
        <v>189</v>
      </c>
      <c r="B125" s="21" t="s">
        <v>252</v>
      </c>
      <c r="C125" s="21" t="s">
        <v>256</v>
      </c>
      <c r="D125" s="37" t="n">
        <f aca="false">ROUND(Q125*R125,0)</f>
        <v>376</v>
      </c>
      <c r="E125" s="37" t="n">
        <f aca="false">ROUND(Q125,0)-D125</f>
        <v>171</v>
      </c>
      <c r="F125" s="37" t="n">
        <f aca="false">IF(COUNTA(D125:E125)=0,"",SUM(D125:E125))</f>
        <v>547</v>
      </c>
      <c r="G125" s="52" t="n">
        <f aca="false">IF(OR(F125="",F125=0),"",D125/F125)</f>
        <v>0.687385740402194</v>
      </c>
      <c r="H125" s="52" t="n">
        <f aca="false">IF(OR(F125="",F125=0),"",E125/F125)</f>
        <v>0.312614259597806</v>
      </c>
      <c r="I125" s="21" t="s">
        <v>122</v>
      </c>
      <c r="J125" s="53" t="n">
        <v>2.87918965002339</v>
      </c>
      <c r="K125" s="52" t="n">
        <f aca="false">IF(G125="","",MAX(0,G125-J125/100))</f>
        <v>0.65859384390196</v>
      </c>
      <c r="L125" s="52" t="n">
        <f aca="false">IF(G125="","",MIN(1,G125+J125/100))</f>
        <v>0.716177636902428</v>
      </c>
      <c r="M125" s="37" t="n">
        <f aca="false">IF(F125="","",ROUND(F125*J125/100,0))</f>
        <v>16</v>
      </c>
      <c r="P125" s="54" t="n">
        <v>18.4178238176042</v>
      </c>
      <c r="Q125" s="55" t="n">
        <f aca="false">T125*$H$5</f>
        <v>547.019495412844</v>
      </c>
      <c r="R125" s="56" t="n">
        <f aca="false">MAX(0,MIN(1,P125/100+$D$5))</f>
        <v>0.68682871131326</v>
      </c>
      <c r="S125" s="57" t="s">
        <v>123</v>
      </c>
      <c r="T125" s="55" t="n">
        <v>547.019495412844</v>
      </c>
    </row>
    <row r="126" customFormat="false" ht="15" hidden="false" customHeight="false" outlineLevel="0" collapsed="false">
      <c r="A126" s="21" t="s">
        <v>189</v>
      </c>
      <c r="B126" s="21" t="s">
        <v>252</v>
      </c>
      <c r="C126" s="21" t="s">
        <v>257</v>
      </c>
      <c r="D126" s="37" t="n">
        <f aca="false">ROUND(Q126*R126,0)</f>
        <v>576</v>
      </c>
      <c r="E126" s="37" t="n">
        <f aca="false">ROUND(Q126,0)-D126</f>
        <v>322</v>
      </c>
      <c r="F126" s="37" t="n">
        <f aca="false">IF(COUNTA(D126:E126)=0,"",SUM(D126:E126))</f>
        <v>898</v>
      </c>
      <c r="G126" s="52" t="n">
        <f aca="false">IF(OR(F126="",F126=0),"",D126/F126)</f>
        <v>0.641425389755011</v>
      </c>
      <c r="H126" s="52" t="n">
        <f aca="false">IF(OR(F126="",F126=0),"",E126/F126)</f>
        <v>0.358574610244989</v>
      </c>
      <c r="I126" s="21" t="s">
        <v>122</v>
      </c>
      <c r="J126" s="53" t="n">
        <v>1.9254971424187</v>
      </c>
      <c r="K126" s="52" t="n">
        <f aca="false">IF(G126="","",MAX(0,G126-J126/100))</f>
        <v>0.622170418330824</v>
      </c>
      <c r="L126" s="52" t="n">
        <f aca="false">IF(G126="","",MIN(1,G126+J126/100))</f>
        <v>0.660680361179198</v>
      </c>
      <c r="M126" s="37" t="n">
        <f aca="false">IF(F126="","",ROUND(F126*J126/100,0))</f>
        <v>17</v>
      </c>
      <c r="P126" s="54" t="n">
        <v>13.8580969566076</v>
      </c>
      <c r="Q126" s="55" t="n">
        <f aca="false">T126*$H$5</f>
        <v>898.212765957447</v>
      </c>
      <c r="R126" s="56" t="n">
        <f aca="false">MAX(0,MIN(1,P126/100+$D$5))</f>
        <v>0.641231442703294</v>
      </c>
      <c r="S126" s="57" t="s">
        <v>132</v>
      </c>
      <c r="T126" s="55" t="n">
        <v>898.212765957447</v>
      </c>
    </row>
    <row r="127" customFormat="false" ht="15" hidden="false" customHeight="false" outlineLevel="0" collapsed="false">
      <c r="A127" s="21" t="s">
        <v>189</v>
      </c>
      <c r="B127" s="21" t="s">
        <v>252</v>
      </c>
      <c r="C127" s="21" t="s">
        <v>258</v>
      </c>
      <c r="D127" s="37" t="n">
        <f aca="false">ROUND(Q127*R127,0)</f>
        <v>395</v>
      </c>
      <c r="E127" s="37" t="n">
        <f aca="false">ROUND(Q127,0)-D127</f>
        <v>239</v>
      </c>
      <c r="F127" s="37" t="n">
        <f aca="false">IF(COUNTA(D127:E127)=0,"",SUM(D127:E127))</f>
        <v>634</v>
      </c>
      <c r="G127" s="52" t="n">
        <f aca="false">IF(OR(F127="",F127=0),"",D127/F127)</f>
        <v>0.623028391167192</v>
      </c>
      <c r="H127" s="52" t="n">
        <f aca="false">IF(OR(F127="",F127=0),"",E127/F127)</f>
        <v>0.376971608832808</v>
      </c>
      <c r="I127" s="21" t="s">
        <v>122</v>
      </c>
      <c r="J127" s="53" t="n">
        <v>2.87918965002339</v>
      </c>
      <c r="K127" s="52" t="n">
        <f aca="false">IF(G127="","",MAX(0,G127-J127/100))</f>
        <v>0.594236494666959</v>
      </c>
      <c r="L127" s="52" t="n">
        <f aca="false">IF(G127="","",MIN(1,G127+J127/100))</f>
        <v>0.651820287667426</v>
      </c>
      <c r="M127" s="37" t="n">
        <f aca="false">IF(F127="","",ROUND(F127*J127/100,0))</f>
        <v>18</v>
      </c>
      <c r="P127" s="54" t="n">
        <v>11.9987560081219</v>
      </c>
      <c r="Q127" s="55" t="n">
        <f aca="false">T127*$H$5</f>
        <v>634.007858546169</v>
      </c>
      <c r="R127" s="56" t="n">
        <f aca="false">MAX(0,MIN(1,P127/100+$D$5))</f>
        <v>0.622638033218437</v>
      </c>
      <c r="S127" s="57" t="s">
        <v>123</v>
      </c>
      <c r="T127" s="55" t="n">
        <v>634.007858546169</v>
      </c>
    </row>
    <row r="128" customFormat="false" ht="15" hidden="false" customHeight="false" outlineLevel="0" collapsed="false">
      <c r="A128" s="21" t="s">
        <v>189</v>
      </c>
      <c r="B128" s="21" t="s">
        <v>252</v>
      </c>
      <c r="C128" s="21" t="s">
        <v>259</v>
      </c>
      <c r="D128" s="37" t="n">
        <f aca="false">ROUND(Q128*R128,0)</f>
        <v>437</v>
      </c>
      <c r="E128" s="37" t="n">
        <f aca="false">ROUND(Q128,0)-D128</f>
        <v>290</v>
      </c>
      <c r="F128" s="37" t="n">
        <f aca="false">IF(COUNTA(D128:E128)=0,"",SUM(D128:E128))</f>
        <v>727</v>
      </c>
      <c r="G128" s="52" t="n">
        <f aca="false">IF(OR(F128="",F128=0),"",D128/F128)</f>
        <v>0.601100412654746</v>
      </c>
      <c r="H128" s="52" t="n">
        <f aca="false">IF(OR(F128="",F128=0),"",E128/F128)</f>
        <v>0.398899587345255</v>
      </c>
      <c r="I128" s="21" t="s">
        <v>122</v>
      </c>
      <c r="J128" s="53" t="n">
        <v>2.87918965002339</v>
      </c>
      <c r="K128" s="52" t="n">
        <f aca="false">IF(G128="","",MAX(0,G128-J128/100))</f>
        <v>0.572308516154512</v>
      </c>
      <c r="L128" s="52" t="n">
        <f aca="false">IF(G128="","",MIN(1,G128+J128/100))</f>
        <v>0.629892309154979</v>
      </c>
      <c r="M128" s="37" t="n">
        <f aca="false">IF(F128="","",ROUND(F128*J128/100,0))</f>
        <v>21</v>
      </c>
      <c r="P128" s="54" t="n">
        <v>9.78943192839399</v>
      </c>
      <c r="Q128" s="55" t="n">
        <f aca="false">T128*$H$5</f>
        <v>727.46884272997</v>
      </c>
      <c r="R128" s="56" t="n">
        <f aca="false">MAX(0,MIN(1,P128/100+$D$5))</f>
        <v>0.600544792421158</v>
      </c>
      <c r="S128" s="57" t="s">
        <v>123</v>
      </c>
      <c r="T128" s="55" t="n">
        <v>727.46884272997</v>
      </c>
    </row>
    <row r="129" customFormat="false" ht="15" hidden="false" customHeight="false" outlineLevel="0" collapsed="false">
      <c r="A129" s="21" t="s">
        <v>189</v>
      </c>
      <c r="B129" s="21" t="s">
        <v>252</v>
      </c>
      <c r="C129" s="21" t="s">
        <v>260</v>
      </c>
      <c r="D129" s="37" t="n">
        <f aca="false">ROUND(Q129*R129,0)</f>
        <v>543</v>
      </c>
      <c r="E129" s="37" t="n">
        <f aca="false">ROUND(Q129,0)-D129</f>
        <v>355</v>
      </c>
      <c r="F129" s="37" t="n">
        <f aca="false">IF(COUNTA(D129:E129)=0,"",SUM(D129:E129))</f>
        <v>898</v>
      </c>
      <c r="G129" s="52" t="n">
        <f aca="false">IF(OR(F129="",F129=0),"",D129/F129)</f>
        <v>0.60467706013363</v>
      </c>
      <c r="H129" s="52" t="n">
        <f aca="false">IF(OR(F129="",F129=0),"",E129/F129)</f>
        <v>0.39532293986637</v>
      </c>
      <c r="I129" s="21" t="s">
        <v>122</v>
      </c>
      <c r="J129" s="53" t="n">
        <v>1.9254971424187</v>
      </c>
      <c r="K129" s="52" t="n">
        <f aca="false">IF(G129="","",MAX(0,G129-J129/100))</f>
        <v>0.585422088709443</v>
      </c>
      <c r="L129" s="52" t="n">
        <f aca="false">IF(G129="","",MIN(1,G129+J129/100))</f>
        <v>0.623932031557817</v>
      </c>
      <c r="M129" s="37" t="n">
        <f aca="false">IF(F129="","",ROUND(F129*J129/100,0))</f>
        <v>17</v>
      </c>
      <c r="P129" s="54" t="n">
        <v>10.1303734960433</v>
      </c>
      <c r="Q129" s="55" t="n">
        <f aca="false">T129*$H$5</f>
        <v>898.28</v>
      </c>
      <c r="R129" s="56" t="n">
        <f aca="false">MAX(0,MIN(1,P129/100+$D$5))</f>
        <v>0.60395420809765</v>
      </c>
      <c r="S129" s="57" t="s">
        <v>132</v>
      </c>
      <c r="T129" s="55" t="n">
        <v>898.28</v>
      </c>
    </row>
    <row r="130" customFormat="false" ht="15" hidden="false" customHeight="false" outlineLevel="0" collapsed="false">
      <c r="A130" s="21" t="s">
        <v>189</v>
      </c>
      <c r="B130" s="21" t="s">
        <v>252</v>
      </c>
      <c r="C130" s="21" t="s">
        <v>261</v>
      </c>
      <c r="D130" s="37" t="n">
        <f aca="false">ROUND(Q130*R130,0)</f>
        <v>407</v>
      </c>
      <c r="E130" s="37" t="n">
        <f aca="false">ROUND(Q130,0)-D130</f>
        <v>258</v>
      </c>
      <c r="F130" s="37" t="n">
        <f aca="false">IF(COUNTA(D130:E130)=0,"",SUM(D130:E130))</f>
        <v>665</v>
      </c>
      <c r="G130" s="52" t="n">
        <f aca="false">IF(OR(F130="",F130=0),"",D130/F130)</f>
        <v>0.61203007518797</v>
      </c>
      <c r="H130" s="52" t="n">
        <f aca="false">IF(OR(F130="",F130=0),"",E130/F130)</f>
        <v>0.38796992481203</v>
      </c>
      <c r="I130" s="21" t="s">
        <v>122</v>
      </c>
      <c r="J130" s="53" t="n">
        <v>2.87918965002339</v>
      </c>
      <c r="K130" s="52" t="n">
        <f aca="false">IF(G130="","",MAX(0,G130-J130/100))</f>
        <v>0.583238178687736</v>
      </c>
      <c r="L130" s="52" t="n">
        <f aca="false">IF(G130="","",MIN(1,G130+J130/100))</f>
        <v>0.640821971688204</v>
      </c>
      <c r="M130" s="37" t="n">
        <f aca="false">IF(F130="","",ROUND(F130*J130/100,0))</f>
        <v>19</v>
      </c>
      <c r="P130" s="54" t="n">
        <v>10.9251480154463</v>
      </c>
      <c r="Q130" s="55" t="n">
        <f aca="false">T130*$H$5</f>
        <v>665.309142318567</v>
      </c>
      <c r="R130" s="56" t="n">
        <f aca="false">MAX(0,MIN(1,P130/100+$D$5))</f>
        <v>0.611901953291681</v>
      </c>
      <c r="S130" s="57" t="s">
        <v>123</v>
      </c>
      <c r="T130" s="55" t="n">
        <v>665.309142318567</v>
      </c>
    </row>
    <row r="131" customFormat="false" ht="15" hidden="false" customHeight="false" outlineLevel="0" collapsed="false">
      <c r="A131" s="21" t="s">
        <v>189</v>
      </c>
      <c r="B131" s="21" t="s">
        <v>252</v>
      </c>
      <c r="C131" s="21" t="s">
        <v>262</v>
      </c>
      <c r="D131" s="37" t="n">
        <f aca="false">ROUND(Q131*R131,0)</f>
        <v>335</v>
      </c>
      <c r="E131" s="37" t="n">
        <f aca="false">ROUND(Q131,0)-D131</f>
        <v>245</v>
      </c>
      <c r="F131" s="37" t="n">
        <f aca="false">IF(COUNTA(D131:E131)=0,"",SUM(D131:E131))</f>
        <v>580</v>
      </c>
      <c r="G131" s="52" t="n">
        <f aca="false">IF(OR(F131="",F131=0),"",D131/F131)</f>
        <v>0.577586206896552</v>
      </c>
      <c r="H131" s="52" t="n">
        <f aca="false">IF(OR(F131="",F131=0),"",E131/F131)</f>
        <v>0.422413793103448</v>
      </c>
      <c r="I131" s="21" t="s">
        <v>122</v>
      </c>
      <c r="J131" s="53" t="n">
        <v>2.87918965002339</v>
      </c>
      <c r="K131" s="52" t="n">
        <f aca="false">IF(G131="","",MAX(0,G131-J131/100))</f>
        <v>0.548794310396318</v>
      </c>
      <c r="L131" s="52" t="n">
        <f aca="false">IF(G131="","",MIN(1,G131+J131/100))</f>
        <v>0.606378103396786</v>
      </c>
      <c r="M131" s="37" t="n">
        <f aca="false">IF(F131="","",ROUND(F131*J131/100,0))</f>
        <v>17</v>
      </c>
      <c r="P131" s="54" t="n">
        <v>7.41541918580155</v>
      </c>
      <c r="Q131" s="55" t="n">
        <f aca="false">T131*$H$5</f>
        <v>580.019459459459</v>
      </c>
      <c r="R131" s="56" t="n">
        <f aca="false">MAX(0,MIN(1,P131/100+$D$5))</f>
        <v>0.576804664995233</v>
      </c>
      <c r="S131" s="57" t="s">
        <v>123</v>
      </c>
      <c r="T131" s="55" t="n">
        <v>580.019459459459</v>
      </c>
    </row>
    <row r="132" customFormat="false" ht="15" hidden="false" customHeight="false" outlineLevel="0" collapsed="false">
      <c r="A132" s="21" t="s">
        <v>189</v>
      </c>
      <c r="B132" s="21" t="s">
        <v>252</v>
      </c>
      <c r="C132" s="21" t="s">
        <v>263</v>
      </c>
      <c r="D132" s="37" t="n">
        <f aca="false">ROUND(Q132*R132,0)</f>
        <v>414</v>
      </c>
      <c r="E132" s="37" t="n">
        <f aca="false">ROUND(Q132,0)-D132</f>
        <v>248</v>
      </c>
      <c r="F132" s="37" t="n">
        <f aca="false">IF(COUNTA(D132:E132)=0,"",SUM(D132:E132))</f>
        <v>662</v>
      </c>
      <c r="G132" s="52" t="n">
        <f aca="false">IF(OR(F132="",F132=0),"",D132/F132)</f>
        <v>0.625377643504532</v>
      </c>
      <c r="H132" s="52" t="n">
        <f aca="false">IF(OR(F132="",F132=0),"",E132/F132)</f>
        <v>0.374622356495468</v>
      </c>
      <c r="I132" s="21" t="s">
        <v>122</v>
      </c>
      <c r="J132" s="53" t="n">
        <v>2.87918965002339</v>
      </c>
      <c r="K132" s="52" t="n">
        <f aca="false">IF(G132="","",MAX(0,G132-J132/100))</f>
        <v>0.596585747004298</v>
      </c>
      <c r="L132" s="52" t="n">
        <f aca="false">IF(G132="","",MIN(1,G132+J132/100))</f>
        <v>0.654169540004766</v>
      </c>
      <c r="M132" s="37" t="n">
        <f aca="false">IF(F132="","",ROUND(F132*J132/100,0))</f>
        <v>19</v>
      </c>
      <c r="P132" s="54" t="n">
        <v>12.2693138702837</v>
      </c>
      <c r="Q132" s="55" t="n">
        <f aca="false">T132*$H$5</f>
        <v>662.03519510329</v>
      </c>
      <c r="R132" s="56" t="n">
        <f aca="false">MAX(0,MIN(1,P132/100+$D$5))</f>
        <v>0.625343611840055</v>
      </c>
      <c r="S132" s="57" t="s">
        <v>123</v>
      </c>
      <c r="T132" s="55" t="n">
        <v>662.03519510329</v>
      </c>
    </row>
    <row r="133" customFormat="false" ht="15" hidden="false" customHeight="false" outlineLevel="0" collapsed="false">
      <c r="A133" s="21" t="s">
        <v>189</v>
      </c>
      <c r="B133" s="21" t="s">
        <v>252</v>
      </c>
      <c r="C133" s="21" t="s">
        <v>264</v>
      </c>
      <c r="D133" s="37" t="n">
        <f aca="false">ROUND(Q133*R133,0)</f>
        <v>449</v>
      </c>
      <c r="E133" s="37" t="n">
        <f aca="false">ROUND(Q133,0)-D133</f>
        <v>289</v>
      </c>
      <c r="F133" s="37" t="n">
        <f aca="false">IF(COUNTA(D133:E133)=0,"",SUM(D133:E133))</f>
        <v>738</v>
      </c>
      <c r="G133" s="52" t="n">
        <f aca="false">IF(OR(F133="",F133=0),"",D133/F133)</f>
        <v>0.60840108401084</v>
      </c>
      <c r="H133" s="52" t="n">
        <f aca="false">IF(OR(F133="",F133=0),"",E133/F133)</f>
        <v>0.39159891598916</v>
      </c>
      <c r="I133" s="21" t="s">
        <v>122</v>
      </c>
      <c r="J133" s="53" t="n">
        <v>2.87918965002339</v>
      </c>
      <c r="K133" s="52" t="n">
        <f aca="false">IF(G133="","",MAX(0,G133-J133/100))</f>
        <v>0.579609187510606</v>
      </c>
      <c r="L133" s="52" t="n">
        <f aca="false">IF(G133="","",MIN(1,G133+J133/100))</f>
        <v>0.637192980511074</v>
      </c>
      <c r="M133" s="37" t="n">
        <f aca="false">IF(F133="","",ROUND(F133*J133/100,0))</f>
        <v>21</v>
      </c>
      <c r="P133" s="54" t="n">
        <v>10.6461976121617</v>
      </c>
      <c r="Q133" s="55" t="n">
        <f aca="false">T133*$H$5</f>
        <v>737.535483870967</v>
      </c>
      <c r="R133" s="56" t="n">
        <f aca="false">MAX(0,MIN(1,P133/100+$D$5))</f>
        <v>0.609112449258835</v>
      </c>
      <c r="S133" s="57" t="s">
        <v>123</v>
      </c>
      <c r="T133" s="55" t="n">
        <v>737.535483870967</v>
      </c>
    </row>
    <row r="134" customFormat="false" ht="15" hidden="false" customHeight="false" outlineLevel="0" collapsed="false">
      <c r="A134" s="21" t="s">
        <v>189</v>
      </c>
      <c r="B134" s="21" t="s">
        <v>265</v>
      </c>
      <c r="C134" s="21" t="s">
        <v>266</v>
      </c>
      <c r="D134" s="37" t="n">
        <f aca="false">ROUND(Q134*R134,0)</f>
        <v>387</v>
      </c>
      <c r="E134" s="37" t="n">
        <f aca="false">ROUND(Q134,0)-D134</f>
        <v>298</v>
      </c>
      <c r="F134" s="37" t="n">
        <f aca="false">IF(COUNTA(D134:E134)=0,"",SUM(D134:E134))</f>
        <v>685</v>
      </c>
      <c r="G134" s="52" t="n">
        <f aca="false">IF(OR(F134="",F134=0),"",D134/F134)</f>
        <v>0.564963503649635</v>
      </c>
      <c r="H134" s="52" t="n">
        <f aca="false">IF(OR(F134="",F134=0),"",E134/F134)</f>
        <v>0.435036496350365</v>
      </c>
      <c r="I134" s="21" t="s">
        <v>122</v>
      </c>
      <c r="J134" s="53" t="n">
        <v>2.87918965002339</v>
      </c>
      <c r="K134" s="52" t="n">
        <f aca="false">IF(G134="","",MAX(0,G134-J134/100))</f>
        <v>0.536171607149401</v>
      </c>
      <c r="L134" s="52" t="n">
        <f aca="false">IF(G134="","",MIN(1,G134+J134/100))</f>
        <v>0.593755400149869</v>
      </c>
      <c r="M134" s="37" t="n">
        <f aca="false">IF(F134="","",ROUND(F134*J134/100,0))</f>
        <v>20</v>
      </c>
      <c r="P134" s="54" t="n">
        <v>6.17419248273405</v>
      </c>
      <c r="Q134" s="55" t="n">
        <f aca="false">T134*$H$5</f>
        <v>685.017857142857</v>
      </c>
      <c r="R134" s="56" t="n">
        <f aca="false">MAX(0,MIN(1,P134/100+$D$5))</f>
        <v>0.564392397964558</v>
      </c>
      <c r="S134" s="57" t="s">
        <v>123</v>
      </c>
      <c r="T134" s="55" t="n">
        <v>685.017857142857</v>
      </c>
    </row>
    <row r="135" customFormat="false" ht="15" hidden="false" customHeight="false" outlineLevel="0" collapsed="false">
      <c r="A135" s="21" t="s">
        <v>189</v>
      </c>
      <c r="B135" s="21" t="s">
        <v>265</v>
      </c>
      <c r="C135" s="21" t="s">
        <v>267</v>
      </c>
      <c r="D135" s="37" t="n">
        <f aca="false">ROUND(Q135*R135,0)</f>
        <v>363</v>
      </c>
      <c r="E135" s="37" t="n">
        <f aca="false">ROUND(Q135,0)-D135</f>
        <v>350</v>
      </c>
      <c r="F135" s="37" t="n">
        <f aca="false">IF(COUNTA(D135:E135)=0,"",SUM(D135:E135))</f>
        <v>713</v>
      </c>
      <c r="G135" s="52" t="n">
        <f aca="false">IF(OR(F135="",F135=0),"",D135/F135)</f>
        <v>0.509116409537167</v>
      </c>
      <c r="H135" s="52" t="n">
        <f aca="false">IF(OR(F135="",F135=0),"",E135/F135)</f>
        <v>0.490883590462833</v>
      </c>
      <c r="I135" s="21" t="s">
        <v>122</v>
      </c>
      <c r="J135" s="53" t="n">
        <v>2.87918965002339</v>
      </c>
      <c r="K135" s="52" t="n">
        <f aca="false">IF(G135="","",MAX(0,G135-J135/100))</f>
        <v>0.480324513036933</v>
      </c>
      <c r="L135" s="52" t="n">
        <f aca="false">IF(G135="","",MIN(1,G135+J135/100))</f>
        <v>0.537908306037401</v>
      </c>
      <c r="M135" s="37" t="n">
        <f aca="false">IF(F135="","",ROUND(F135*J135/100,0))</f>
        <v>21</v>
      </c>
      <c r="P135" s="54" t="n">
        <v>0.63715645309626</v>
      </c>
      <c r="Q135" s="55" t="n">
        <f aca="false">T135*$H$5</f>
        <v>712.774509803922</v>
      </c>
      <c r="R135" s="56" t="n">
        <f aca="false">MAX(0,MIN(1,P135/100+$D$5))</f>
        <v>0.50902203766818</v>
      </c>
      <c r="S135" s="57" t="s">
        <v>123</v>
      </c>
      <c r="T135" s="55" t="n">
        <v>712.774509803922</v>
      </c>
    </row>
    <row r="136" customFormat="false" ht="15" hidden="false" customHeight="false" outlineLevel="0" collapsed="false">
      <c r="A136" s="21" t="s">
        <v>189</v>
      </c>
      <c r="B136" s="21" t="s">
        <v>265</v>
      </c>
      <c r="C136" s="21" t="s">
        <v>268</v>
      </c>
      <c r="D136" s="37" t="n">
        <f aca="false">ROUND(Q136*R136,0)</f>
        <v>404</v>
      </c>
      <c r="E136" s="37" t="n">
        <f aca="false">ROUND(Q136,0)-D136</f>
        <v>377</v>
      </c>
      <c r="F136" s="37" t="n">
        <f aca="false">IF(COUNTA(D136:E136)=0,"",SUM(D136:E136))</f>
        <v>781</v>
      </c>
      <c r="G136" s="52" t="n">
        <f aca="false">IF(OR(F136="",F136=0),"",D136/F136)</f>
        <v>0.517285531370038</v>
      </c>
      <c r="H136" s="52" t="n">
        <f aca="false">IF(OR(F136="",F136=0),"",E136/F136)</f>
        <v>0.482714468629962</v>
      </c>
      <c r="I136" s="21" t="s">
        <v>122</v>
      </c>
      <c r="J136" s="53" t="n">
        <v>1.9254971424187</v>
      </c>
      <c r="K136" s="52" t="n">
        <f aca="false">IF(G136="","",MAX(0,G136-J136/100))</f>
        <v>0.498030559945851</v>
      </c>
      <c r="L136" s="52" t="n">
        <f aca="false">IF(G136="","",MIN(1,G136+J136/100))</f>
        <v>0.536540502794226</v>
      </c>
      <c r="M136" s="37" t="n">
        <f aca="false">IF(F136="","",ROUND(F136*J136/100,0))</f>
        <v>15</v>
      </c>
      <c r="P136" s="54" t="n">
        <v>1.4534023906659</v>
      </c>
      <c r="Q136" s="55" t="n">
        <f aca="false">T136*$H$5</f>
        <v>780.975243810953</v>
      </c>
      <c r="R136" s="56" t="n">
        <f aca="false">MAX(0,MIN(1,P136/100+$D$5))</f>
        <v>0.517184497043877</v>
      </c>
      <c r="S136" s="57" t="s">
        <v>132</v>
      </c>
      <c r="T136" s="55" t="n">
        <v>780.975243810953</v>
      </c>
    </row>
    <row r="137" customFormat="false" ht="15" hidden="false" customHeight="false" outlineLevel="0" collapsed="false">
      <c r="A137" s="21" t="s">
        <v>189</v>
      </c>
      <c r="B137" s="21" t="s">
        <v>269</v>
      </c>
      <c r="C137" s="21" t="s">
        <v>269</v>
      </c>
      <c r="D137" s="37" t="n">
        <f aca="false">ROUND(Q137*R137,0)</f>
        <v>634</v>
      </c>
      <c r="E137" s="37" t="n">
        <f aca="false">ROUND(Q137,0)-D137</f>
        <v>636</v>
      </c>
      <c r="F137" s="37" t="n">
        <f aca="false">IF(COUNTA(D137:E137)=0,"",SUM(D137:E137))</f>
        <v>1270</v>
      </c>
      <c r="G137" s="52" t="n">
        <f aca="false">IF(OR(F137="",F137=0),"",D137/F137)</f>
        <v>0.499212598425197</v>
      </c>
      <c r="H137" s="52" t="n">
        <f aca="false">IF(OR(F137="",F137=0),"",E137/F137)</f>
        <v>0.500787401574803</v>
      </c>
      <c r="I137" s="21" t="s">
        <v>122</v>
      </c>
      <c r="J137" s="53" t="n">
        <v>1.86991787188303</v>
      </c>
      <c r="K137" s="52" t="n">
        <f aca="false">IF(G137="","",MAX(0,G137-J137/100))</f>
        <v>0.480513419706367</v>
      </c>
      <c r="L137" s="52" t="n">
        <f aca="false">IF(G137="","",MIN(1,G137+J137/100))</f>
        <v>0.517911777144027</v>
      </c>
      <c r="M137" s="37" t="n">
        <f aca="false">IF(F137="","",ROUND(F137*J137/100,0))</f>
        <v>24</v>
      </c>
      <c r="P137" s="54" t="n">
        <v>-0.379691164379235</v>
      </c>
      <c r="Q137" s="55" t="n">
        <f aca="false">T137*$H$5</f>
        <v>1270.44031093837</v>
      </c>
      <c r="R137" s="56" t="n">
        <f aca="false">MAX(0,MIN(1,P137/100+$D$5))</f>
        <v>0.498853561493425</v>
      </c>
      <c r="S137" s="57" t="s">
        <v>225</v>
      </c>
      <c r="T137" s="55" t="n">
        <v>1270.44031093837</v>
      </c>
    </row>
    <row r="138" customFormat="false" ht="15" hidden="false" customHeight="false" outlineLevel="0" collapsed="false">
      <c r="A138" s="21" t="s">
        <v>189</v>
      </c>
      <c r="B138" s="21" t="s">
        <v>270</v>
      </c>
      <c r="C138" s="21" t="s">
        <v>271</v>
      </c>
      <c r="D138" s="37" t="n">
        <f aca="false">ROUND(Q138*R138,0)</f>
        <v>301</v>
      </c>
      <c r="E138" s="37" t="n">
        <f aca="false">ROUND(Q138,0)-D138</f>
        <v>274</v>
      </c>
      <c r="F138" s="37" t="n">
        <f aca="false">IF(COUNTA(D138:E138)=0,"",SUM(D138:E138))</f>
        <v>575</v>
      </c>
      <c r="G138" s="52" t="n">
        <f aca="false">IF(OR(F138="",F138=0),"",D138/F138)</f>
        <v>0.523478260869565</v>
      </c>
      <c r="H138" s="52" t="n">
        <f aca="false">IF(OR(F138="",F138=0),"",E138/F138)</f>
        <v>0.476521739130435</v>
      </c>
      <c r="I138" s="21" t="s">
        <v>122</v>
      </c>
      <c r="J138" s="53" t="n">
        <v>2.87918965002339</v>
      </c>
      <c r="K138" s="52" t="n">
        <f aca="false">IF(G138="","",MAX(0,G138-J138/100))</f>
        <v>0.494686364369331</v>
      </c>
      <c r="L138" s="52" t="n">
        <f aca="false">IF(G138="","",MIN(1,G138+J138/100))</f>
        <v>0.552270157369799</v>
      </c>
      <c r="M138" s="37" t="n">
        <f aca="false">IF(F138="","",ROUND(F138*J138/100,0))</f>
        <v>17</v>
      </c>
      <c r="P138" s="54" t="n">
        <v>2.02707010272516</v>
      </c>
      <c r="Q138" s="55" t="n">
        <f aca="false">T138*$H$5</f>
        <v>574.764397905759</v>
      </c>
      <c r="R138" s="56" t="n">
        <f aca="false">MAX(0,MIN(1,P138/100+$D$5))</f>
        <v>0.522921174164469</v>
      </c>
      <c r="S138" s="57" t="s">
        <v>123</v>
      </c>
      <c r="T138" s="55" t="n">
        <v>574.764397905759</v>
      </c>
    </row>
    <row r="139" customFormat="false" ht="15" hidden="false" customHeight="false" outlineLevel="0" collapsed="false">
      <c r="A139" s="21" t="s">
        <v>189</v>
      </c>
      <c r="B139" s="21" t="s">
        <v>270</v>
      </c>
      <c r="C139" s="21" t="s">
        <v>272</v>
      </c>
      <c r="D139" s="37" t="n">
        <f aca="false">ROUND(Q139*R139,0)</f>
        <v>418</v>
      </c>
      <c r="E139" s="37" t="n">
        <f aca="false">ROUND(Q139,0)-D139</f>
        <v>371</v>
      </c>
      <c r="F139" s="37" t="n">
        <f aca="false">IF(COUNTA(D139:E139)=0,"",SUM(D139:E139))</f>
        <v>789</v>
      </c>
      <c r="G139" s="52" t="n">
        <f aca="false">IF(OR(F139="",F139=0),"",D139/F139)</f>
        <v>0.5297845373891</v>
      </c>
      <c r="H139" s="52" t="n">
        <f aca="false">IF(OR(F139="",F139=0),"",E139/F139)</f>
        <v>0.4702154626109</v>
      </c>
      <c r="I139" s="21" t="s">
        <v>122</v>
      </c>
      <c r="J139" s="53" t="n">
        <v>1.9254971424187</v>
      </c>
      <c r="K139" s="52" t="n">
        <f aca="false">IF(G139="","",MAX(0,G139-J139/100))</f>
        <v>0.510529565964913</v>
      </c>
      <c r="L139" s="52" t="n">
        <f aca="false">IF(G139="","",MIN(1,G139+J139/100))</f>
        <v>0.549039508813287</v>
      </c>
      <c r="M139" s="37" t="n">
        <f aca="false">IF(F139="","",ROUND(F139*J139/100,0))</f>
        <v>15</v>
      </c>
      <c r="P139" s="54" t="n">
        <v>2.72290801597577</v>
      </c>
      <c r="Q139" s="55" t="n">
        <f aca="false">T139*$H$5</f>
        <v>789.294258373206</v>
      </c>
      <c r="R139" s="56" t="n">
        <f aca="false">MAX(0,MIN(1,P139/100+$D$5))</f>
        <v>0.529879553296975</v>
      </c>
      <c r="S139" s="57" t="s">
        <v>132</v>
      </c>
      <c r="T139" s="55" t="n">
        <v>789.294258373206</v>
      </c>
    </row>
    <row r="140" customFormat="false" ht="15" hidden="false" customHeight="false" outlineLevel="0" collapsed="false">
      <c r="A140" s="21" t="s">
        <v>189</v>
      </c>
      <c r="B140" s="21" t="s">
        <v>273</v>
      </c>
      <c r="C140" s="21" t="s">
        <v>274</v>
      </c>
      <c r="D140" s="37" t="n">
        <f aca="false">ROUND(Q140*R140,0)</f>
        <v>445</v>
      </c>
      <c r="E140" s="37" t="n">
        <f aca="false">ROUND(Q140,0)-D140</f>
        <v>371</v>
      </c>
      <c r="F140" s="37" t="n">
        <f aca="false">IF(COUNTA(D140:E140)=0,"",SUM(D140:E140))</f>
        <v>816</v>
      </c>
      <c r="G140" s="52" t="n">
        <f aca="false">IF(OR(F140="",F140=0),"",D140/F140)</f>
        <v>0.545343137254902</v>
      </c>
      <c r="H140" s="52" t="n">
        <f aca="false">IF(OR(F140="",F140=0),"",E140/F140)</f>
        <v>0.454656862745098</v>
      </c>
      <c r="I140" s="21" t="s">
        <v>122</v>
      </c>
      <c r="J140" s="53" t="n">
        <v>1.9254971424187</v>
      </c>
      <c r="K140" s="52" t="n">
        <f aca="false">IF(G140="","",MAX(0,G140-J140/100))</f>
        <v>0.526088165830715</v>
      </c>
      <c r="L140" s="52" t="n">
        <f aca="false">IF(G140="","",MIN(1,G140+J140/100))</f>
        <v>0.564598108679089</v>
      </c>
      <c r="M140" s="37" t="n">
        <f aca="false">IF(F140="","",ROUND(F140*J140/100,0))</f>
        <v>16</v>
      </c>
      <c r="P140" s="54" t="n">
        <v>4.26816878941961</v>
      </c>
      <c r="Q140" s="55" t="n">
        <f aca="false">T140*$H$5</f>
        <v>816.283916083916</v>
      </c>
      <c r="R140" s="56" t="n">
        <f aca="false">MAX(0,MIN(1,P140/100+$D$5))</f>
        <v>0.545332161031414</v>
      </c>
      <c r="S140" s="57" t="s">
        <v>132</v>
      </c>
      <c r="T140" s="55" t="n">
        <v>816.283916083916</v>
      </c>
    </row>
    <row r="141" customFormat="false" ht="15" hidden="false" customHeight="false" outlineLevel="0" collapsed="false">
      <c r="A141" s="21" t="s">
        <v>189</v>
      </c>
      <c r="B141" s="21" t="s">
        <v>273</v>
      </c>
      <c r="C141" s="21" t="s">
        <v>275</v>
      </c>
      <c r="D141" s="37" t="n">
        <f aca="false">ROUND(Q141*R141,0)</f>
        <v>440</v>
      </c>
      <c r="E141" s="37" t="n">
        <f aca="false">ROUND(Q141,0)-D141</f>
        <v>383</v>
      </c>
      <c r="F141" s="37" t="n">
        <f aca="false">IF(COUNTA(D141:E141)=0,"",SUM(D141:E141))</f>
        <v>823</v>
      </c>
      <c r="G141" s="52" t="n">
        <f aca="false">IF(OR(F141="",F141=0),"",D141/F141)</f>
        <v>0.534629404617254</v>
      </c>
      <c r="H141" s="52" t="n">
        <f aca="false">IF(OR(F141="",F141=0),"",E141/F141)</f>
        <v>0.465370595382746</v>
      </c>
      <c r="I141" s="21" t="s">
        <v>122</v>
      </c>
      <c r="J141" s="53" t="n">
        <v>1.9254971424187</v>
      </c>
      <c r="K141" s="52" t="n">
        <f aca="false">IF(G141="","",MAX(0,G141-J141/100))</f>
        <v>0.515374433193067</v>
      </c>
      <c r="L141" s="52" t="n">
        <f aca="false">IF(G141="","",MIN(1,G141+J141/100))</f>
        <v>0.553884376041441</v>
      </c>
      <c r="M141" s="37" t="n">
        <f aca="false">IF(F141="","",ROUND(F141*J141/100,0))</f>
        <v>16</v>
      </c>
      <c r="P141" s="54" t="n">
        <v>3.15714236958959</v>
      </c>
      <c r="Q141" s="55" t="n">
        <f aca="false">T141*$H$5</f>
        <v>823.491577335375</v>
      </c>
      <c r="R141" s="56" t="n">
        <f aca="false">MAX(0,MIN(1,P141/100+$D$5))</f>
        <v>0.534221896833114</v>
      </c>
      <c r="S141" s="57" t="s">
        <v>132</v>
      </c>
      <c r="T141" s="55" t="n">
        <v>823.491577335375</v>
      </c>
    </row>
    <row r="142" customFormat="false" ht="15" hidden="false" customHeight="false" outlineLevel="0" collapsed="false">
      <c r="A142" s="21" t="s">
        <v>189</v>
      </c>
      <c r="B142" s="21" t="s">
        <v>273</v>
      </c>
      <c r="C142" s="21" t="s">
        <v>276</v>
      </c>
      <c r="D142" s="37" t="n">
        <f aca="false">ROUND(Q142*R142,0)</f>
        <v>639</v>
      </c>
      <c r="E142" s="37" t="n">
        <f aca="false">ROUND(Q142,0)-D142</f>
        <v>592</v>
      </c>
      <c r="F142" s="37" t="n">
        <f aca="false">IF(COUNTA(D142:E142)=0,"",SUM(D142:E142))</f>
        <v>1231</v>
      </c>
      <c r="G142" s="52" t="n">
        <f aca="false">IF(OR(F142="",F142=0),"",D142/F142)</f>
        <v>0.519090170593014</v>
      </c>
      <c r="H142" s="52" t="n">
        <f aca="false">IF(OR(F142="",F142=0),"",E142/F142)</f>
        <v>0.480909829406986</v>
      </c>
      <c r="I142" s="21" t="s">
        <v>122</v>
      </c>
      <c r="J142" s="53" t="n">
        <v>1.86991787188303</v>
      </c>
      <c r="K142" s="52" t="n">
        <f aca="false">IF(G142="","",MAX(0,G142-J142/100))</f>
        <v>0.500390991874184</v>
      </c>
      <c r="L142" s="52" t="n">
        <f aca="false">IF(G142="","",MIN(1,G142+J142/100))</f>
        <v>0.537789349311844</v>
      </c>
      <c r="M142" s="37" t="n">
        <f aca="false">IF(F142="","",ROUND(F142*J142/100,0))</f>
        <v>23</v>
      </c>
      <c r="P142" s="54" t="n">
        <v>1.64687832698689</v>
      </c>
      <c r="Q142" s="55" t="n">
        <f aca="false">T142*$H$5</f>
        <v>1230.51149425287</v>
      </c>
      <c r="R142" s="56" t="n">
        <f aca="false">MAX(0,MIN(1,P142/100+$D$5))</f>
        <v>0.519119256407087</v>
      </c>
      <c r="S142" s="57" t="s">
        <v>225</v>
      </c>
      <c r="T142" s="55" t="n">
        <v>1230.51149425287</v>
      </c>
    </row>
    <row r="143" customFormat="false" ht="15" hidden="false" customHeight="false" outlineLevel="0" collapsed="false">
      <c r="A143" s="21" t="s">
        <v>189</v>
      </c>
      <c r="B143" s="21" t="s">
        <v>273</v>
      </c>
      <c r="C143" s="21" t="s">
        <v>277</v>
      </c>
      <c r="D143" s="37" t="n">
        <f aca="false">ROUND(Q143*R143,0)</f>
        <v>520</v>
      </c>
      <c r="E143" s="37" t="n">
        <f aca="false">ROUND(Q143,0)-D143</f>
        <v>407</v>
      </c>
      <c r="F143" s="37" t="n">
        <f aca="false">IF(COUNTA(D143:E143)=0,"",SUM(D143:E143))</f>
        <v>927</v>
      </c>
      <c r="G143" s="52" t="n">
        <f aca="false">IF(OR(F143="",F143=0),"",D143/F143)</f>
        <v>0.560949298813377</v>
      </c>
      <c r="H143" s="52" t="n">
        <f aca="false">IF(OR(F143="",F143=0),"",E143/F143)</f>
        <v>0.439050701186624</v>
      </c>
      <c r="I143" s="21" t="s">
        <v>122</v>
      </c>
      <c r="J143" s="53" t="n">
        <v>1.9254971424187</v>
      </c>
      <c r="K143" s="52" t="n">
        <f aca="false">IF(G143="","",MAX(0,G143-J143/100))</f>
        <v>0.541694327389189</v>
      </c>
      <c r="L143" s="52" t="n">
        <f aca="false">IF(G143="","",MIN(1,G143+J143/100))</f>
        <v>0.580204270237564</v>
      </c>
      <c r="M143" s="37" t="n">
        <f aca="false">IF(F143="","",ROUND(F143*J143/100,0))</f>
        <v>18</v>
      </c>
      <c r="P143" s="54" t="n">
        <v>5.85855261957298</v>
      </c>
      <c r="Q143" s="55" t="n">
        <f aca="false">T143*$H$5</f>
        <v>927.10447761194</v>
      </c>
      <c r="R143" s="56" t="n">
        <f aca="false">MAX(0,MIN(1,P143/100+$D$5))</f>
        <v>0.561235999332948</v>
      </c>
      <c r="S143" s="57" t="s">
        <v>132</v>
      </c>
      <c r="T143" s="55" t="n">
        <v>927.10447761194</v>
      </c>
    </row>
    <row r="144" customFormat="false" ht="15" hidden="false" customHeight="false" outlineLevel="0" collapsed="false">
      <c r="A144" s="21" t="s">
        <v>189</v>
      </c>
      <c r="B144" s="21" t="s">
        <v>273</v>
      </c>
      <c r="C144" s="21" t="s">
        <v>278</v>
      </c>
      <c r="D144" s="37" t="n">
        <f aca="false">ROUND(Q144*R144,0)</f>
        <v>292</v>
      </c>
      <c r="E144" s="37" t="n">
        <f aca="false">ROUND(Q144,0)-D144</f>
        <v>279</v>
      </c>
      <c r="F144" s="37" t="n">
        <f aca="false">IF(COUNTA(D144:E144)=0,"",SUM(D144:E144))</f>
        <v>571</v>
      </c>
      <c r="G144" s="52" t="n">
        <f aca="false">IF(OR(F144="",F144=0),"",D144/F144)</f>
        <v>0.51138353765324</v>
      </c>
      <c r="H144" s="52" t="n">
        <f aca="false">IF(OR(F144="",F144=0),"",E144/F144)</f>
        <v>0.48861646234676</v>
      </c>
      <c r="I144" s="21" t="s">
        <v>122</v>
      </c>
      <c r="J144" s="53" t="n">
        <v>2.87918965002339</v>
      </c>
      <c r="K144" s="52" t="n">
        <f aca="false">IF(G144="","",MAX(0,G144-J144/100))</f>
        <v>0.482591641153006</v>
      </c>
      <c r="L144" s="52" t="n">
        <f aca="false">IF(G144="","",MIN(1,G144+J144/100))</f>
        <v>0.540175434153474</v>
      </c>
      <c r="M144" s="37" t="n">
        <f aca="false">IF(F144="","",ROUND(F144*J144/100,0))</f>
        <v>16</v>
      </c>
      <c r="P144" s="54" t="n">
        <v>0.898977126484512</v>
      </c>
      <c r="Q144" s="55" t="n">
        <f aca="false">T144*$H$5</f>
        <v>571.471747700394</v>
      </c>
      <c r="R144" s="56" t="n">
        <f aca="false">MAX(0,MIN(1,P144/100+$D$5))</f>
        <v>0.511640244402063</v>
      </c>
      <c r="S144" s="57" t="s">
        <v>123</v>
      </c>
      <c r="T144" s="55" t="n">
        <v>571.471747700394</v>
      </c>
    </row>
    <row r="145" customFormat="false" ht="15" hidden="false" customHeight="false" outlineLevel="0" collapsed="false">
      <c r="A145" s="21" t="s">
        <v>189</v>
      </c>
      <c r="B145" s="21" t="s">
        <v>273</v>
      </c>
      <c r="C145" s="21" t="s">
        <v>279</v>
      </c>
      <c r="D145" s="37" t="n">
        <f aca="false">ROUND(Q145*R145,0)</f>
        <v>569</v>
      </c>
      <c r="E145" s="37" t="n">
        <f aca="false">ROUND(Q145,0)-D145</f>
        <v>436</v>
      </c>
      <c r="F145" s="37" t="n">
        <f aca="false">IF(COUNTA(D145:E145)=0,"",SUM(D145:E145))</f>
        <v>1005</v>
      </c>
      <c r="G145" s="52" t="n">
        <f aca="false">IF(OR(F145="",F145=0),"",D145/F145)</f>
        <v>0.566169154228856</v>
      </c>
      <c r="H145" s="52" t="n">
        <f aca="false">IF(OR(F145="",F145=0),"",E145/F145)</f>
        <v>0.433830845771144</v>
      </c>
      <c r="I145" s="21" t="s">
        <v>122</v>
      </c>
      <c r="J145" s="53" t="n">
        <v>1.9254971424187</v>
      </c>
      <c r="K145" s="52" t="n">
        <f aca="false">IF(G145="","",MAX(0,G145-J145/100))</f>
        <v>0.546914182804669</v>
      </c>
      <c r="L145" s="52" t="n">
        <f aca="false">IF(G145="","",MIN(1,G145+J145/100))</f>
        <v>0.585424125653043</v>
      </c>
      <c r="M145" s="37" t="n">
        <f aca="false">IF(F145="","",ROUND(F145*J145/100,0))</f>
        <v>19</v>
      </c>
      <c r="P145" s="54" t="n">
        <v>6.35722229103721</v>
      </c>
      <c r="Q145" s="55" t="n">
        <f aca="false">T145*$H$5</f>
        <v>1004.53991291727</v>
      </c>
      <c r="R145" s="56" t="n">
        <f aca="false">MAX(0,MIN(1,P145/100+$D$5))</f>
        <v>0.56622269604759</v>
      </c>
      <c r="S145" s="57" t="s">
        <v>132</v>
      </c>
      <c r="T145" s="55" t="n">
        <v>1004.53991291727</v>
      </c>
    </row>
    <row r="146" customFormat="false" ht="15" hidden="false" customHeight="false" outlineLevel="0" collapsed="false">
      <c r="A146" s="21" t="s">
        <v>189</v>
      </c>
      <c r="B146" s="21" t="s">
        <v>280</v>
      </c>
      <c r="C146" s="21" t="s">
        <v>281</v>
      </c>
      <c r="D146" s="37" t="n">
        <f aca="false">ROUND(Q146*R146,0)</f>
        <v>412</v>
      </c>
      <c r="E146" s="37" t="n">
        <f aca="false">ROUND(Q146,0)-D146</f>
        <v>191</v>
      </c>
      <c r="F146" s="37" t="n">
        <f aca="false">IF(COUNTA(D146:E146)=0,"",SUM(D146:E146))</f>
        <v>603</v>
      </c>
      <c r="G146" s="52" t="n">
        <f aca="false">IF(OR(F146="",F146=0),"",D146/F146)</f>
        <v>0.683250414593698</v>
      </c>
      <c r="H146" s="52" t="n">
        <f aca="false">IF(OR(F146="",F146=0),"",E146/F146)</f>
        <v>0.316749585406302</v>
      </c>
      <c r="I146" s="21" t="s">
        <v>122</v>
      </c>
      <c r="J146" s="53" t="n">
        <v>2.87918965002339</v>
      </c>
      <c r="K146" s="52" t="n">
        <f aca="false">IF(G146="","",MAX(0,G146-J146/100))</f>
        <v>0.654458518093464</v>
      </c>
      <c r="L146" s="52" t="n">
        <f aca="false">IF(G146="","",MIN(1,G146+J146/100))</f>
        <v>0.712042311093932</v>
      </c>
      <c r="M146" s="37" t="n">
        <f aca="false">IF(F146="","",ROUND(F146*J146/100,0))</f>
        <v>17</v>
      </c>
      <c r="P146" s="54" t="n">
        <v>18.043824779595</v>
      </c>
      <c r="Q146" s="55" t="n">
        <f aca="false">T146*$H$5</f>
        <v>603.200953137411</v>
      </c>
      <c r="R146" s="56" t="n">
        <f aca="false">MAX(0,MIN(1,P146/100+$D$5))</f>
        <v>0.683088720933168</v>
      </c>
      <c r="S146" s="57" t="s">
        <v>123</v>
      </c>
      <c r="T146" s="55" t="n">
        <v>603.200953137411</v>
      </c>
    </row>
    <row r="147" customFormat="false" ht="15" hidden="false" customHeight="false" outlineLevel="0" collapsed="false">
      <c r="A147" s="21" t="s">
        <v>189</v>
      </c>
      <c r="B147" s="21" t="s">
        <v>280</v>
      </c>
      <c r="C147" s="21" t="s">
        <v>282</v>
      </c>
      <c r="D147" s="37" t="n">
        <f aca="false">ROUND(Q147*R147,0)</f>
        <v>312</v>
      </c>
      <c r="E147" s="37" t="n">
        <f aca="false">ROUND(Q147,0)-D147</f>
        <v>172</v>
      </c>
      <c r="F147" s="37" t="n">
        <f aca="false">IF(COUNTA(D147:E147)=0,"",SUM(D147:E147))</f>
        <v>484</v>
      </c>
      <c r="G147" s="52" t="n">
        <f aca="false">IF(OR(F147="",F147=0),"",D147/F147)</f>
        <v>0.644628099173554</v>
      </c>
      <c r="H147" s="52" t="n">
        <f aca="false">IF(OR(F147="",F147=0),"",E147/F147)</f>
        <v>0.355371900826446</v>
      </c>
      <c r="I147" s="21" t="s">
        <v>122</v>
      </c>
      <c r="J147" s="53" t="n">
        <v>2.87918965002339</v>
      </c>
      <c r="K147" s="52" t="n">
        <f aca="false">IF(G147="","",MAX(0,G147-J147/100))</f>
        <v>0.61583620267332</v>
      </c>
      <c r="L147" s="52" t="n">
        <f aca="false">IF(G147="","",MIN(1,G147+J147/100))</f>
        <v>0.673419995673788</v>
      </c>
      <c r="M147" s="37" t="n">
        <f aca="false">IF(F147="","",ROUND(F147*J147/100,0))</f>
        <v>14</v>
      </c>
      <c r="P147" s="54" t="n">
        <v>14.0984113365219</v>
      </c>
      <c r="Q147" s="55" t="n">
        <f aca="false">T147*$H$5</f>
        <v>483.987301587302</v>
      </c>
      <c r="R147" s="56" t="n">
        <f aca="false">MAX(0,MIN(1,P147/100+$D$5))</f>
        <v>0.643634586502436</v>
      </c>
      <c r="S147" s="57" t="s">
        <v>123</v>
      </c>
      <c r="T147" s="55" t="n">
        <v>483.987301587302</v>
      </c>
    </row>
    <row r="148" customFormat="false" ht="15" hidden="false" customHeight="false" outlineLevel="0" collapsed="false">
      <c r="A148" s="21" t="s">
        <v>189</v>
      </c>
      <c r="B148" s="21" t="s">
        <v>280</v>
      </c>
      <c r="C148" s="21" t="s">
        <v>283</v>
      </c>
      <c r="D148" s="37" t="n">
        <f aca="false">ROUND(Q148*R148,0)</f>
        <v>336</v>
      </c>
      <c r="E148" s="37" t="n">
        <f aca="false">ROUND(Q148,0)-D148</f>
        <v>179</v>
      </c>
      <c r="F148" s="37" t="n">
        <f aca="false">IF(COUNTA(D148:E148)=0,"",SUM(D148:E148))</f>
        <v>515</v>
      </c>
      <c r="G148" s="52" t="n">
        <f aca="false">IF(OR(F148="",F148=0),"",D148/F148)</f>
        <v>0.652427184466019</v>
      </c>
      <c r="H148" s="52" t="n">
        <f aca="false">IF(OR(F148="",F148=0),"",E148/F148)</f>
        <v>0.347572815533981</v>
      </c>
      <c r="I148" s="21" t="s">
        <v>122</v>
      </c>
      <c r="J148" s="53" t="n">
        <v>2.87918965002339</v>
      </c>
      <c r="K148" s="52" t="n">
        <f aca="false">IF(G148="","",MAX(0,G148-J148/100))</f>
        <v>0.623635287965786</v>
      </c>
      <c r="L148" s="52" t="n">
        <f aca="false">IF(G148="","",MIN(1,G148+J148/100))</f>
        <v>0.681219080966253</v>
      </c>
      <c r="M148" s="37" t="n">
        <f aca="false">IF(F148="","",ROUND(F148*J148/100,0))</f>
        <v>15</v>
      </c>
      <c r="P148" s="54" t="n">
        <v>14.9496502740209</v>
      </c>
      <c r="Q148" s="55" t="n">
        <f aca="false">T148*$H$5</f>
        <v>515.312883435583</v>
      </c>
      <c r="R148" s="56" t="n">
        <f aca="false">MAX(0,MIN(1,P148/100+$D$5))</f>
        <v>0.652146975877427</v>
      </c>
      <c r="S148" s="57" t="s">
        <v>123</v>
      </c>
      <c r="T148" s="55" t="n">
        <v>515.312883435583</v>
      </c>
    </row>
    <row r="149" customFormat="false" ht="15" hidden="false" customHeight="false" outlineLevel="0" collapsed="false">
      <c r="A149" s="21" t="s">
        <v>189</v>
      </c>
      <c r="B149" s="21" t="s">
        <v>284</v>
      </c>
      <c r="C149" s="21" t="s">
        <v>284</v>
      </c>
      <c r="D149" s="37" t="n">
        <f aca="false">ROUND(Q149*R149,0)</f>
        <v>270</v>
      </c>
      <c r="E149" s="37" t="n">
        <f aca="false">ROUND(Q149,0)-D149</f>
        <v>214</v>
      </c>
      <c r="F149" s="37" t="n">
        <f aca="false">IF(COUNTA(D149:E149)=0,"",SUM(D149:E149))</f>
        <v>484</v>
      </c>
      <c r="G149" s="52" t="n">
        <f aca="false">IF(OR(F149="",F149=0),"",D149/F149)</f>
        <v>0.557851239669422</v>
      </c>
      <c r="H149" s="52" t="n">
        <f aca="false">IF(OR(F149="",F149=0),"",E149/F149)</f>
        <v>0.442148760330579</v>
      </c>
      <c r="I149" s="21" t="s">
        <v>122</v>
      </c>
      <c r="J149" s="53" t="n">
        <v>2.87918965002339</v>
      </c>
      <c r="K149" s="52" t="n">
        <f aca="false">IF(G149="","",MAX(0,G149-J149/100))</f>
        <v>0.529059343169188</v>
      </c>
      <c r="L149" s="52" t="n">
        <f aca="false">IF(G149="","",MIN(1,G149+J149/100))</f>
        <v>0.586643136169655</v>
      </c>
      <c r="M149" s="37" t="n">
        <f aca="false">IF(F149="","",ROUND(F149*J149/100,0))</f>
        <v>14</v>
      </c>
      <c r="P149" s="54" t="n">
        <v>5.52372187088252</v>
      </c>
      <c r="Q149" s="55" t="n">
        <f aca="false">T149*$H$5</f>
        <v>483.913480885312</v>
      </c>
      <c r="R149" s="56" t="n">
        <f aca="false">MAX(0,MIN(1,P149/100+$D$5))</f>
        <v>0.557887691846043</v>
      </c>
      <c r="S149" s="57" t="s">
        <v>123</v>
      </c>
      <c r="T149" s="55" t="n">
        <v>483.913480885312</v>
      </c>
    </row>
    <row r="150" customFormat="false" ht="15" hidden="false" customHeight="false" outlineLevel="0" collapsed="false">
      <c r="A150" s="21" t="s">
        <v>189</v>
      </c>
      <c r="B150" s="21" t="s">
        <v>285</v>
      </c>
      <c r="C150" s="21" t="s">
        <v>285</v>
      </c>
      <c r="D150" s="37" t="n">
        <f aca="false">ROUND(Q150*R150,0)</f>
        <v>515</v>
      </c>
      <c r="E150" s="37" t="n">
        <f aca="false">ROUND(Q150,0)-D150</f>
        <v>1142</v>
      </c>
      <c r="F150" s="37" t="n">
        <f aca="false">IF(COUNTA(D150:E150)=0,"",SUM(D150:E150))</f>
        <v>1657</v>
      </c>
      <c r="G150" s="52" t="n">
        <f aca="false">IF(OR(F150="",F150=0),"",D150/F150)</f>
        <v>0.310802655401328</v>
      </c>
      <c r="H150" s="52" t="n">
        <f aca="false">IF(OR(F150="",F150=0),"",E150/F150)</f>
        <v>0.689197344598672</v>
      </c>
      <c r="I150" s="21" t="s">
        <v>122</v>
      </c>
      <c r="J150" s="53" t="n">
        <v>1.86991787188303</v>
      </c>
      <c r="K150" s="52" t="n">
        <f aca="false">IF(G150="","",MAX(0,G150-J150/100))</f>
        <v>0.292103476682497</v>
      </c>
      <c r="L150" s="52" t="n">
        <f aca="false">IF(G150="","",MIN(1,G150+J150/100))</f>
        <v>0.329501834120158</v>
      </c>
      <c r="M150" s="37" t="n">
        <f aca="false">IF(F150="","",ROUND(F150*J150/100,0))</f>
        <v>31</v>
      </c>
      <c r="P150" s="54" t="n">
        <v>-19.1503480312815</v>
      </c>
      <c r="Q150" s="55" t="n">
        <f aca="false">T150*$H$5</f>
        <v>1656.73758865248</v>
      </c>
      <c r="R150" s="56" t="n">
        <f aca="false">MAX(0,MIN(1,P150/100+$D$5))</f>
        <v>0.311146992824402</v>
      </c>
      <c r="S150" s="57" t="s">
        <v>225</v>
      </c>
      <c r="T150" s="55" t="n">
        <v>1656.73758865248</v>
      </c>
    </row>
    <row r="151" customFormat="false" ht="15" hidden="false" customHeight="false" outlineLevel="0" collapsed="false">
      <c r="A151" s="21" t="s">
        <v>189</v>
      </c>
      <c r="B151" s="21" t="s">
        <v>286</v>
      </c>
      <c r="C151" s="21" t="s">
        <v>287</v>
      </c>
      <c r="D151" s="37" t="n">
        <f aca="false">ROUND(Q151*R151,0)</f>
        <v>774</v>
      </c>
      <c r="E151" s="37" t="n">
        <f aca="false">ROUND(Q151,0)-D151</f>
        <v>766</v>
      </c>
      <c r="F151" s="37" t="n">
        <f aca="false">IF(COUNTA(D151:E151)=0,"",SUM(D151:E151))</f>
        <v>1540</v>
      </c>
      <c r="G151" s="52" t="n">
        <f aca="false">IF(OR(F151="",F151=0),"",D151/F151)</f>
        <v>0.502597402597403</v>
      </c>
      <c r="H151" s="52" t="n">
        <f aca="false">IF(OR(F151="",F151=0),"",E151/F151)</f>
        <v>0.497402597402597</v>
      </c>
      <c r="I151" s="21" t="s">
        <v>122</v>
      </c>
      <c r="J151" s="53" t="n">
        <v>1.86991787188303</v>
      </c>
      <c r="K151" s="52" t="n">
        <f aca="false">IF(G151="","",MAX(0,G151-J151/100))</f>
        <v>0.483898223878572</v>
      </c>
      <c r="L151" s="52" t="n">
        <f aca="false">IF(G151="","",MIN(1,G151+J151/100))</f>
        <v>0.521296581316233</v>
      </c>
      <c r="M151" s="37" t="n">
        <f aca="false">IF(F151="","",ROUND(F151*J151/100,0))</f>
        <v>29</v>
      </c>
      <c r="P151" s="54" t="n">
        <v>-0.0527283564444731</v>
      </c>
      <c r="Q151" s="55" t="n">
        <f aca="false">T151*$H$5</f>
        <v>1540.493339254</v>
      </c>
      <c r="R151" s="56" t="n">
        <f aca="false">MAX(0,MIN(1,P151/100+$D$5))</f>
        <v>0.502123189572773</v>
      </c>
      <c r="S151" s="57" t="s">
        <v>225</v>
      </c>
      <c r="T151" s="55" t="n">
        <v>1540.493339254</v>
      </c>
    </row>
    <row r="152" customFormat="false" ht="15" hidden="false" customHeight="false" outlineLevel="0" collapsed="false">
      <c r="A152" s="21" t="s">
        <v>189</v>
      </c>
      <c r="B152" s="21" t="s">
        <v>286</v>
      </c>
      <c r="C152" s="21" t="s">
        <v>288</v>
      </c>
      <c r="D152" s="37" t="n">
        <f aca="false">ROUND(Q152*R152,0)</f>
        <v>861</v>
      </c>
      <c r="E152" s="37" t="n">
        <f aca="false">ROUND(Q152,0)-D152</f>
        <v>834</v>
      </c>
      <c r="F152" s="37" t="n">
        <f aca="false">IF(COUNTA(D152:E152)=0,"",SUM(D152:E152))</f>
        <v>1695</v>
      </c>
      <c r="G152" s="52" t="n">
        <f aca="false">IF(OR(F152="",F152=0),"",D152/F152)</f>
        <v>0.507964601769912</v>
      </c>
      <c r="H152" s="52" t="n">
        <f aca="false">IF(OR(F152="",F152=0),"",E152/F152)</f>
        <v>0.492035398230089</v>
      </c>
      <c r="I152" s="21" t="s">
        <v>122</v>
      </c>
      <c r="J152" s="53" t="n">
        <v>1.86991787188303</v>
      </c>
      <c r="K152" s="52" t="n">
        <f aca="false">IF(G152="","",MAX(0,G152-J152/100))</f>
        <v>0.489265423051081</v>
      </c>
      <c r="L152" s="52" t="n">
        <f aca="false">IF(G152="","",MIN(1,G152+J152/100))</f>
        <v>0.526663780488742</v>
      </c>
      <c r="M152" s="37" t="n">
        <f aca="false">IF(F152="","",ROUND(F152*J152/100,0))</f>
        <v>32</v>
      </c>
      <c r="P152" s="54" t="n">
        <v>0.505242949534133</v>
      </c>
      <c r="Q152" s="55" t="n">
        <f aca="false">T152*$H$5</f>
        <v>1695.44705882353</v>
      </c>
      <c r="R152" s="56" t="n">
        <f aca="false">MAX(0,MIN(1,P152/100+$D$5))</f>
        <v>0.507702902632559</v>
      </c>
      <c r="S152" s="57" t="s">
        <v>225</v>
      </c>
      <c r="T152" s="55" t="n">
        <v>1695.44705882353</v>
      </c>
    </row>
    <row r="153" customFormat="false" ht="15" hidden="false" customHeight="false" outlineLevel="0" collapsed="false">
      <c r="A153" s="21" t="s">
        <v>189</v>
      </c>
      <c r="B153" s="21" t="s">
        <v>286</v>
      </c>
      <c r="C153" s="21" t="s">
        <v>289</v>
      </c>
      <c r="D153" s="37" t="n">
        <f aca="false">ROUND(Q153*R153,0)</f>
        <v>1498</v>
      </c>
      <c r="E153" s="37" t="n">
        <f aca="false">ROUND(Q153,0)-D153</f>
        <v>1467</v>
      </c>
      <c r="F153" s="37" t="n">
        <f aca="false">IF(COUNTA(D153:E153)=0,"",SUM(D153:E153))</f>
        <v>2965</v>
      </c>
      <c r="G153" s="52" t="n">
        <f aca="false">IF(OR(F153="",F153=0),"",D153/F153)</f>
        <v>0.505227655986509</v>
      </c>
      <c r="H153" s="52" t="n">
        <f aca="false">IF(OR(F153="",F153=0),"",E153/F153)</f>
        <v>0.494772344013491</v>
      </c>
      <c r="I153" s="21" t="s">
        <v>122</v>
      </c>
      <c r="J153" s="53" t="n">
        <v>1.86991787188303</v>
      </c>
      <c r="K153" s="52" t="n">
        <f aca="false">IF(G153="","",MAX(0,G153-J153/100))</f>
        <v>0.486528477267679</v>
      </c>
      <c r="L153" s="52" t="n">
        <f aca="false">IF(G153="","",MIN(1,G153+J153/100))</f>
        <v>0.52392683470534</v>
      </c>
      <c r="M153" s="37" t="n">
        <f aca="false">IF(F153="","",ROUND(F153*J153/100,0))</f>
        <v>55</v>
      </c>
      <c r="P153" s="54" t="n">
        <v>0.252196569925126</v>
      </c>
      <c r="Q153" s="55" t="n">
        <f aca="false">T153*$H$5</f>
        <v>2965.37262012693</v>
      </c>
      <c r="R153" s="56" t="n">
        <f aca="false">MAX(0,MIN(1,P153/100+$D$5))</f>
        <v>0.505172438836469</v>
      </c>
      <c r="S153" s="57" t="s">
        <v>225</v>
      </c>
      <c r="T153" s="55" t="n">
        <v>2965.37262012693</v>
      </c>
    </row>
    <row r="154" customFormat="false" ht="15" hidden="false" customHeight="false" outlineLevel="0" collapsed="false">
      <c r="A154" s="21" t="s">
        <v>189</v>
      </c>
      <c r="B154" s="21" t="s">
        <v>286</v>
      </c>
      <c r="C154" s="21" t="s">
        <v>290</v>
      </c>
      <c r="D154" s="37" t="n">
        <f aca="false">ROUND(Q154*R154,0)</f>
        <v>755</v>
      </c>
      <c r="E154" s="37" t="n">
        <f aca="false">ROUND(Q154,0)-D154</f>
        <v>753</v>
      </c>
      <c r="F154" s="37" t="n">
        <f aca="false">IF(COUNTA(D154:E154)=0,"",SUM(D154:E154))</f>
        <v>1508</v>
      </c>
      <c r="G154" s="52" t="n">
        <f aca="false">IF(OR(F154="",F154=0),"",D154/F154)</f>
        <v>0.500663129973475</v>
      </c>
      <c r="H154" s="52" t="n">
        <f aca="false">IF(OR(F154="",F154=0),"",E154/F154)</f>
        <v>0.499336870026525</v>
      </c>
      <c r="I154" s="21" t="s">
        <v>122</v>
      </c>
      <c r="J154" s="53" t="n">
        <v>1.86991787188303</v>
      </c>
      <c r="K154" s="52" t="n">
        <f aca="false">IF(G154="","",MAX(0,G154-J154/100))</f>
        <v>0.481963951254645</v>
      </c>
      <c r="L154" s="52" t="n">
        <f aca="false">IF(G154="","",MIN(1,G154+J154/100))</f>
        <v>0.519362308692305</v>
      </c>
      <c r="M154" s="37" t="n">
        <f aca="false">IF(F154="","",ROUND(F154*J154/100,0))</f>
        <v>28</v>
      </c>
      <c r="P154" s="54" t="n">
        <v>-0.155043132648568</v>
      </c>
      <c r="Q154" s="55" t="n">
        <f aca="false">T154*$H$5</f>
        <v>1507.62659380692</v>
      </c>
      <c r="R154" s="56" t="n">
        <f aca="false">MAX(0,MIN(1,P154/100+$D$5))</f>
        <v>0.501100041810732</v>
      </c>
      <c r="S154" s="57" t="s">
        <v>225</v>
      </c>
      <c r="T154" s="55" t="n">
        <v>1507.62659380692</v>
      </c>
    </row>
    <row r="155" customFormat="false" ht="15" hidden="false" customHeight="false" outlineLevel="0" collapsed="false">
      <c r="A155" s="21" t="s">
        <v>189</v>
      </c>
      <c r="B155" s="21" t="s">
        <v>286</v>
      </c>
      <c r="C155" s="21" t="s">
        <v>291</v>
      </c>
      <c r="D155" s="37" t="n">
        <f aca="false">ROUND(Q155*R155,0)</f>
        <v>700</v>
      </c>
      <c r="E155" s="37" t="n">
        <f aca="false">ROUND(Q155,0)-D155</f>
        <v>684</v>
      </c>
      <c r="F155" s="37" t="n">
        <f aca="false">IF(COUNTA(D155:E155)=0,"",SUM(D155:E155))</f>
        <v>1384</v>
      </c>
      <c r="G155" s="52" t="n">
        <f aca="false">IF(OR(F155="",F155=0),"",D155/F155)</f>
        <v>0.505780346820809</v>
      </c>
      <c r="H155" s="52" t="n">
        <f aca="false">IF(OR(F155="",F155=0),"",E155/F155)</f>
        <v>0.494219653179191</v>
      </c>
      <c r="I155" s="21" t="s">
        <v>122</v>
      </c>
      <c r="J155" s="53" t="n">
        <v>1.86991787188303</v>
      </c>
      <c r="K155" s="52" t="n">
        <f aca="false">IF(G155="","",MAX(0,G155-J155/100))</f>
        <v>0.487081168101979</v>
      </c>
      <c r="L155" s="52" t="n">
        <f aca="false">IF(G155="","",MIN(1,G155+J155/100))</f>
        <v>0.52447952553964</v>
      </c>
      <c r="M155" s="37" t="n">
        <f aca="false">IF(F155="","",ROUND(F155*J155/100,0))</f>
        <v>26</v>
      </c>
      <c r="P155" s="54" t="n">
        <v>0.284811922920648</v>
      </c>
      <c r="Q155" s="55" t="n">
        <f aca="false">T155*$H$5</f>
        <v>1383.95299145299</v>
      </c>
      <c r="R155" s="56" t="n">
        <f aca="false">MAX(0,MIN(1,P155/100+$D$5))</f>
        <v>0.505498592366424</v>
      </c>
      <c r="S155" s="57" t="s">
        <v>225</v>
      </c>
      <c r="T155" s="55" t="n">
        <v>1383.95299145299</v>
      </c>
    </row>
    <row r="156" customFormat="false" ht="15" hidden="false" customHeight="false" outlineLevel="0" collapsed="false">
      <c r="A156" s="21" t="s">
        <v>189</v>
      </c>
      <c r="B156" s="21" t="s">
        <v>286</v>
      </c>
      <c r="C156" s="21" t="s">
        <v>292</v>
      </c>
      <c r="D156" s="37" t="n">
        <f aca="false">ROUND(Q156*R156,0)</f>
        <v>597</v>
      </c>
      <c r="E156" s="37" t="n">
        <f aca="false">ROUND(Q156,0)-D156</f>
        <v>585</v>
      </c>
      <c r="F156" s="37" t="n">
        <f aca="false">IF(COUNTA(D156:E156)=0,"",SUM(D156:E156))</f>
        <v>1182</v>
      </c>
      <c r="G156" s="52" t="n">
        <f aca="false">IF(OR(F156="",F156=0),"",D156/F156)</f>
        <v>0.50507614213198</v>
      </c>
      <c r="H156" s="52" t="n">
        <f aca="false">IF(OR(F156="",F156=0),"",E156/F156)</f>
        <v>0.49492385786802</v>
      </c>
      <c r="I156" s="21" t="s">
        <v>122</v>
      </c>
      <c r="J156" s="53" t="n">
        <v>1.9254971424187</v>
      </c>
      <c r="K156" s="52" t="n">
        <f aca="false">IF(G156="","",MAX(0,G156-J156/100))</f>
        <v>0.485821170707793</v>
      </c>
      <c r="L156" s="52" t="n">
        <f aca="false">IF(G156="","",MIN(1,G156+J156/100))</f>
        <v>0.524331113556167</v>
      </c>
      <c r="M156" s="37" t="n">
        <f aca="false">IF(F156="","",ROUND(F156*J156/100,0))</f>
        <v>23</v>
      </c>
      <c r="P156" s="54" t="n">
        <v>0.24427932739826</v>
      </c>
      <c r="Q156" s="55" t="n">
        <f aca="false">T156*$H$5</f>
        <v>1181.67359413203</v>
      </c>
      <c r="R156" s="56" t="n">
        <f aca="false">MAX(0,MIN(1,P156/100+$D$5))</f>
        <v>0.5050932664112</v>
      </c>
      <c r="S156" s="57" t="s">
        <v>132</v>
      </c>
      <c r="T156" s="55" t="n">
        <v>1181.67359413203</v>
      </c>
    </row>
    <row r="157" customFormat="false" ht="15" hidden="false" customHeight="false" outlineLevel="0" collapsed="false">
      <c r="A157" s="21" t="s">
        <v>189</v>
      </c>
      <c r="B157" s="21" t="s">
        <v>286</v>
      </c>
      <c r="C157" s="21" t="s">
        <v>293</v>
      </c>
      <c r="D157" s="37" t="n">
        <f aca="false">ROUND(Q157*R157,0)</f>
        <v>1281</v>
      </c>
      <c r="E157" s="37" t="n">
        <f aca="false">ROUND(Q157,0)-D157</f>
        <v>1221</v>
      </c>
      <c r="F157" s="37" t="n">
        <f aca="false">IF(COUNTA(D157:E157)=0,"",SUM(D157:E157))</f>
        <v>2502</v>
      </c>
      <c r="G157" s="52" t="n">
        <f aca="false">IF(OR(F157="",F157=0),"",D157/F157)</f>
        <v>0.511990407673861</v>
      </c>
      <c r="H157" s="52" t="n">
        <f aca="false">IF(OR(F157="",F157=0),"",E157/F157)</f>
        <v>0.488009592326139</v>
      </c>
      <c r="I157" s="21" t="s">
        <v>122</v>
      </c>
      <c r="J157" s="53" t="n">
        <v>1.86991787188303</v>
      </c>
      <c r="K157" s="52" t="n">
        <f aca="false">IF(G157="","",MAX(0,G157-J157/100))</f>
        <v>0.493291228955031</v>
      </c>
      <c r="L157" s="52" t="n">
        <f aca="false">IF(G157="","",MIN(1,G157+J157/100))</f>
        <v>0.530689586392691</v>
      </c>
      <c r="M157" s="37" t="n">
        <f aca="false">IF(F157="","",ROUND(F157*J157/100,0))</f>
        <v>47</v>
      </c>
      <c r="P157" s="54" t="n">
        <v>0.923877604954239</v>
      </c>
      <c r="Q157" s="55" t="n">
        <f aca="false">T157*$H$5</f>
        <v>2501.86532550992</v>
      </c>
      <c r="R157" s="56" t="n">
        <f aca="false">MAX(0,MIN(1,P157/100+$D$5))</f>
        <v>0.51188924918676</v>
      </c>
      <c r="S157" s="57" t="s">
        <v>225</v>
      </c>
      <c r="T157" s="55" t="n">
        <v>2501.86532550992</v>
      </c>
    </row>
    <row r="158" customFormat="false" ht="15" hidden="false" customHeight="false" outlineLevel="0" collapsed="false">
      <c r="A158" s="21" t="s">
        <v>189</v>
      </c>
      <c r="B158" s="21" t="s">
        <v>286</v>
      </c>
      <c r="C158" s="21" t="s">
        <v>294</v>
      </c>
      <c r="D158" s="37" t="n">
        <f aca="false">ROUND(Q158*R158,0)</f>
        <v>687</v>
      </c>
      <c r="E158" s="37" t="n">
        <f aca="false">ROUND(Q158,0)-D158</f>
        <v>626</v>
      </c>
      <c r="F158" s="37" t="n">
        <f aca="false">IF(COUNTA(D158:E158)=0,"",SUM(D158:E158))</f>
        <v>1313</v>
      </c>
      <c r="G158" s="52" t="n">
        <f aca="false">IF(OR(F158="",F158=0),"",D158/F158)</f>
        <v>0.523229246001523</v>
      </c>
      <c r="H158" s="52" t="n">
        <f aca="false">IF(OR(F158="",F158=0),"",E158/F158)</f>
        <v>0.476770753998477</v>
      </c>
      <c r="I158" s="21" t="s">
        <v>122</v>
      </c>
      <c r="J158" s="53" t="n">
        <v>1.86991787188303</v>
      </c>
      <c r="K158" s="52" t="n">
        <f aca="false">IF(G158="","",MAX(0,G158-J158/100))</f>
        <v>0.504530067282693</v>
      </c>
      <c r="L158" s="52" t="n">
        <f aca="false">IF(G158="","",MIN(1,G158+J158/100))</f>
        <v>0.541928424720354</v>
      </c>
      <c r="M158" s="37" t="n">
        <f aca="false">IF(F158="","",ROUND(F158*J158/100,0))</f>
        <v>25</v>
      </c>
      <c r="P158" s="54" t="n">
        <v>2.09388445578583</v>
      </c>
      <c r="Q158" s="55" t="n">
        <f aca="false">T158*$H$5</f>
        <v>1312.71</v>
      </c>
      <c r="R158" s="56" t="n">
        <f aca="false">MAX(0,MIN(1,P158/100+$D$5))</f>
        <v>0.523589317695076</v>
      </c>
      <c r="S158" s="57" t="s">
        <v>225</v>
      </c>
      <c r="T158" s="55" t="n">
        <v>1312.71</v>
      </c>
    </row>
    <row r="159" customFormat="false" ht="15" hidden="false" customHeight="false" outlineLevel="0" collapsed="false">
      <c r="A159" s="21" t="s">
        <v>189</v>
      </c>
      <c r="B159" s="21" t="s">
        <v>286</v>
      </c>
      <c r="C159" s="21" t="s">
        <v>295</v>
      </c>
      <c r="D159" s="37" t="n">
        <f aca="false">ROUND(Q159*R159,0)</f>
        <v>678</v>
      </c>
      <c r="E159" s="37" t="n">
        <f aca="false">ROUND(Q159,0)-D159</f>
        <v>664</v>
      </c>
      <c r="F159" s="37" t="n">
        <f aca="false">IF(COUNTA(D159:E159)=0,"",SUM(D159:E159))</f>
        <v>1342</v>
      </c>
      <c r="G159" s="52" t="n">
        <f aca="false">IF(OR(F159="",F159=0),"",D159/F159)</f>
        <v>0.50521609538003</v>
      </c>
      <c r="H159" s="52" t="n">
        <f aca="false">IF(OR(F159="",F159=0),"",E159/F159)</f>
        <v>0.49478390461997</v>
      </c>
      <c r="I159" s="21" t="s">
        <v>122</v>
      </c>
      <c r="J159" s="53" t="n">
        <v>1.86991787188303</v>
      </c>
      <c r="K159" s="52" t="n">
        <f aca="false">IF(G159="","",MAX(0,G159-J159/100))</f>
        <v>0.486516916661199</v>
      </c>
      <c r="L159" s="52" t="n">
        <f aca="false">IF(G159="","",MIN(1,G159+J159/100))</f>
        <v>0.52391527409886</v>
      </c>
      <c r="M159" s="37" t="n">
        <f aca="false">IF(F159="","",ROUND(F159*J159/100,0))</f>
        <v>25</v>
      </c>
      <c r="P159" s="54" t="n">
        <v>0.265511683142216</v>
      </c>
      <c r="Q159" s="55" t="n">
        <f aca="false">T159*$H$5</f>
        <v>1342.44359673025</v>
      </c>
      <c r="R159" s="56" t="n">
        <f aca="false">MAX(0,MIN(1,P159/100+$D$5))</f>
        <v>0.50530558996864</v>
      </c>
      <c r="S159" s="57" t="s">
        <v>225</v>
      </c>
      <c r="T159" s="55" t="n">
        <v>1342.44359673025</v>
      </c>
    </row>
    <row r="160" customFormat="false" ht="15" hidden="false" customHeight="false" outlineLevel="0" collapsed="false">
      <c r="A160" s="21" t="s">
        <v>189</v>
      </c>
      <c r="B160" s="21" t="s">
        <v>286</v>
      </c>
      <c r="C160" s="21" t="s">
        <v>296</v>
      </c>
      <c r="D160" s="37" t="n">
        <f aca="false">ROUND(Q160*R160,0)</f>
        <v>450</v>
      </c>
      <c r="E160" s="37" t="n">
        <f aca="false">ROUND(Q160,0)-D160</f>
        <v>430</v>
      </c>
      <c r="F160" s="37" t="n">
        <f aca="false">IF(COUNTA(D160:E160)=0,"",SUM(D160:E160))</f>
        <v>880</v>
      </c>
      <c r="G160" s="52" t="n">
        <f aca="false">IF(OR(F160="",F160=0),"",D160/F160)</f>
        <v>0.511363636363636</v>
      </c>
      <c r="H160" s="52" t="n">
        <f aca="false">IF(OR(F160="",F160=0),"",E160/F160)</f>
        <v>0.488636363636364</v>
      </c>
      <c r="I160" s="21" t="s">
        <v>122</v>
      </c>
      <c r="J160" s="53" t="n">
        <v>1.9254971424187</v>
      </c>
      <c r="K160" s="52" t="n">
        <f aca="false">IF(G160="","",MAX(0,G160-J160/100))</f>
        <v>0.492108664939449</v>
      </c>
      <c r="L160" s="52" t="n">
        <f aca="false">IF(G160="","",MIN(1,G160+J160/100))</f>
        <v>0.530618607787823</v>
      </c>
      <c r="M160" s="37" t="n">
        <f aca="false">IF(F160="","",ROUND(F160*J160/100,0))</f>
        <v>17</v>
      </c>
      <c r="P160" s="54" t="n">
        <v>0.915598877273925</v>
      </c>
      <c r="Q160" s="55" t="n">
        <f aca="false">T160*$H$5</f>
        <v>879.958115183246</v>
      </c>
      <c r="R160" s="56" t="n">
        <f aca="false">MAX(0,MIN(1,P160/100+$D$5))</f>
        <v>0.511806461909957</v>
      </c>
      <c r="S160" s="57" t="s">
        <v>132</v>
      </c>
      <c r="T160" s="55" t="n">
        <v>879.958115183246</v>
      </c>
    </row>
    <row r="161" customFormat="false" ht="15" hidden="false" customHeight="false" outlineLevel="0" collapsed="false">
      <c r="A161" s="21" t="s">
        <v>189</v>
      </c>
      <c r="B161" s="21" t="s">
        <v>297</v>
      </c>
      <c r="C161" s="21" t="s">
        <v>297</v>
      </c>
      <c r="D161" s="37" t="n">
        <f aca="false">ROUND(Q161*R161,0)</f>
        <v>824</v>
      </c>
      <c r="E161" s="37" t="n">
        <f aca="false">ROUND(Q161,0)-D161</f>
        <v>1380</v>
      </c>
      <c r="F161" s="37" t="n">
        <f aca="false">IF(COUNTA(D161:E161)=0,"",SUM(D161:E161))</f>
        <v>2204</v>
      </c>
      <c r="G161" s="52" t="n">
        <f aca="false">IF(OR(F161="",F161=0),"",D161/F161)</f>
        <v>0.373865698729583</v>
      </c>
      <c r="H161" s="52" t="n">
        <f aca="false">IF(OR(F161="",F161=0),"",E161/F161)</f>
        <v>0.626134301270418</v>
      </c>
      <c r="I161" s="21" t="s">
        <v>122</v>
      </c>
      <c r="J161" s="53" t="n">
        <v>1.86991787188303</v>
      </c>
      <c r="K161" s="52" t="n">
        <f aca="false">IF(G161="","",MAX(0,G161-J161/100))</f>
        <v>0.355166520010752</v>
      </c>
      <c r="L161" s="52" t="n">
        <f aca="false">IF(G161="","",MIN(1,G161+J161/100))</f>
        <v>0.392564877448413</v>
      </c>
      <c r="M161" s="37" t="n">
        <f aca="false">IF(F161="","",ROUND(F161*J161/100,0))</f>
        <v>41</v>
      </c>
      <c r="P161" s="54" t="n">
        <v>-12.8685428787234</v>
      </c>
      <c r="Q161" s="55" t="n">
        <f aca="false">T161*$H$5</f>
        <v>2204.10505319149</v>
      </c>
      <c r="R161" s="56" t="n">
        <f aca="false">MAX(0,MIN(1,P161/100+$D$5))</f>
        <v>0.373965044349984</v>
      </c>
      <c r="S161" s="57" t="s">
        <v>225</v>
      </c>
      <c r="T161" s="55" t="n">
        <v>2204.10505319149</v>
      </c>
    </row>
    <row r="162" customFormat="false" ht="15" hidden="false" customHeight="false" outlineLevel="0" collapsed="false">
      <c r="A162" s="21" t="s">
        <v>189</v>
      </c>
      <c r="B162" s="21" t="s">
        <v>298</v>
      </c>
      <c r="C162" s="21" t="s">
        <v>298</v>
      </c>
      <c r="D162" s="37" t="n">
        <f aca="false">ROUND(Q162*R162,0)</f>
        <v>443</v>
      </c>
      <c r="E162" s="37" t="n">
        <f aca="false">ROUND(Q162,0)-D162</f>
        <v>794</v>
      </c>
      <c r="F162" s="37" t="n">
        <f aca="false">IF(COUNTA(D162:E162)=0,"",SUM(D162:E162))</f>
        <v>1237</v>
      </c>
      <c r="G162" s="52" t="n">
        <f aca="false">IF(OR(F162="",F162=0),"",D162/F162)</f>
        <v>0.358124494745352</v>
      </c>
      <c r="H162" s="52" t="n">
        <f aca="false">IF(OR(F162="",F162=0),"",E162/F162)</f>
        <v>0.641875505254648</v>
      </c>
      <c r="I162" s="21" t="s">
        <v>122</v>
      </c>
      <c r="J162" s="53" t="n">
        <v>1.86991787188303</v>
      </c>
      <c r="K162" s="52" t="n">
        <f aca="false">IF(G162="","",MAX(0,G162-J162/100))</f>
        <v>0.339425316026521</v>
      </c>
      <c r="L162" s="52" t="n">
        <f aca="false">IF(G162="","",MIN(1,G162+J162/100))</f>
        <v>0.376823673464182</v>
      </c>
      <c r="M162" s="37" t="n">
        <f aca="false">IF(F162="","",ROUND(F162*J162/100,0))</f>
        <v>23</v>
      </c>
      <c r="P162" s="54" t="n">
        <v>-14.437328333545</v>
      </c>
      <c r="Q162" s="55" t="n">
        <f aca="false">T162*$H$5</f>
        <v>1236.97340124505</v>
      </c>
      <c r="R162" s="56" t="n">
        <f aca="false">MAX(0,MIN(1,P162/100+$D$5))</f>
        <v>0.358277189801768</v>
      </c>
      <c r="S162" s="57" t="s">
        <v>225</v>
      </c>
      <c r="T162" s="55" t="n">
        <v>1236.97340124505</v>
      </c>
    </row>
    <row r="163" customFormat="false" ht="15" hidden="false" customHeight="false" outlineLevel="0" collapsed="false">
      <c r="A163" s="21" t="s">
        <v>189</v>
      </c>
      <c r="B163" s="21" t="s">
        <v>299</v>
      </c>
      <c r="C163" s="21" t="s">
        <v>300</v>
      </c>
      <c r="D163" s="37" t="n">
        <f aca="false">ROUND(Q163*R163,0)</f>
        <v>156</v>
      </c>
      <c r="E163" s="37" t="n">
        <f aca="false">ROUND(Q163,0)-D163</f>
        <v>407</v>
      </c>
      <c r="F163" s="37" t="n">
        <f aca="false">IF(COUNTA(D163:E163)=0,"",SUM(D163:E163))</f>
        <v>563</v>
      </c>
      <c r="G163" s="52" t="n">
        <f aca="false">IF(OR(F163="",F163=0),"",D163/F163)</f>
        <v>0.27708703374778</v>
      </c>
      <c r="H163" s="52" t="n">
        <f aca="false">IF(OR(F163="",F163=0),"",E163/F163)</f>
        <v>0.72291296625222</v>
      </c>
      <c r="I163" s="21" t="s">
        <v>122</v>
      </c>
      <c r="J163" s="53" t="n">
        <v>2.87918965002339</v>
      </c>
      <c r="K163" s="52" t="n">
        <f aca="false">IF(G163="","",MAX(0,G163-J163/100))</f>
        <v>0.248295137247546</v>
      </c>
      <c r="L163" s="52" t="n">
        <f aca="false">IF(G163="","",MIN(1,G163+J163/100))</f>
        <v>0.305878930248014</v>
      </c>
      <c r="M163" s="37" t="n">
        <f aca="false">IF(F163="","",ROUND(F163*J163/100,0))</f>
        <v>16</v>
      </c>
      <c r="P163" s="54" t="n">
        <v>-22.5423849881552</v>
      </c>
      <c r="Q163" s="55" t="n">
        <f aca="false">T163*$H$5</f>
        <v>562.682926829269</v>
      </c>
      <c r="R163" s="56" t="n">
        <f aca="false">MAX(0,MIN(1,P163/100+$D$5))</f>
        <v>0.277226623255666</v>
      </c>
      <c r="S163" s="57" t="s">
        <v>123</v>
      </c>
      <c r="T163" s="55" t="n">
        <v>562.682926829269</v>
      </c>
    </row>
    <row r="164" customFormat="false" ht="15" hidden="false" customHeight="false" outlineLevel="0" collapsed="false">
      <c r="A164" s="21" t="s">
        <v>189</v>
      </c>
      <c r="B164" s="21" t="s">
        <v>299</v>
      </c>
      <c r="C164" s="21" t="s">
        <v>301</v>
      </c>
      <c r="D164" s="37" t="n">
        <f aca="false">ROUND(Q164*R164,0)</f>
        <v>122</v>
      </c>
      <c r="E164" s="37" t="n">
        <f aca="false">ROUND(Q164,0)-D164</f>
        <v>261</v>
      </c>
      <c r="F164" s="37" t="n">
        <f aca="false">IF(COUNTA(D164:E164)=0,"",SUM(D164:E164))</f>
        <v>383</v>
      </c>
      <c r="G164" s="52" t="n">
        <f aca="false">IF(OR(F164="",F164=0),"",D164/F164)</f>
        <v>0.318537859007833</v>
      </c>
      <c r="H164" s="52" t="n">
        <f aca="false">IF(OR(F164="",F164=0),"",E164/F164)</f>
        <v>0.681462140992167</v>
      </c>
      <c r="I164" s="21" t="s">
        <v>122</v>
      </c>
      <c r="J164" s="53" t="n">
        <v>2.87918965002339</v>
      </c>
      <c r="K164" s="52" t="n">
        <f aca="false">IF(G164="","",MAX(0,G164-J164/100))</f>
        <v>0.289745962507599</v>
      </c>
      <c r="L164" s="52" t="n">
        <f aca="false">IF(G164="","",MIN(1,G164+J164/100))</f>
        <v>0.347329755508067</v>
      </c>
      <c r="M164" s="37" t="n">
        <f aca="false">IF(F164="","",ROUND(F164*J164/100,0))</f>
        <v>11</v>
      </c>
      <c r="P164" s="54" t="n">
        <v>-18.4814073287014</v>
      </c>
      <c r="Q164" s="55" t="n">
        <f aca="false">T164*$H$5</f>
        <v>382.588235294118</v>
      </c>
      <c r="R164" s="56" t="n">
        <f aca="false">MAX(0,MIN(1,P164/100+$D$5))</f>
        <v>0.317836399850204</v>
      </c>
      <c r="S164" s="57" t="s">
        <v>123</v>
      </c>
      <c r="T164" s="55" t="n">
        <v>382.588235294118</v>
      </c>
    </row>
    <row r="165" customFormat="false" ht="15" hidden="false" customHeight="false" outlineLevel="0" collapsed="false">
      <c r="A165" s="21" t="s">
        <v>189</v>
      </c>
      <c r="B165" s="21" t="s">
        <v>299</v>
      </c>
      <c r="C165" s="21" t="s">
        <v>302</v>
      </c>
      <c r="D165" s="37" t="n">
        <f aca="false">ROUND(Q165*R165,0)</f>
        <v>415</v>
      </c>
      <c r="E165" s="37" t="n">
        <f aca="false">ROUND(Q165,0)-D165</f>
        <v>833</v>
      </c>
      <c r="F165" s="37" t="n">
        <f aca="false">IF(COUNTA(D165:E165)=0,"",SUM(D165:E165))</f>
        <v>1248</v>
      </c>
      <c r="G165" s="52" t="n">
        <f aca="false">IF(OR(F165="",F165=0),"",D165/F165)</f>
        <v>0.332532051282051</v>
      </c>
      <c r="H165" s="52" t="n">
        <f aca="false">IF(OR(F165="",F165=0),"",E165/F165)</f>
        <v>0.667467948717949</v>
      </c>
      <c r="I165" s="21" t="s">
        <v>122</v>
      </c>
      <c r="J165" s="53" t="n">
        <v>1.86991787188303</v>
      </c>
      <c r="K165" s="52" t="n">
        <f aca="false">IF(G165="","",MAX(0,G165-J165/100))</f>
        <v>0.313832872563221</v>
      </c>
      <c r="L165" s="52" t="n">
        <f aca="false">IF(G165="","",MIN(1,G165+J165/100))</f>
        <v>0.351231230000882</v>
      </c>
      <c r="M165" s="37" t="n">
        <f aca="false">IF(F165="","",ROUND(F165*J165/100,0))</f>
        <v>23</v>
      </c>
      <c r="P165" s="54" t="n">
        <v>-17.0504826947927</v>
      </c>
      <c r="Q165" s="55" t="n">
        <f aca="false">T165*$H$5</f>
        <v>1248.26659471128</v>
      </c>
      <c r="R165" s="56" t="n">
        <f aca="false">MAX(0,MIN(1,P165/100+$D$5))</f>
        <v>0.332145646189291</v>
      </c>
      <c r="S165" s="57" t="s">
        <v>225</v>
      </c>
      <c r="T165" s="55" t="n">
        <v>1248.26659471128</v>
      </c>
    </row>
    <row r="166" customFormat="false" ht="15" hidden="false" customHeight="false" outlineLevel="0" collapsed="false">
      <c r="A166" s="21" t="s">
        <v>189</v>
      </c>
      <c r="B166" s="21" t="s">
        <v>303</v>
      </c>
      <c r="C166" s="21" t="s">
        <v>303</v>
      </c>
      <c r="D166" s="37" t="n">
        <f aca="false">ROUND(Q166*R166,0)</f>
        <v>802</v>
      </c>
      <c r="E166" s="37" t="n">
        <f aca="false">ROUND(Q166,0)-D166</f>
        <v>711</v>
      </c>
      <c r="F166" s="37" t="n">
        <f aca="false">IF(COUNTA(D166:E166)=0,"",SUM(D166:E166))</f>
        <v>1513</v>
      </c>
      <c r="G166" s="52" t="n">
        <f aca="false">IF(OR(F166="",F166=0),"",D166/F166)</f>
        <v>0.530072703238599</v>
      </c>
      <c r="H166" s="52" t="n">
        <f aca="false">IF(OR(F166="",F166=0),"",E166/F166)</f>
        <v>0.469927296761401</v>
      </c>
      <c r="I166" s="21" t="s">
        <v>122</v>
      </c>
      <c r="J166" s="53" t="n">
        <v>1.86991787188303</v>
      </c>
      <c r="K166" s="52" t="n">
        <f aca="false">IF(G166="","",MAX(0,G166-J166/100))</f>
        <v>0.511373524519769</v>
      </c>
      <c r="L166" s="52" t="n">
        <f aca="false">IF(G166="","",MIN(1,G166+J166/100))</f>
        <v>0.548771881957429</v>
      </c>
      <c r="M166" s="37" t="n">
        <f aca="false">IF(F166="","",ROUND(F166*J166/100,0))</f>
        <v>28</v>
      </c>
      <c r="P166" s="54" t="n">
        <v>2.78151893908942</v>
      </c>
      <c r="Q166" s="55" t="n">
        <f aca="false">T166*$H$5</f>
        <v>1512.74151436031</v>
      </c>
      <c r="R166" s="56" t="n">
        <f aca="false">MAX(0,MIN(1,P166/100+$D$5))</f>
        <v>0.530465662528112</v>
      </c>
      <c r="S166" s="57" t="s">
        <v>225</v>
      </c>
      <c r="T166" s="55" t="n">
        <v>1512.74151436031</v>
      </c>
    </row>
    <row r="167" customFormat="false" ht="15" hidden="false" customHeight="false" outlineLevel="0" collapsed="false">
      <c r="A167" s="21" t="s">
        <v>189</v>
      </c>
      <c r="B167" s="21" t="s">
        <v>304</v>
      </c>
      <c r="C167" s="21" t="s">
        <v>305</v>
      </c>
      <c r="D167" s="37" t="n">
        <f aca="false">ROUND(Q167*R167,0)</f>
        <v>798</v>
      </c>
      <c r="E167" s="37" t="n">
        <f aca="false">ROUND(Q167,0)-D167</f>
        <v>1103</v>
      </c>
      <c r="F167" s="37" t="n">
        <f aca="false">IF(COUNTA(D167:E167)=0,"",SUM(D167:E167))</f>
        <v>1901</v>
      </c>
      <c r="G167" s="52" t="n">
        <f aca="false">IF(OR(F167="",F167=0),"",D167/F167)</f>
        <v>0.41977906365071</v>
      </c>
      <c r="H167" s="52" t="n">
        <f aca="false">IF(OR(F167="",F167=0),"",E167/F167)</f>
        <v>0.58022093634929</v>
      </c>
      <c r="I167" s="21" t="s">
        <v>122</v>
      </c>
      <c r="J167" s="53" t="n">
        <v>1.86991787188303</v>
      </c>
      <c r="K167" s="52" t="n">
        <f aca="false">IF(G167="","",MAX(0,G167-J167/100))</f>
        <v>0.40107988493188</v>
      </c>
      <c r="L167" s="52" t="n">
        <f aca="false">IF(G167="","",MIN(1,G167+J167/100))</f>
        <v>0.43847824236954</v>
      </c>
      <c r="M167" s="37" t="n">
        <f aca="false">IF(F167="","",ROUND(F167*J167/100,0))</f>
        <v>36</v>
      </c>
      <c r="P167" s="54" t="n">
        <v>-8.27868446705922</v>
      </c>
      <c r="Q167" s="55" t="n">
        <f aca="false">T167*$H$5</f>
        <v>1901.09148856393</v>
      </c>
      <c r="R167" s="56" t="n">
        <f aca="false">MAX(0,MIN(1,P167/100+$D$5))</f>
        <v>0.419863628466625</v>
      </c>
      <c r="S167" s="57" t="s">
        <v>225</v>
      </c>
      <c r="T167" s="55" t="n">
        <v>1901.09148856393</v>
      </c>
    </row>
    <row r="168" customFormat="false" ht="15" hidden="false" customHeight="false" outlineLevel="0" collapsed="false">
      <c r="A168" s="21" t="s">
        <v>189</v>
      </c>
      <c r="B168" s="21" t="s">
        <v>304</v>
      </c>
      <c r="C168" s="21" t="s">
        <v>306</v>
      </c>
      <c r="D168" s="37" t="n">
        <f aca="false">ROUND(Q168*R168,0)</f>
        <v>675</v>
      </c>
      <c r="E168" s="37" t="n">
        <f aca="false">ROUND(Q168,0)-D168</f>
        <v>1005</v>
      </c>
      <c r="F168" s="37" t="n">
        <f aca="false">IF(COUNTA(D168:E168)=0,"",SUM(D168:E168))</f>
        <v>1680</v>
      </c>
      <c r="G168" s="52" t="n">
        <f aca="false">IF(OR(F168="",F168=0),"",D168/F168)</f>
        <v>0.401785714285714</v>
      </c>
      <c r="H168" s="52" t="n">
        <f aca="false">IF(OR(F168="",F168=0),"",E168/F168)</f>
        <v>0.598214285714286</v>
      </c>
      <c r="I168" s="21" t="s">
        <v>122</v>
      </c>
      <c r="J168" s="53" t="n">
        <v>1.86991787188303</v>
      </c>
      <c r="K168" s="52" t="n">
        <f aca="false">IF(G168="","",MAX(0,G168-J168/100))</f>
        <v>0.383086535566884</v>
      </c>
      <c r="L168" s="52" t="n">
        <f aca="false">IF(G168="","",MIN(1,G168+J168/100))</f>
        <v>0.420484893004545</v>
      </c>
      <c r="M168" s="37" t="n">
        <f aca="false">IF(F168="","",ROUND(F168*J168/100,0))</f>
        <v>31</v>
      </c>
      <c r="P168" s="54" t="n">
        <v>-10.1115848985822</v>
      </c>
      <c r="Q168" s="55" t="n">
        <f aca="false">T168*$H$5</f>
        <v>1679.87969094923</v>
      </c>
      <c r="R168" s="56" t="n">
        <f aca="false">MAX(0,MIN(1,P168/100+$D$5))</f>
        <v>0.401534624151396</v>
      </c>
      <c r="S168" s="57" t="s">
        <v>225</v>
      </c>
      <c r="T168" s="55" t="n">
        <v>1679.87969094923</v>
      </c>
    </row>
    <row r="169" customFormat="false" ht="15" hidden="false" customHeight="false" outlineLevel="0" collapsed="false">
      <c r="A169" s="21" t="s">
        <v>189</v>
      </c>
      <c r="B169" s="21" t="s">
        <v>304</v>
      </c>
      <c r="C169" s="21" t="s">
        <v>307</v>
      </c>
      <c r="D169" s="37" t="n">
        <f aca="false">ROUND(Q169*R169,0)</f>
        <v>358</v>
      </c>
      <c r="E169" s="37" t="n">
        <f aca="false">ROUND(Q169,0)-D169</f>
        <v>541</v>
      </c>
      <c r="F169" s="37" t="n">
        <f aca="false">IF(COUNTA(D169:E169)=0,"",SUM(D169:E169))</f>
        <v>899</v>
      </c>
      <c r="G169" s="52" t="n">
        <f aca="false">IF(OR(F169="",F169=0),"",D169/F169)</f>
        <v>0.398220244716352</v>
      </c>
      <c r="H169" s="52" t="n">
        <f aca="false">IF(OR(F169="",F169=0),"",E169/F169)</f>
        <v>0.601779755283649</v>
      </c>
      <c r="I169" s="21" t="s">
        <v>122</v>
      </c>
      <c r="J169" s="53" t="n">
        <v>1.9254971424187</v>
      </c>
      <c r="K169" s="52" t="n">
        <f aca="false">IF(G169="","",MAX(0,G169-J169/100))</f>
        <v>0.378965273292164</v>
      </c>
      <c r="L169" s="52" t="n">
        <f aca="false">IF(G169="","",MIN(1,G169+J169/100))</f>
        <v>0.417475216140539</v>
      </c>
      <c r="M169" s="37" t="n">
        <f aca="false">IF(F169="","",ROUND(F169*J169/100,0))</f>
        <v>17</v>
      </c>
      <c r="P169" s="54" t="n">
        <v>-10.460568330204</v>
      </c>
      <c r="Q169" s="55" t="n">
        <f aca="false">T169*$H$5</f>
        <v>898.819587628866</v>
      </c>
      <c r="R169" s="56" t="n">
        <f aca="false">MAX(0,MIN(1,P169/100+$D$5))</f>
        <v>0.398044789835177</v>
      </c>
      <c r="S169" s="57" t="s">
        <v>132</v>
      </c>
      <c r="T169" s="55" t="n">
        <v>898.819587628866</v>
      </c>
    </row>
    <row r="170" customFormat="false" ht="15" hidden="false" customHeight="false" outlineLevel="0" collapsed="false">
      <c r="A170" s="21" t="s">
        <v>189</v>
      </c>
      <c r="B170" s="21" t="s">
        <v>304</v>
      </c>
      <c r="C170" s="21" t="s">
        <v>308</v>
      </c>
      <c r="D170" s="37" t="n">
        <f aca="false">ROUND(Q170*R170,0)</f>
        <v>538</v>
      </c>
      <c r="E170" s="37" t="n">
        <f aca="false">ROUND(Q170,0)-D170</f>
        <v>789</v>
      </c>
      <c r="F170" s="37" t="n">
        <f aca="false">IF(COUNTA(D170:E170)=0,"",SUM(D170:E170))</f>
        <v>1327</v>
      </c>
      <c r="G170" s="52" t="n">
        <f aca="false">IF(OR(F170="",F170=0),"",D170/F170)</f>
        <v>0.40542577241899</v>
      </c>
      <c r="H170" s="52" t="n">
        <f aca="false">IF(OR(F170="",F170=0),"",E170/F170)</f>
        <v>0.59457422758101</v>
      </c>
      <c r="I170" s="21" t="s">
        <v>122</v>
      </c>
      <c r="J170" s="53" t="n">
        <v>1.86991787188303</v>
      </c>
      <c r="K170" s="52" t="n">
        <f aca="false">IF(G170="","",MAX(0,G170-J170/100))</f>
        <v>0.38672659370016</v>
      </c>
      <c r="L170" s="52" t="n">
        <f aca="false">IF(G170="","",MIN(1,G170+J170/100))</f>
        <v>0.424124951137821</v>
      </c>
      <c r="M170" s="37" t="n">
        <f aca="false">IF(F170="","",ROUND(F170*J170/100,0))</f>
        <v>25</v>
      </c>
      <c r="P170" s="54" t="n">
        <v>-9.73574834401345</v>
      </c>
      <c r="Q170" s="55" t="n">
        <f aca="false">T170*$H$5</f>
        <v>1327.11285266458</v>
      </c>
      <c r="R170" s="56" t="n">
        <f aca="false">MAX(0,MIN(1,P170/100+$D$5))</f>
        <v>0.405292989697083</v>
      </c>
      <c r="S170" s="57" t="s">
        <v>225</v>
      </c>
      <c r="T170" s="55" t="n">
        <v>1327.11285266458</v>
      </c>
    </row>
    <row r="171" customFormat="false" ht="15" hidden="false" customHeight="false" outlineLevel="0" collapsed="false">
      <c r="A171" s="21" t="s">
        <v>189</v>
      </c>
      <c r="B171" s="21" t="s">
        <v>304</v>
      </c>
      <c r="C171" s="21" t="s">
        <v>309</v>
      </c>
      <c r="D171" s="37" t="n">
        <f aca="false">ROUND(Q171*R171,0)</f>
        <v>450</v>
      </c>
      <c r="E171" s="37" t="n">
        <f aca="false">ROUND(Q171,0)-D171</f>
        <v>721</v>
      </c>
      <c r="F171" s="37" t="n">
        <f aca="false">IF(COUNTA(D171:E171)=0,"",SUM(D171:E171))</f>
        <v>1171</v>
      </c>
      <c r="G171" s="52" t="n">
        <f aca="false">IF(OR(F171="",F171=0),"",D171/F171)</f>
        <v>0.384286934244236</v>
      </c>
      <c r="H171" s="52" t="n">
        <f aca="false">IF(OR(F171="",F171=0),"",E171/F171)</f>
        <v>0.615713065755764</v>
      </c>
      <c r="I171" s="21" t="s">
        <v>122</v>
      </c>
      <c r="J171" s="53" t="n">
        <v>1.9254971424187</v>
      </c>
      <c r="K171" s="52" t="n">
        <f aca="false">IF(G171="","",MAX(0,G171-J171/100))</f>
        <v>0.365031962820049</v>
      </c>
      <c r="L171" s="52" t="n">
        <f aca="false">IF(G171="","",MIN(1,G171+J171/100))</f>
        <v>0.403541905668423</v>
      </c>
      <c r="M171" s="37" t="n">
        <f aca="false">IF(F171="","",ROUND(F171*J171/100,0))</f>
        <v>23</v>
      </c>
      <c r="P171" s="54" t="n">
        <v>-11.8343235373659</v>
      </c>
      <c r="Q171" s="55" t="n">
        <f aca="false">T171*$H$5</f>
        <v>1170.83890577508</v>
      </c>
      <c r="R171" s="56" t="n">
        <f aca="false">MAX(0,MIN(1,P171/100+$D$5))</f>
        <v>0.384307237763559</v>
      </c>
      <c r="S171" s="57" t="s">
        <v>132</v>
      </c>
      <c r="T171" s="55" t="n">
        <v>1170.83890577508</v>
      </c>
    </row>
    <row r="172" customFormat="false" ht="15" hidden="false" customHeight="false" outlineLevel="0" collapsed="false">
      <c r="A172" s="21" t="s">
        <v>189</v>
      </c>
      <c r="B172" s="21" t="s">
        <v>304</v>
      </c>
      <c r="C172" s="21" t="s">
        <v>310</v>
      </c>
      <c r="D172" s="37" t="n">
        <f aca="false">ROUND(Q172*R172,0)</f>
        <v>397</v>
      </c>
      <c r="E172" s="37" t="n">
        <f aca="false">ROUND(Q172,0)-D172</f>
        <v>516</v>
      </c>
      <c r="F172" s="37" t="n">
        <f aca="false">IF(COUNTA(D172:E172)=0,"",SUM(D172:E172))</f>
        <v>913</v>
      </c>
      <c r="G172" s="52" t="n">
        <f aca="false">IF(OR(F172="",F172=0),"",D172/F172)</f>
        <v>0.434830230010953</v>
      </c>
      <c r="H172" s="52" t="n">
        <f aca="false">IF(OR(F172="",F172=0),"",E172/F172)</f>
        <v>0.565169769989047</v>
      </c>
      <c r="I172" s="21" t="s">
        <v>122</v>
      </c>
      <c r="J172" s="53" t="n">
        <v>1.9254971424187</v>
      </c>
      <c r="K172" s="52" t="n">
        <f aca="false">IF(G172="","",MAX(0,G172-J172/100))</f>
        <v>0.415575258586766</v>
      </c>
      <c r="L172" s="52" t="n">
        <f aca="false">IF(G172="","",MIN(1,G172+J172/100))</f>
        <v>0.45408520143514</v>
      </c>
      <c r="M172" s="37" t="n">
        <f aca="false">IF(F172="","",ROUND(F172*J172/100,0))</f>
        <v>18</v>
      </c>
      <c r="P172" s="54" t="n">
        <v>-6.76800793814165</v>
      </c>
      <c r="Q172" s="55" t="n">
        <f aca="false">T172*$H$5</f>
        <v>912.990356083087</v>
      </c>
      <c r="R172" s="56" t="n">
        <f aca="false">MAX(0,MIN(1,P172/100+$D$5))</f>
        <v>0.434970393755801</v>
      </c>
      <c r="S172" s="57" t="s">
        <v>132</v>
      </c>
      <c r="T172" s="55" t="n">
        <v>912.990356083087</v>
      </c>
    </row>
    <row r="173" customFormat="false" ht="15" hidden="false" customHeight="false" outlineLevel="0" collapsed="false">
      <c r="A173" s="21" t="s">
        <v>189</v>
      </c>
      <c r="B173" s="21" t="s">
        <v>311</v>
      </c>
      <c r="C173" s="21" t="s">
        <v>312</v>
      </c>
      <c r="D173" s="37" t="n">
        <f aca="false">ROUND(Q173*R173,0)</f>
        <v>527</v>
      </c>
      <c r="E173" s="37" t="n">
        <f aca="false">ROUND(Q173,0)-D173</f>
        <v>492</v>
      </c>
      <c r="F173" s="37" t="n">
        <f aca="false">IF(COUNTA(D173:E173)=0,"",SUM(D173:E173))</f>
        <v>1019</v>
      </c>
      <c r="G173" s="52" t="n">
        <f aca="false">IF(OR(F173="",F173=0),"",D173/F173)</f>
        <v>0.517173699705594</v>
      </c>
      <c r="H173" s="52" t="n">
        <f aca="false">IF(OR(F173="",F173=0),"",E173/F173)</f>
        <v>0.482826300294406</v>
      </c>
      <c r="I173" s="21" t="s">
        <v>122</v>
      </c>
      <c r="J173" s="53" t="n">
        <v>1.9254971424187</v>
      </c>
      <c r="K173" s="52" t="n">
        <f aca="false">IF(G173="","",MAX(0,G173-J173/100))</f>
        <v>0.497918728281407</v>
      </c>
      <c r="L173" s="52" t="n">
        <f aca="false">IF(G173="","",MIN(1,G173+J173/100))</f>
        <v>0.536428671129781</v>
      </c>
      <c r="M173" s="37" t="n">
        <f aca="false">IF(F173="","",ROUND(F173*J173/100,0))</f>
        <v>20</v>
      </c>
      <c r="P173" s="54" t="n">
        <v>1.48397725060321</v>
      </c>
      <c r="Q173" s="55" t="n">
        <f aca="false">T173*$H$5</f>
        <v>1018.96641574986</v>
      </c>
      <c r="R173" s="56" t="n">
        <f aca="false">MAX(0,MIN(1,P173/100+$D$5))</f>
        <v>0.51749024564325</v>
      </c>
      <c r="S173" s="57" t="s">
        <v>132</v>
      </c>
      <c r="T173" s="55" t="n">
        <v>1018.96641574986</v>
      </c>
    </row>
    <row r="174" customFormat="false" ht="15" hidden="false" customHeight="false" outlineLevel="0" collapsed="false">
      <c r="A174" s="21" t="s">
        <v>189</v>
      </c>
      <c r="B174" s="21" t="s">
        <v>311</v>
      </c>
      <c r="C174" s="21" t="s">
        <v>313</v>
      </c>
      <c r="D174" s="37" t="n">
        <f aca="false">ROUND(Q174*R174,0)</f>
        <v>645</v>
      </c>
      <c r="E174" s="37" t="n">
        <f aca="false">ROUND(Q174,0)-D174</f>
        <v>586</v>
      </c>
      <c r="F174" s="37" t="n">
        <f aca="false">IF(COUNTA(D174:E174)=0,"",SUM(D174:E174))</f>
        <v>1231</v>
      </c>
      <c r="G174" s="52" t="n">
        <f aca="false">IF(OR(F174="",F174=0),"",D174/F174)</f>
        <v>0.523964256701868</v>
      </c>
      <c r="H174" s="52" t="n">
        <f aca="false">IF(OR(F174="",F174=0),"",E174/F174)</f>
        <v>0.476035743298132</v>
      </c>
      <c r="I174" s="21" t="s">
        <v>122</v>
      </c>
      <c r="J174" s="53" t="n">
        <v>1.86991787188303</v>
      </c>
      <c r="K174" s="52" t="n">
        <f aca="false">IF(G174="","",MAX(0,G174-J174/100))</f>
        <v>0.505265077983038</v>
      </c>
      <c r="L174" s="52" t="n">
        <f aca="false">IF(G174="","",MIN(1,G174+J174/100))</f>
        <v>0.542663435420699</v>
      </c>
      <c r="M174" s="37" t="n">
        <f aca="false">IF(F174="","",ROUND(F174*J174/100,0))</f>
        <v>23</v>
      </c>
      <c r="P174" s="54" t="n">
        <v>2.1626963568083</v>
      </c>
      <c r="Q174" s="55" t="n">
        <f aca="false">T174*$H$5</f>
        <v>1230.79069767442</v>
      </c>
      <c r="R174" s="56" t="n">
        <f aca="false">MAX(0,MIN(1,P174/100+$D$5))</f>
        <v>0.524277436705301</v>
      </c>
      <c r="S174" s="57" t="s">
        <v>225</v>
      </c>
      <c r="T174" s="55" t="n">
        <v>1230.79069767442</v>
      </c>
    </row>
    <row r="175" customFormat="false" ht="15" hidden="false" customHeight="false" outlineLevel="0" collapsed="false">
      <c r="A175" s="21" t="s">
        <v>189</v>
      </c>
      <c r="B175" s="21" t="s">
        <v>311</v>
      </c>
      <c r="C175" s="21" t="s">
        <v>314</v>
      </c>
      <c r="D175" s="37" t="n">
        <f aca="false">ROUND(Q175*R175,0)</f>
        <v>280</v>
      </c>
      <c r="E175" s="37" t="n">
        <f aca="false">ROUND(Q175,0)-D175</f>
        <v>274</v>
      </c>
      <c r="F175" s="37" t="n">
        <f aca="false">IF(COUNTA(D175:E175)=0,"",SUM(D175:E175))</f>
        <v>554</v>
      </c>
      <c r="G175" s="52" t="n">
        <f aca="false">IF(OR(F175="",F175=0),"",D175/F175)</f>
        <v>0.505415162454874</v>
      </c>
      <c r="H175" s="52" t="n">
        <f aca="false">IF(OR(F175="",F175=0),"",E175/F175)</f>
        <v>0.494584837545126</v>
      </c>
      <c r="I175" s="21" t="s">
        <v>122</v>
      </c>
      <c r="J175" s="53" t="n">
        <v>2.87918965002339</v>
      </c>
      <c r="K175" s="52" t="n">
        <f aca="false">IF(G175="","",MAX(0,G175-J175/100))</f>
        <v>0.47662326595464</v>
      </c>
      <c r="L175" s="52" t="n">
        <f aca="false">IF(G175="","",MIN(1,G175+J175/100))</f>
        <v>0.534207058955107</v>
      </c>
      <c r="M175" s="37" t="n">
        <f aca="false">IF(F175="","",ROUND(F175*J175/100,0))</f>
        <v>16</v>
      </c>
      <c r="P175" s="54" t="n">
        <v>0.263196969882501</v>
      </c>
      <c r="Q175" s="55" t="n">
        <f aca="false">T175*$H$5</f>
        <v>553.927710843374</v>
      </c>
      <c r="R175" s="56" t="n">
        <f aca="false">MAX(0,MIN(1,P175/100+$D$5))</f>
        <v>0.505282442836043</v>
      </c>
      <c r="S175" s="57" t="s">
        <v>123</v>
      </c>
      <c r="T175" s="55" t="n">
        <v>553.927710843374</v>
      </c>
    </row>
    <row r="176" customFormat="false" ht="15" hidden="false" customHeight="false" outlineLevel="0" collapsed="false">
      <c r="A176" s="21" t="s">
        <v>189</v>
      </c>
      <c r="B176" s="21" t="s">
        <v>311</v>
      </c>
      <c r="C176" s="21" t="s">
        <v>315</v>
      </c>
      <c r="D176" s="37" t="n">
        <f aca="false">ROUND(Q176*R176,0)</f>
        <v>329</v>
      </c>
      <c r="E176" s="37" t="n">
        <f aca="false">ROUND(Q176,0)-D176</f>
        <v>309</v>
      </c>
      <c r="F176" s="37" t="n">
        <f aca="false">IF(COUNTA(D176:E176)=0,"",SUM(D176:E176))</f>
        <v>638</v>
      </c>
      <c r="G176" s="52" t="n">
        <f aca="false">IF(OR(F176="",F176=0),"",D176/F176)</f>
        <v>0.515673981191223</v>
      </c>
      <c r="H176" s="52" t="n">
        <f aca="false">IF(OR(F176="",F176=0),"",E176/F176)</f>
        <v>0.484326018808777</v>
      </c>
      <c r="I176" s="21" t="s">
        <v>122</v>
      </c>
      <c r="J176" s="53" t="n">
        <v>2.87918965002339</v>
      </c>
      <c r="K176" s="52" t="n">
        <f aca="false">IF(G176="","",MAX(0,G176-J176/100))</f>
        <v>0.486882084690989</v>
      </c>
      <c r="L176" s="52" t="n">
        <f aca="false">IF(G176="","",MIN(1,G176+J176/100))</f>
        <v>0.544465877691456</v>
      </c>
      <c r="M176" s="37" t="n">
        <f aca="false">IF(F176="","",ROUND(F176*J176/100,0))</f>
        <v>18</v>
      </c>
      <c r="P176" s="54" t="n">
        <v>1.33843877936571</v>
      </c>
      <c r="Q176" s="55" t="n">
        <f aca="false">T176*$H$5</f>
        <v>638.017946161515</v>
      </c>
      <c r="R176" s="56" t="n">
        <f aca="false">MAX(0,MIN(1,P176/100+$D$5))</f>
        <v>0.516034860930875</v>
      </c>
      <c r="S176" s="57" t="s">
        <v>123</v>
      </c>
      <c r="T176" s="55" t="n">
        <v>638.017946161515</v>
      </c>
    </row>
    <row r="177" customFormat="false" ht="15" hidden="false" customHeight="false" outlineLevel="0" collapsed="false">
      <c r="A177" s="21" t="s">
        <v>189</v>
      </c>
      <c r="B177" s="21" t="s">
        <v>311</v>
      </c>
      <c r="C177" s="21" t="s">
        <v>316</v>
      </c>
      <c r="D177" s="37" t="n">
        <f aca="false">ROUND(Q177*R177,0)</f>
        <v>425</v>
      </c>
      <c r="E177" s="37" t="n">
        <f aca="false">ROUND(Q177,0)-D177</f>
        <v>431</v>
      </c>
      <c r="F177" s="37" t="n">
        <f aca="false">IF(COUNTA(D177:E177)=0,"",SUM(D177:E177))</f>
        <v>856</v>
      </c>
      <c r="G177" s="52" t="n">
        <f aca="false">IF(OR(F177="",F177=0),"",D177/F177)</f>
        <v>0.496495327102804</v>
      </c>
      <c r="H177" s="52" t="n">
        <f aca="false">IF(OR(F177="",F177=0),"",E177/F177)</f>
        <v>0.503504672897196</v>
      </c>
      <c r="I177" s="21" t="s">
        <v>122</v>
      </c>
      <c r="J177" s="53" t="n">
        <v>1.9254971424187</v>
      </c>
      <c r="K177" s="52" t="n">
        <f aca="false">IF(G177="","",MAX(0,G177-J177/100))</f>
        <v>0.477240355678617</v>
      </c>
      <c r="L177" s="52" t="n">
        <f aca="false">IF(G177="","",MIN(1,G177+J177/100))</f>
        <v>0.515750298526991</v>
      </c>
      <c r="M177" s="37" t="n">
        <f aca="false">IF(F177="","",ROUND(F177*J177/100,0))</f>
        <v>16</v>
      </c>
      <c r="P177" s="54" t="n">
        <v>-0.588488677301168</v>
      </c>
      <c r="Q177" s="55" t="n">
        <f aca="false">T177*$H$5</f>
        <v>855.646785437645</v>
      </c>
      <c r="R177" s="56" t="n">
        <f aca="false">MAX(0,MIN(1,P177/100+$D$5))</f>
        <v>0.496765586364206</v>
      </c>
      <c r="S177" s="57" t="s">
        <v>132</v>
      </c>
      <c r="T177" s="55" t="n">
        <v>855.646785437645</v>
      </c>
    </row>
    <row r="178" customFormat="false" ht="15" hidden="false" customHeight="false" outlineLevel="0" collapsed="false">
      <c r="A178" s="21" t="s">
        <v>189</v>
      </c>
      <c r="B178" s="21" t="s">
        <v>311</v>
      </c>
      <c r="C178" s="21" t="s">
        <v>317</v>
      </c>
      <c r="D178" s="37" t="n">
        <f aca="false">ROUND(Q178*R178,0)</f>
        <v>279</v>
      </c>
      <c r="E178" s="37" t="n">
        <f aca="false">ROUND(Q178,0)-D178</f>
        <v>288</v>
      </c>
      <c r="F178" s="37" t="n">
        <f aca="false">IF(COUNTA(D178:E178)=0,"",SUM(D178:E178))</f>
        <v>567</v>
      </c>
      <c r="G178" s="52" t="n">
        <f aca="false">IF(OR(F178="",F178=0),"",D178/F178)</f>
        <v>0.492063492063492</v>
      </c>
      <c r="H178" s="52" t="n">
        <f aca="false">IF(OR(F178="",F178=0),"",E178/F178)</f>
        <v>0.507936507936508</v>
      </c>
      <c r="I178" s="21" t="s">
        <v>122</v>
      </c>
      <c r="J178" s="53" t="n">
        <v>2.87918965002339</v>
      </c>
      <c r="K178" s="52" t="n">
        <f aca="false">IF(G178="","",MAX(0,G178-J178/100))</f>
        <v>0.463271595563258</v>
      </c>
      <c r="L178" s="52" t="n">
        <f aca="false">IF(G178="","",MIN(1,G178+J178/100))</f>
        <v>0.520855388563726</v>
      </c>
      <c r="M178" s="37" t="n">
        <f aca="false">IF(F178="","",ROUND(F178*J178/100,0))</f>
        <v>16</v>
      </c>
      <c r="P178" s="54" t="n">
        <v>-1.10715086159525</v>
      </c>
      <c r="Q178" s="55" t="n">
        <f aca="false">T178*$H$5</f>
        <v>566.944444444444</v>
      </c>
      <c r="R178" s="56" t="n">
        <f aca="false">MAX(0,MIN(1,P178/100+$D$5))</f>
        <v>0.491578964521265</v>
      </c>
      <c r="S178" s="57" t="s">
        <v>123</v>
      </c>
      <c r="T178" s="55" t="n">
        <v>566.944444444444</v>
      </c>
    </row>
    <row r="179" customFormat="false" ht="15" hidden="false" customHeight="false" outlineLevel="0" collapsed="false">
      <c r="A179" s="21" t="s">
        <v>189</v>
      </c>
      <c r="B179" s="21" t="s">
        <v>311</v>
      </c>
      <c r="C179" s="21" t="s">
        <v>318</v>
      </c>
      <c r="D179" s="37" t="n">
        <f aca="false">ROUND(Q179*R179,0)</f>
        <v>341</v>
      </c>
      <c r="E179" s="37" t="n">
        <f aca="false">ROUND(Q179,0)-D179</f>
        <v>318</v>
      </c>
      <c r="F179" s="37" t="n">
        <f aca="false">IF(COUNTA(D179:E179)=0,"",SUM(D179:E179))</f>
        <v>659</v>
      </c>
      <c r="G179" s="52" t="n">
        <f aca="false">IF(OR(F179="",F179=0),"",D179/F179)</f>
        <v>0.517450682852807</v>
      </c>
      <c r="H179" s="52" t="n">
        <f aca="false">IF(OR(F179="",F179=0),"",E179/F179)</f>
        <v>0.482549317147193</v>
      </c>
      <c r="I179" s="21" t="s">
        <v>122</v>
      </c>
      <c r="J179" s="53" t="n">
        <v>2.87918965002339</v>
      </c>
      <c r="K179" s="52" t="n">
        <f aca="false">IF(G179="","",MAX(0,G179-J179/100))</f>
        <v>0.488658786352573</v>
      </c>
      <c r="L179" s="52" t="n">
        <f aca="false">IF(G179="","",MIN(1,G179+J179/100))</f>
        <v>0.546242579353041</v>
      </c>
      <c r="M179" s="37" t="n">
        <f aca="false">IF(F179="","",ROUND(F179*J179/100,0))</f>
        <v>19</v>
      </c>
      <c r="P179" s="54" t="n">
        <v>1.45975961582344</v>
      </c>
      <c r="Q179" s="55" t="n">
        <f aca="false">T179*$H$5</f>
        <v>659.34455667789</v>
      </c>
      <c r="R179" s="56" t="n">
        <f aca="false">MAX(0,MIN(1,P179/100+$D$5))</f>
        <v>0.517248069295452</v>
      </c>
      <c r="S179" s="57" t="s">
        <v>123</v>
      </c>
      <c r="T179" s="55" t="n">
        <v>659.34455667789</v>
      </c>
    </row>
    <row r="180" customFormat="false" ht="15" hidden="false" customHeight="false" outlineLevel="0" collapsed="false">
      <c r="A180" s="21" t="s">
        <v>189</v>
      </c>
      <c r="B180" s="21" t="s">
        <v>311</v>
      </c>
      <c r="C180" s="21" t="s">
        <v>319</v>
      </c>
      <c r="D180" s="37" t="n">
        <f aca="false">ROUND(Q180*R180,0)</f>
        <v>456</v>
      </c>
      <c r="E180" s="37" t="n">
        <f aca="false">ROUND(Q180,0)-D180</f>
        <v>444</v>
      </c>
      <c r="F180" s="37" t="n">
        <f aca="false">IF(COUNTA(D180:E180)=0,"",SUM(D180:E180))</f>
        <v>900</v>
      </c>
      <c r="G180" s="52" t="n">
        <f aca="false">IF(OR(F180="",F180=0),"",D180/F180)</f>
        <v>0.506666666666667</v>
      </c>
      <c r="H180" s="52" t="n">
        <f aca="false">IF(OR(F180="",F180=0),"",E180/F180)</f>
        <v>0.493333333333333</v>
      </c>
      <c r="I180" s="21" t="s">
        <v>122</v>
      </c>
      <c r="J180" s="53" t="n">
        <v>1.9254971424187</v>
      </c>
      <c r="K180" s="52" t="n">
        <f aca="false">IF(G180="","",MAX(0,G180-J180/100))</f>
        <v>0.48741169524248</v>
      </c>
      <c r="L180" s="52" t="n">
        <f aca="false">IF(G180="","",MIN(1,G180+J180/100))</f>
        <v>0.525921638090854</v>
      </c>
      <c r="M180" s="37" t="n">
        <f aca="false">IF(F180="","",ROUND(F180*J180/100,0))</f>
        <v>17</v>
      </c>
      <c r="P180" s="54" t="n">
        <v>0.430230780644834</v>
      </c>
      <c r="Q180" s="55" t="n">
        <f aca="false">T180*$H$5</f>
        <v>900.130434782609</v>
      </c>
      <c r="R180" s="56" t="n">
        <f aca="false">MAX(0,MIN(1,P180/100+$D$5))</f>
        <v>0.506952780943666</v>
      </c>
      <c r="S180" s="57" t="s">
        <v>132</v>
      </c>
      <c r="T180" s="55" t="n">
        <v>900.130434782609</v>
      </c>
    </row>
    <row r="181" customFormat="false" ht="15" hidden="false" customHeight="false" outlineLevel="0" collapsed="false">
      <c r="A181" s="21" t="s">
        <v>189</v>
      </c>
      <c r="B181" s="21" t="s">
        <v>320</v>
      </c>
      <c r="C181" s="21" t="s">
        <v>321</v>
      </c>
      <c r="D181" s="37" t="n">
        <f aca="false">ROUND(Q181*R181,0)</f>
        <v>181</v>
      </c>
      <c r="E181" s="37" t="n">
        <f aca="false">ROUND(Q181,0)-D181</f>
        <v>210</v>
      </c>
      <c r="F181" s="37" t="n">
        <f aca="false">IF(COUNTA(D181:E181)=0,"",SUM(D181:E181))</f>
        <v>391</v>
      </c>
      <c r="G181" s="52" t="n">
        <f aca="false">IF(OR(F181="",F181=0),"",D181/F181)</f>
        <v>0.462915601023018</v>
      </c>
      <c r="H181" s="52" t="n">
        <f aca="false">IF(OR(F181="",F181=0),"",E181/F181)</f>
        <v>0.537084398976982</v>
      </c>
      <c r="I181" s="21" t="s">
        <v>122</v>
      </c>
      <c r="J181" s="53" t="n">
        <v>2.87918965002339</v>
      </c>
      <c r="K181" s="52" t="n">
        <f aca="false">IF(G181="","",MAX(0,G181-J181/100))</f>
        <v>0.434123704522784</v>
      </c>
      <c r="L181" s="52" t="n">
        <f aca="false">IF(G181="","",MIN(1,G181+J181/100))</f>
        <v>0.491707497523252</v>
      </c>
      <c r="M181" s="37" t="n">
        <f aca="false">IF(F181="","",ROUND(F181*J181/100,0))</f>
        <v>11</v>
      </c>
      <c r="P181" s="54" t="n">
        <v>-3.98974420861123</v>
      </c>
      <c r="Q181" s="55" t="n">
        <f aca="false">T181*$H$5</f>
        <v>390.71668667467</v>
      </c>
      <c r="R181" s="56" t="n">
        <f aca="false">MAX(0,MIN(1,P181/100+$D$5))</f>
        <v>0.462753031051105</v>
      </c>
      <c r="S181" s="57" t="s">
        <v>123</v>
      </c>
      <c r="T181" s="55" t="n">
        <v>390.71668667467</v>
      </c>
    </row>
    <row r="182" customFormat="false" ht="15" hidden="false" customHeight="false" outlineLevel="0" collapsed="false">
      <c r="A182" s="21" t="s">
        <v>189</v>
      </c>
      <c r="B182" s="21" t="s">
        <v>320</v>
      </c>
      <c r="C182" s="21" t="s">
        <v>322</v>
      </c>
      <c r="D182" s="37" t="n">
        <f aca="false">ROUND(Q182*R182,0)</f>
        <v>134</v>
      </c>
      <c r="E182" s="37" t="n">
        <f aca="false">ROUND(Q182,0)-D182</f>
        <v>182</v>
      </c>
      <c r="F182" s="37" t="n">
        <f aca="false">IF(COUNTA(D182:E182)=0,"",SUM(D182:E182))</f>
        <v>316</v>
      </c>
      <c r="G182" s="52" t="n">
        <f aca="false">IF(OR(F182="",F182=0),"",D182/F182)</f>
        <v>0.424050632911392</v>
      </c>
      <c r="H182" s="52" t="n">
        <f aca="false">IF(OR(F182="",F182=0),"",E182/F182)</f>
        <v>0.575949367088608</v>
      </c>
      <c r="I182" s="21" t="s">
        <v>122</v>
      </c>
      <c r="J182" s="53" t="n">
        <v>2.87918965002339</v>
      </c>
      <c r="K182" s="52" t="n">
        <f aca="false">IF(G182="","",MAX(0,G182-J182/100))</f>
        <v>0.395258736411159</v>
      </c>
      <c r="L182" s="52" t="n">
        <f aca="false">IF(G182="","",MIN(1,G182+J182/100))</f>
        <v>0.452842529411626</v>
      </c>
      <c r="M182" s="37" t="n">
        <f aca="false">IF(F182="","",ROUND(F182*J182/100,0))</f>
        <v>9</v>
      </c>
      <c r="P182" s="54" t="n">
        <v>-8.01158807559123</v>
      </c>
      <c r="Q182" s="55" t="n">
        <f aca="false">T182*$H$5</f>
        <v>316.23569023569</v>
      </c>
      <c r="R182" s="56" t="n">
        <f aca="false">MAX(0,MIN(1,P182/100+$D$5))</f>
        <v>0.422534592381305</v>
      </c>
      <c r="S182" s="57" t="s">
        <v>123</v>
      </c>
      <c r="T182" s="55" t="n">
        <v>316.23569023569</v>
      </c>
    </row>
    <row r="183" customFormat="false" ht="15" hidden="false" customHeight="false" outlineLevel="0" collapsed="false">
      <c r="A183" s="21" t="s">
        <v>189</v>
      </c>
      <c r="B183" s="21" t="s">
        <v>320</v>
      </c>
      <c r="C183" s="21" t="s">
        <v>323</v>
      </c>
      <c r="D183" s="37" t="n">
        <f aca="false">ROUND(Q183*R183,0)</f>
        <v>296</v>
      </c>
      <c r="E183" s="37" t="n">
        <f aca="false">ROUND(Q183,0)-D183</f>
        <v>388</v>
      </c>
      <c r="F183" s="37" t="n">
        <f aca="false">IF(COUNTA(D183:E183)=0,"",SUM(D183:E183))</f>
        <v>684</v>
      </c>
      <c r="G183" s="52" t="n">
        <f aca="false">IF(OR(F183="",F183=0),"",D183/F183)</f>
        <v>0.432748538011696</v>
      </c>
      <c r="H183" s="52" t="n">
        <f aca="false">IF(OR(F183="",F183=0),"",E183/F183)</f>
        <v>0.567251461988304</v>
      </c>
      <c r="I183" s="21" t="s">
        <v>122</v>
      </c>
      <c r="J183" s="53" t="n">
        <v>2.87918965002339</v>
      </c>
      <c r="K183" s="52" t="n">
        <f aca="false">IF(G183="","",MAX(0,G183-J183/100))</f>
        <v>0.403956641511462</v>
      </c>
      <c r="L183" s="52" t="n">
        <f aca="false">IF(G183="","",MIN(1,G183+J183/100))</f>
        <v>0.46154043451193</v>
      </c>
      <c r="M183" s="37" t="n">
        <f aca="false">IF(F183="","",ROUND(F183*J183/100,0))</f>
        <v>20</v>
      </c>
      <c r="P183" s="54" t="n">
        <v>-7.0799223408286</v>
      </c>
      <c r="Q183" s="55" t="n">
        <f aca="false">T183*$H$5</f>
        <v>684.341030195381</v>
      </c>
      <c r="R183" s="56" t="n">
        <f aca="false">MAX(0,MIN(1,P183/100+$D$5))</f>
        <v>0.431851249728932</v>
      </c>
      <c r="S183" s="57" t="s">
        <v>123</v>
      </c>
      <c r="T183" s="55" t="n">
        <v>684.341030195381</v>
      </c>
    </row>
    <row r="184" customFormat="false" ht="15" hidden="false" customHeight="false" outlineLevel="0" collapsed="false">
      <c r="A184" s="21" t="s">
        <v>189</v>
      </c>
      <c r="B184" s="21" t="s">
        <v>324</v>
      </c>
      <c r="C184" s="21" t="s">
        <v>325</v>
      </c>
      <c r="D184" s="37" t="n">
        <f aca="false">ROUND(Q184*R184,0)</f>
        <v>730</v>
      </c>
      <c r="E184" s="37" t="n">
        <f aca="false">ROUND(Q184,0)-D184</f>
        <v>689</v>
      </c>
      <c r="F184" s="37" t="n">
        <f aca="false">IF(COUNTA(D184:E184)=0,"",SUM(D184:E184))</f>
        <v>1419</v>
      </c>
      <c r="G184" s="52" t="n">
        <f aca="false">IF(OR(F184="",F184=0),"",D184/F184)</f>
        <v>0.514446793516561</v>
      </c>
      <c r="H184" s="52" t="n">
        <f aca="false">IF(OR(F184="",F184=0),"",E184/F184)</f>
        <v>0.485553206483439</v>
      </c>
      <c r="I184" s="21" t="s">
        <v>122</v>
      </c>
      <c r="J184" s="53" t="n">
        <v>1.86991787188303</v>
      </c>
      <c r="K184" s="52" t="n">
        <f aca="false">IF(G184="","",MAX(0,G184-J184/100))</f>
        <v>0.495747614797731</v>
      </c>
      <c r="L184" s="52" t="n">
        <f aca="false">IF(G184="","",MIN(1,G184+J184/100))</f>
        <v>0.533145972235391</v>
      </c>
      <c r="M184" s="37" t="n">
        <f aca="false">IF(F184="","",ROUND(F184*J184/100,0))</f>
        <v>27</v>
      </c>
      <c r="P184" s="54" t="n">
        <v>1.18931116816569</v>
      </c>
      <c r="Q184" s="55" t="n">
        <f aca="false">T184*$H$5</f>
        <v>1418.72759856631</v>
      </c>
      <c r="R184" s="56" t="n">
        <f aca="false">MAX(0,MIN(1,P184/100+$D$5))</f>
        <v>0.514543584818875</v>
      </c>
      <c r="S184" s="57" t="s">
        <v>225</v>
      </c>
      <c r="T184" s="55" t="n">
        <v>1418.72759856631</v>
      </c>
    </row>
    <row r="185" customFormat="false" ht="15" hidden="false" customHeight="false" outlineLevel="0" collapsed="false">
      <c r="A185" s="21" t="s">
        <v>189</v>
      </c>
      <c r="B185" s="21" t="s">
        <v>324</v>
      </c>
      <c r="C185" s="21" t="s">
        <v>326</v>
      </c>
      <c r="D185" s="37" t="n">
        <f aca="false">ROUND(Q185*R185,0)</f>
        <v>341</v>
      </c>
      <c r="E185" s="37" t="n">
        <f aca="false">ROUND(Q185,0)-D185</f>
        <v>320</v>
      </c>
      <c r="F185" s="37" t="n">
        <f aca="false">IF(COUNTA(D185:E185)=0,"",SUM(D185:E185))</f>
        <v>661</v>
      </c>
      <c r="G185" s="52" t="n">
        <f aca="false">IF(OR(F185="",F185=0),"",D185/F185)</f>
        <v>0.51588502269289</v>
      </c>
      <c r="H185" s="52" t="n">
        <f aca="false">IF(OR(F185="",F185=0),"",E185/F185)</f>
        <v>0.48411497730711</v>
      </c>
      <c r="I185" s="21" t="s">
        <v>122</v>
      </c>
      <c r="J185" s="53" t="n">
        <v>2.87918965002339</v>
      </c>
      <c r="K185" s="52" t="n">
        <f aca="false">IF(G185="","",MAX(0,G185-J185/100))</f>
        <v>0.487093126192656</v>
      </c>
      <c r="L185" s="52" t="n">
        <f aca="false">IF(G185="","",MIN(1,G185+J185/100))</f>
        <v>0.544676919193123</v>
      </c>
      <c r="M185" s="37" t="n">
        <f aca="false">IF(F185="","",ROUND(F185*J185/100,0))</f>
        <v>19</v>
      </c>
      <c r="P185" s="54" t="n">
        <v>1.37192445354278</v>
      </c>
      <c r="Q185" s="55" t="n">
        <f aca="false">T185*$H$5</f>
        <v>660.903056768559</v>
      </c>
      <c r="R185" s="56" t="n">
        <f aca="false">MAX(0,MIN(1,P185/100+$D$5))</f>
        <v>0.516369717672646</v>
      </c>
      <c r="S185" s="57" t="s">
        <v>123</v>
      </c>
      <c r="T185" s="55" t="n">
        <v>660.903056768559</v>
      </c>
    </row>
    <row r="186" customFormat="false" ht="15" hidden="false" customHeight="false" outlineLevel="0" collapsed="false">
      <c r="A186" s="21" t="s">
        <v>189</v>
      </c>
      <c r="B186" s="21" t="s">
        <v>324</v>
      </c>
      <c r="C186" s="21" t="s">
        <v>327</v>
      </c>
      <c r="D186" s="37" t="n">
        <f aca="false">ROUND(Q186*R186,0)</f>
        <v>940</v>
      </c>
      <c r="E186" s="37" t="n">
        <f aca="false">ROUND(Q186,0)-D186</f>
        <v>739</v>
      </c>
      <c r="F186" s="37" t="n">
        <f aca="false">IF(COUNTA(D186:E186)=0,"",SUM(D186:E186))</f>
        <v>1679</v>
      </c>
      <c r="G186" s="52" t="n">
        <f aca="false">IF(OR(F186="",F186=0),"",D186/F186)</f>
        <v>0.559857057772484</v>
      </c>
      <c r="H186" s="52" t="n">
        <f aca="false">IF(OR(F186="",F186=0),"",E186/F186)</f>
        <v>0.440142942227516</v>
      </c>
      <c r="I186" s="21" t="s">
        <v>122</v>
      </c>
      <c r="J186" s="53" t="n">
        <v>1.86991787188303</v>
      </c>
      <c r="K186" s="52" t="n">
        <f aca="false">IF(G186="","",MAX(0,G186-J186/100))</f>
        <v>0.541157879053653</v>
      </c>
      <c r="L186" s="52" t="n">
        <f aca="false">IF(G186="","",MIN(1,G186+J186/100))</f>
        <v>0.578556236491314</v>
      </c>
      <c r="M186" s="37" t="n">
        <f aca="false">IF(F186="","",ROUND(F186*J186/100,0))</f>
        <v>31</v>
      </c>
      <c r="P186" s="54" t="n">
        <v>5.73633531808873</v>
      </c>
      <c r="Q186" s="55" t="n">
        <f aca="false">T186*$H$5</f>
        <v>1678.57188498403</v>
      </c>
      <c r="R186" s="56" t="n">
        <f aca="false">MAX(0,MIN(1,P186/100+$D$5))</f>
        <v>0.560013826318105</v>
      </c>
      <c r="S186" s="57" t="s">
        <v>225</v>
      </c>
      <c r="T186" s="55" t="n">
        <v>1678.57188498403</v>
      </c>
    </row>
    <row r="187" customFormat="false" ht="15" hidden="false" customHeight="false" outlineLevel="0" collapsed="false">
      <c r="A187" s="21" t="s">
        <v>189</v>
      </c>
      <c r="B187" s="21" t="s">
        <v>324</v>
      </c>
      <c r="C187" s="21" t="s">
        <v>328</v>
      </c>
      <c r="D187" s="37" t="n">
        <f aca="false">ROUND(Q187*R187,0)</f>
        <v>439</v>
      </c>
      <c r="E187" s="37" t="n">
        <f aca="false">ROUND(Q187,0)-D187</f>
        <v>429</v>
      </c>
      <c r="F187" s="37" t="n">
        <f aca="false">IF(COUNTA(D187:E187)=0,"",SUM(D187:E187))</f>
        <v>868</v>
      </c>
      <c r="G187" s="52" t="n">
        <f aca="false">IF(OR(F187="",F187=0),"",D187/F187)</f>
        <v>0.505760368663594</v>
      </c>
      <c r="H187" s="52" t="n">
        <f aca="false">IF(OR(F187="",F187=0),"",E187/F187)</f>
        <v>0.494239631336406</v>
      </c>
      <c r="I187" s="21" t="s">
        <v>122</v>
      </c>
      <c r="J187" s="53" t="n">
        <v>1.9254971424187</v>
      </c>
      <c r="K187" s="52" t="n">
        <f aca="false">IF(G187="","",MAX(0,G187-J187/100))</f>
        <v>0.486505397239407</v>
      </c>
      <c r="L187" s="52" t="n">
        <f aca="false">IF(G187="","",MIN(1,G187+J187/100))</f>
        <v>0.525015340087782</v>
      </c>
      <c r="M187" s="37" t="n">
        <f aca="false">IF(F187="","",ROUND(F187*J187/100,0))</f>
        <v>17</v>
      </c>
      <c r="P187" s="54" t="n">
        <v>0.335470292836341</v>
      </c>
      <c r="Q187" s="55" t="n">
        <f aca="false">T187*$H$5</f>
        <v>868.364696734059</v>
      </c>
      <c r="R187" s="56" t="n">
        <f aca="false">MAX(0,MIN(1,P187/100+$D$5))</f>
        <v>0.506005176065581</v>
      </c>
      <c r="S187" s="57" t="s">
        <v>132</v>
      </c>
      <c r="T187" s="55" t="n">
        <v>868.364696734059</v>
      </c>
    </row>
    <row r="188" customFormat="false" ht="15" hidden="false" customHeight="false" outlineLevel="0" collapsed="false">
      <c r="A188" s="21" t="s">
        <v>189</v>
      </c>
      <c r="B188" s="21" t="s">
        <v>324</v>
      </c>
      <c r="C188" s="21" t="s">
        <v>329</v>
      </c>
      <c r="D188" s="37" t="n">
        <f aca="false">ROUND(Q188*R188,0)</f>
        <v>867</v>
      </c>
      <c r="E188" s="37" t="n">
        <f aca="false">ROUND(Q188,0)-D188</f>
        <v>622</v>
      </c>
      <c r="F188" s="37" t="n">
        <f aca="false">IF(COUNTA(D188:E188)=0,"",SUM(D188:E188))</f>
        <v>1489</v>
      </c>
      <c r="G188" s="52" t="n">
        <f aca="false">IF(OR(F188="",F188=0),"",D188/F188)</f>
        <v>0.58226997985225</v>
      </c>
      <c r="H188" s="52" t="n">
        <f aca="false">IF(OR(F188="",F188=0),"",E188/F188)</f>
        <v>0.41773002014775</v>
      </c>
      <c r="I188" s="21" t="s">
        <v>122</v>
      </c>
      <c r="J188" s="53" t="n">
        <v>1.86991787188303</v>
      </c>
      <c r="K188" s="52" t="n">
        <f aca="false">IF(G188="","",MAX(0,G188-J188/100))</f>
        <v>0.56357080113342</v>
      </c>
      <c r="L188" s="52" t="n">
        <f aca="false">IF(G188="","",MIN(1,G188+J188/100))</f>
        <v>0.60096915857108</v>
      </c>
      <c r="M188" s="37" t="n">
        <f aca="false">IF(F188="","",ROUND(F188*J188/100,0))</f>
        <v>28</v>
      </c>
      <c r="P188" s="54" t="n">
        <v>7.96079379732987</v>
      </c>
      <c r="Q188" s="55" t="n">
        <f aca="false">T188*$H$5</f>
        <v>1488.84887459807</v>
      </c>
      <c r="R188" s="56" t="n">
        <f aca="false">MAX(0,MIN(1,P188/100+$D$5))</f>
        <v>0.582258411110517</v>
      </c>
      <c r="S188" s="57" t="s">
        <v>225</v>
      </c>
      <c r="T188" s="55" t="n">
        <v>1488.84887459807</v>
      </c>
    </row>
    <row r="189" customFormat="false" ht="15" hidden="false" customHeight="false" outlineLevel="0" collapsed="false">
      <c r="A189" s="21" t="s">
        <v>189</v>
      </c>
      <c r="B189" s="21" t="s">
        <v>324</v>
      </c>
      <c r="C189" s="21" t="s">
        <v>330</v>
      </c>
      <c r="D189" s="37" t="n">
        <f aca="false">ROUND(Q189*R189,0)</f>
        <v>866</v>
      </c>
      <c r="E189" s="37" t="n">
        <f aca="false">ROUND(Q189,0)-D189</f>
        <v>614</v>
      </c>
      <c r="F189" s="37" t="n">
        <f aca="false">IF(COUNTA(D189:E189)=0,"",SUM(D189:E189))</f>
        <v>1480</v>
      </c>
      <c r="G189" s="52" t="n">
        <f aca="false">IF(OR(F189="",F189=0),"",D189/F189)</f>
        <v>0.585135135135135</v>
      </c>
      <c r="H189" s="52" t="n">
        <f aca="false">IF(OR(F189="",F189=0),"",E189/F189)</f>
        <v>0.414864864864865</v>
      </c>
      <c r="I189" s="21" t="s">
        <v>122</v>
      </c>
      <c r="J189" s="53" t="n">
        <v>1.86991787188303</v>
      </c>
      <c r="K189" s="52" t="n">
        <f aca="false">IF(G189="","",MAX(0,G189-J189/100))</f>
        <v>0.566435956416305</v>
      </c>
      <c r="L189" s="52" t="n">
        <f aca="false">IF(G189="","",MIN(1,G189+J189/100))</f>
        <v>0.603834313853966</v>
      </c>
      <c r="M189" s="37" t="n">
        <f aca="false">IF(F189="","",ROUND(F189*J189/100,0))</f>
        <v>28</v>
      </c>
      <c r="P189" s="54" t="n">
        <v>8.26877906322597</v>
      </c>
      <c r="Q189" s="55" t="n">
        <f aca="false">T189*$H$5</f>
        <v>1480.29868819374</v>
      </c>
      <c r="R189" s="56" t="n">
        <f aca="false">MAX(0,MIN(1,P189/100+$D$5))</f>
        <v>0.585338263769477</v>
      </c>
      <c r="S189" s="57" t="s">
        <v>225</v>
      </c>
      <c r="T189" s="55" t="n">
        <v>1480.29868819374</v>
      </c>
    </row>
    <row r="190" customFormat="false" ht="15" hidden="false" customHeight="false" outlineLevel="0" collapsed="false">
      <c r="A190" s="21" t="s">
        <v>189</v>
      </c>
      <c r="B190" s="21" t="s">
        <v>324</v>
      </c>
      <c r="C190" s="21" t="s">
        <v>331</v>
      </c>
      <c r="D190" s="37" t="n">
        <f aca="false">ROUND(Q190*R190,0)</f>
        <v>409</v>
      </c>
      <c r="E190" s="37" t="n">
        <f aca="false">ROUND(Q190,0)-D190</f>
        <v>367</v>
      </c>
      <c r="F190" s="37" t="n">
        <f aca="false">IF(COUNTA(D190:E190)=0,"",SUM(D190:E190))</f>
        <v>776</v>
      </c>
      <c r="G190" s="52" t="n">
        <f aca="false">IF(OR(F190="",F190=0),"",D190/F190)</f>
        <v>0.527061855670103</v>
      </c>
      <c r="H190" s="52" t="n">
        <f aca="false">IF(OR(F190="",F190=0),"",E190/F190)</f>
        <v>0.472938144329897</v>
      </c>
      <c r="I190" s="21" t="s">
        <v>122</v>
      </c>
      <c r="J190" s="53" t="n">
        <v>1.9254971424187</v>
      </c>
      <c r="K190" s="52" t="n">
        <f aca="false">IF(G190="","",MAX(0,G190-J190/100))</f>
        <v>0.507806884245916</v>
      </c>
      <c r="L190" s="52" t="n">
        <f aca="false">IF(G190="","",MIN(1,G190+J190/100))</f>
        <v>0.54631682709429</v>
      </c>
      <c r="M190" s="37" t="n">
        <f aca="false">IF(F190="","",ROUND(F190*J190/100,0))</f>
        <v>15</v>
      </c>
      <c r="P190" s="54" t="n">
        <v>2.44456659333394</v>
      </c>
      <c r="Q190" s="55" t="n">
        <f aca="false">T190*$H$5</f>
        <v>775.595171773445</v>
      </c>
      <c r="R190" s="56" t="n">
        <f aca="false">MAX(0,MIN(1,P190/100+$D$5))</f>
        <v>0.527096139070557</v>
      </c>
      <c r="S190" s="57" t="s">
        <v>132</v>
      </c>
      <c r="T190" s="55" t="n">
        <v>775.595171773445</v>
      </c>
    </row>
    <row r="191" customFormat="false" ht="15" hidden="false" customHeight="false" outlineLevel="0" collapsed="false">
      <c r="A191" s="21" t="s">
        <v>189</v>
      </c>
      <c r="B191" s="21" t="s">
        <v>324</v>
      </c>
      <c r="C191" s="21" t="s">
        <v>332</v>
      </c>
      <c r="D191" s="37" t="n">
        <f aca="false">ROUND(Q191*R191,0)</f>
        <v>1081</v>
      </c>
      <c r="E191" s="37" t="n">
        <f aca="false">ROUND(Q191,0)-D191</f>
        <v>1034</v>
      </c>
      <c r="F191" s="37" t="n">
        <f aca="false">IF(COUNTA(D191:E191)=0,"",SUM(D191:E191))</f>
        <v>2115</v>
      </c>
      <c r="G191" s="52" t="n">
        <f aca="false">IF(OR(F191="",F191=0),"",D191/F191)</f>
        <v>0.511111111111111</v>
      </c>
      <c r="H191" s="52" t="n">
        <f aca="false">IF(OR(F191="",F191=0),"",E191/F191)</f>
        <v>0.488888888888889</v>
      </c>
      <c r="I191" s="21" t="s">
        <v>122</v>
      </c>
      <c r="J191" s="53" t="n">
        <v>1.86991787188303</v>
      </c>
      <c r="K191" s="52" t="n">
        <f aca="false">IF(G191="","",MAX(0,G191-J191/100))</f>
        <v>0.492411932392281</v>
      </c>
      <c r="L191" s="52" t="n">
        <f aca="false">IF(G191="","",MIN(1,G191+J191/100))</f>
        <v>0.529810289829941</v>
      </c>
      <c r="M191" s="37" t="n">
        <f aca="false">IF(F191="","",ROUND(F191*J191/100,0))</f>
        <v>40</v>
      </c>
      <c r="P191" s="54" t="n">
        <v>0.827439348574708</v>
      </c>
      <c r="Q191" s="55" t="n">
        <f aca="false">T191*$H$5</f>
        <v>2115.3476992871</v>
      </c>
      <c r="R191" s="56" t="n">
        <f aca="false">MAX(0,MIN(1,P191/100+$D$5))</f>
        <v>0.510924866622965</v>
      </c>
      <c r="S191" s="57" t="s">
        <v>225</v>
      </c>
      <c r="T191" s="55" t="n">
        <v>2115.3476992871</v>
      </c>
    </row>
    <row r="192" customFormat="false" ht="15" hidden="false" customHeight="false" outlineLevel="0" collapsed="false">
      <c r="A192" s="21" t="s">
        <v>189</v>
      </c>
      <c r="B192" s="21" t="s">
        <v>333</v>
      </c>
      <c r="C192" s="21" t="s">
        <v>334</v>
      </c>
      <c r="D192" s="37" t="n">
        <f aca="false">ROUND(Q192*R192,0)</f>
        <v>762</v>
      </c>
      <c r="E192" s="37" t="n">
        <f aca="false">ROUND(Q192,0)-D192</f>
        <v>736</v>
      </c>
      <c r="F192" s="37" t="n">
        <f aca="false">IF(COUNTA(D192:E192)=0,"",SUM(D192:E192))</f>
        <v>1498</v>
      </c>
      <c r="G192" s="52" t="n">
        <f aca="false">IF(OR(F192="",F192=0),"",D192/F192)</f>
        <v>0.5086782376502</v>
      </c>
      <c r="H192" s="52" t="n">
        <f aca="false">IF(OR(F192="",F192=0),"",E192/F192)</f>
        <v>0.4913217623498</v>
      </c>
      <c r="I192" s="21" t="s">
        <v>122</v>
      </c>
      <c r="J192" s="53" t="n">
        <v>1.86991787188303</v>
      </c>
      <c r="K192" s="52" t="n">
        <f aca="false">IF(G192="","",MAX(0,G192-J192/100))</f>
        <v>0.48997905893137</v>
      </c>
      <c r="L192" s="52" t="n">
        <f aca="false">IF(G192="","",MIN(1,G192+J192/100))</f>
        <v>0.527377416369031</v>
      </c>
      <c r="M192" s="37" t="n">
        <f aca="false">IF(F192="","",ROUND(F192*J192/100,0))</f>
        <v>28</v>
      </c>
      <c r="P192" s="54" t="n">
        <v>0.599661345397501</v>
      </c>
      <c r="Q192" s="55" t="n">
        <f aca="false">T192*$H$5</f>
        <v>1497.74778574441</v>
      </c>
      <c r="R192" s="56" t="n">
        <f aca="false">MAX(0,MIN(1,P192/100+$D$5))</f>
        <v>0.508647086591193</v>
      </c>
      <c r="S192" s="57" t="s">
        <v>225</v>
      </c>
      <c r="T192" s="55" t="n">
        <v>1497.74778574441</v>
      </c>
    </row>
    <row r="193" customFormat="false" ht="15" hidden="false" customHeight="false" outlineLevel="0" collapsed="false">
      <c r="A193" s="21" t="s">
        <v>189</v>
      </c>
      <c r="B193" s="21" t="s">
        <v>333</v>
      </c>
      <c r="C193" s="21" t="s">
        <v>335</v>
      </c>
      <c r="D193" s="37" t="n">
        <f aca="false">ROUND(Q193*R193,0)</f>
        <v>1033</v>
      </c>
      <c r="E193" s="37" t="n">
        <f aca="false">ROUND(Q193,0)-D193</f>
        <v>1009</v>
      </c>
      <c r="F193" s="37" t="n">
        <f aca="false">IF(COUNTA(D193:E193)=0,"",SUM(D193:E193))</f>
        <v>2042</v>
      </c>
      <c r="G193" s="52" t="n">
        <f aca="false">IF(OR(F193="",F193=0),"",D193/F193)</f>
        <v>0.505876591576885</v>
      </c>
      <c r="H193" s="52" t="n">
        <f aca="false">IF(OR(F193="",F193=0),"",E193/F193)</f>
        <v>0.494123408423115</v>
      </c>
      <c r="I193" s="21" t="s">
        <v>122</v>
      </c>
      <c r="J193" s="53" t="n">
        <v>1.86991787188303</v>
      </c>
      <c r="K193" s="52" t="n">
        <f aca="false">IF(G193="","",MAX(0,G193-J193/100))</f>
        <v>0.487177412858055</v>
      </c>
      <c r="L193" s="52" t="n">
        <f aca="false">IF(G193="","",MIN(1,G193+J193/100))</f>
        <v>0.524575770295716</v>
      </c>
      <c r="M193" s="37" t="n">
        <f aca="false">IF(F193="","",ROUND(F193*J193/100,0))</f>
        <v>38</v>
      </c>
      <c r="P193" s="54" t="n">
        <v>0.296199841798343</v>
      </c>
      <c r="Q193" s="55" t="n">
        <f aca="false">T193*$H$5</f>
        <v>2042.15796344647</v>
      </c>
      <c r="R193" s="56" t="n">
        <f aca="false">MAX(0,MIN(1,P193/100+$D$5))</f>
        <v>0.505612471555201</v>
      </c>
      <c r="S193" s="57" t="s">
        <v>225</v>
      </c>
      <c r="T193" s="55" t="n">
        <v>2042.15796344647</v>
      </c>
    </row>
    <row r="194" customFormat="false" ht="15" hidden="false" customHeight="false" outlineLevel="0" collapsed="false">
      <c r="A194" s="21" t="s">
        <v>189</v>
      </c>
      <c r="B194" s="21" t="s">
        <v>333</v>
      </c>
      <c r="C194" s="21" t="s">
        <v>336</v>
      </c>
      <c r="D194" s="37" t="n">
        <f aca="false">ROUND(Q194*R194,0)</f>
        <v>816</v>
      </c>
      <c r="E194" s="37" t="n">
        <f aca="false">ROUND(Q194,0)-D194</f>
        <v>874</v>
      </c>
      <c r="F194" s="37" t="n">
        <f aca="false">IF(COUNTA(D194:E194)=0,"",SUM(D194:E194))</f>
        <v>1690</v>
      </c>
      <c r="G194" s="52" t="n">
        <f aca="false">IF(OR(F194="",F194=0),"",D194/F194)</f>
        <v>0.482840236686391</v>
      </c>
      <c r="H194" s="52" t="n">
        <f aca="false">IF(OR(F194="",F194=0),"",E194/F194)</f>
        <v>0.51715976331361</v>
      </c>
      <c r="I194" s="21" t="s">
        <v>122</v>
      </c>
      <c r="J194" s="53" t="n">
        <v>1.86991787188303</v>
      </c>
      <c r="K194" s="52" t="n">
        <f aca="false">IF(G194="","",MAX(0,G194-J194/100))</f>
        <v>0.46414105796756</v>
      </c>
      <c r="L194" s="52" t="n">
        <f aca="false">IF(G194="","",MIN(1,G194+J194/100))</f>
        <v>0.501539415405221</v>
      </c>
      <c r="M194" s="37" t="n">
        <f aca="false">IF(F194="","",ROUND(F194*J194/100,0))</f>
        <v>32</v>
      </c>
      <c r="P194" s="54" t="n">
        <v>-2.00118497054399</v>
      </c>
      <c r="Q194" s="55" t="n">
        <f aca="false">T194*$H$5</f>
        <v>1690.06787762906</v>
      </c>
      <c r="R194" s="56" t="n">
        <f aca="false">MAX(0,MIN(1,P194/100+$D$5))</f>
        <v>0.482638623431778</v>
      </c>
      <c r="S194" s="57" t="s">
        <v>225</v>
      </c>
      <c r="T194" s="55" t="n">
        <v>1690.06787762906</v>
      </c>
    </row>
    <row r="195" customFormat="false" ht="15" hidden="false" customHeight="false" outlineLevel="0" collapsed="false">
      <c r="A195" s="21" t="s">
        <v>189</v>
      </c>
      <c r="B195" s="21" t="s">
        <v>333</v>
      </c>
      <c r="C195" s="21" t="s">
        <v>337</v>
      </c>
      <c r="D195" s="37" t="n">
        <f aca="false">ROUND(Q195*R195,0)</f>
        <v>617</v>
      </c>
      <c r="E195" s="37" t="n">
        <f aca="false">ROUND(Q195,0)-D195</f>
        <v>529</v>
      </c>
      <c r="F195" s="37" t="n">
        <f aca="false">IF(COUNTA(D195:E195)=0,"",SUM(D195:E195))</f>
        <v>1146</v>
      </c>
      <c r="G195" s="52" t="n">
        <f aca="false">IF(OR(F195="",F195=0),"",D195/F195)</f>
        <v>0.538394415357766</v>
      </c>
      <c r="H195" s="52" t="n">
        <f aca="false">IF(OR(F195="",F195=0),"",E195/F195)</f>
        <v>0.461605584642234</v>
      </c>
      <c r="I195" s="21" t="s">
        <v>122</v>
      </c>
      <c r="J195" s="53" t="n">
        <v>1.9254971424187</v>
      </c>
      <c r="K195" s="52" t="n">
        <f aca="false">IF(G195="","",MAX(0,G195-J195/100))</f>
        <v>0.519139443933579</v>
      </c>
      <c r="L195" s="52" t="n">
        <f aca="false">IF(G195="","",MIN(1,G195+J195/100))</f>
        <v>0.557649386781953</v>
      </c>
      <c r="M195" s="37" t="n">
        <f aca="false">IF(F195="","",ROUND(F195*J195/100,0))</f>
        <v>22</v>
      </c>
      <c r="P195" s="54" t="n">
        <v>3.58371477188208</v>
      </c>
      <c r="Q195" s="55" t="n">
        <f aca="false">T195*$H$5</f>
        <v>1145.8001397624</v>
      </c>
      <c r="R195" s="56" t="n">
        <f aca="false">MAX(0,MIN(1,P195/100+$D$5))</f>
        <v>0.538487620856039</v>
      </c>
      <c r="S195" s="57" t="s">
        <v>132</v>
      </c>
      <c r="T195" s="55" t="n">
        <v>1145.8001397624</v>
      </c>
    </row>
    <row r="196" customFormat="false" ht="15" hidden="false" customHeight="false" outlineLevel="0" collapsed="false">
      <c r="A196" s="21" t="s">
        <v>189</v>
      </c>
      <c r="B196" s="21" t="s">
        <v>333</v>
      </c>
      <c r="C196" s="21" t="s">
        <v>338</v>
      </c>
      <c r="D196" s="37" t="n">
        <f aca="false">ROUND(Q196*R196,0)</f>
        <v>1458</v>
      </c>
      <c r="E196" s="37" t="n">
        <f aca="false">ROUND(Q196,0)-D196</f>
        <v>1262</v>
      </c>
      <c r="F196" s="37" t="n">
        <f aca="false">IF(COUNTA(D196:E196)=0,"",SUM(D196:E196))</f>
        <v>2720</v>
      </c>
      <c r="G196" s="52" t="n">
        <f aca="false">IF(OR(F196="",F196=0),"",D196/F196)</f>
        <v>0.536029411764706</v>
      </c>
      <c r="H196" s="52" t="n">
        <f aca="false">IF(OR(F196="",F196=0),"",E196/F196)</f>
        <v>0.463970588235294</v>
      </c>
      <c r="I196" s="21" t="s">
        <v>122</v>
      </c>
      <c r="J196" s="53" t="n">
        <v>1.86991787188303</v>
      </c>
      <c r="K196" s="52" t="n">
        <f aca="false">IF(G196="","",MAX(0,G196-J196/100))</f>
        <v>0.517330233045876</v>
      </c>
      <c r="L196" s="52" t="n">
        <f aca="false">IF(G196="","",MIN(1,G196+J196/100))</f>
        <v>0.554728590483536</v>
      </c>
      <c r="M196" s="37" t="n">
        <f aca="false">IF(F196="","",ROUND(F196*J196/100,0))</f>
        <v>51</v>
      </c>
      <c r="P196" s="54" t="n">
        <v>3.33496867987051</v>
      </c>
      <c r="Q196" s="55" t="n">
        <f aca="false">T196*$H$5</f>
        <v>2719.88153310105</v>
      </c>
      <c r="R196" s="56" t="n">
        <f aca="false">MAX(0,MIN(1,P196/100+$D$5))</f>
        <v>0.536000159935923</v>
      </c>
      <c r="S196" s="57" t="s">
        <v>225</v>
      </c>
      <c r="T196" s="55" t="n">
        <v>2719.88153310105</v>
      </c>
    </row>
    <row r="197" customFormat="false" ht="15" hidden="false" customHeight="false" outlineLevel="0" collapsed="false">
      <c r="A197" s="21" t="s">
        <v>189</v>
      </c>
      <c r="B197" s="21" t="s">
        <v>333</v>
      </c>
      <c r="C197" s="21" t="s">
        <v>339</v>
      </c>
      <c r="D197" s="37" t="n">
        <f aca="false">ROUND(Q197*R197,0)</f>
        <v>503</v>
      </c>
      <c r="E197" s="37" t="n">
        <f aca="false">ROUND(Q197,0)-D197</f>
        <v>466</v>
      </c>
      <c r="F197" s="37" t="n">
        <f aca="false">IF(COUNTA(D197:E197)=0,"",SUM(D197:E197))</f>
        <v>969</v>
      </c>
      <c r="G197" s="52" t="n">
        <f aca="false">IF(OR(F197="",F197=0),"",D197/F197)</f>
        <v>0.519091847265222</v>
      </c>
      <c r="H197" s="52" t="n">
        <f aca="false">IF(OR(F197="",F197=0),"",E197/F197)</f>
        <v>0.480908152734778</v>
      </c>
      <c r="I197" s="21" t="s">
        <v>122</v>
      </c>
      <c r="J197" s="53" t="n">
        <v>1.9254971424187</v>
      </c>
      <c r="K197" s="52" t="n">
        <f aca="false">IF(G197="","",MAX(0,G197-J197/100))</f>
        <v>0.499836875841035</v>
      </c>
      <c r="L197" s="52" t="n">
        <f aca="false">IF(G197="","",MIN(1,G197+J197/100))</f>
        <v>0.538346818689409</v>
      </c>
      <c r="M197" s="37" t="n">
        <f aca="false">IF(F197="","",ROUND(F197*J197/100,0))</f>
        <v>19</v>
      </c>
      <c r="P197" s="54" t="n">
        <v>1.58802341166837</v>
      </c>
      <c r="Q197" s="55" t="n">
        <f aca="false">T197*$H$5</f>
        <v>969.162629757786</v>
      </c>
      <c r="R197" s="56" t="n">
        <f aca="false">MAX(0,MIN(1,P197/100+$D$5))</f>
        <v>0.518530707253901</v>
      </c>
      <c r="S197" s="57" t="s">
        <v>132</v>
      </c>
      <c r="T197" s="55" t="n">
        <v>969.162629757786</v>
      </c>
    </row>
    <row r="198" customFormat="false" ht="15" hidden="false" customHeight="false" outlineLevel="0" collapsed="false">
      <c r="A198" s="21" t="s">
        <v>189</v>
      </c>
      <c r="B198" s="21" t="s">
        <v>333</v>
      </c>
      <c r="C198" s="21" t="s">
        <v>340</v>
      </c>
      <c r="D198" s="37" t="n">
        <f aca="false">ROUND(Q198*R198,0)</f>
        <v>515</v>
      </c>
      <c r="E198" s="37" t="n">
        <f aca="false">ROUND(Q198,0)-D198</f>
        <v>415</v>
      </c>
      <c r="F198" s="37" t="n">
        <f aca="false">IF(COUNTA(D198:E198)=0,"",SUM(D198:E198))</f>
        <v>930</v>
      </c>
      <c r="G198" s="52" t="n">
        <f aca="false">IF(OR(F198="",F198=0),"",D198/F198)</f>
        <v>0.553763440860215</v>
      </c>
      <c r="H198" s="52" t="n">
        <f aca="false">IF(OR(F198="",F198=0),"",E198/F198)</f>
        <v>0.446236559139785</v>
      </c>
      <c r="I198" s="21" t="s">
        <v>122</v>
      </c>
      <c r="J198" s="53" t="n">
        <v>1.9254971424187</v>
      </c>
      <c r="K198" s="52" t="n">
        <f aca="false">IF(G198="","",MAX(0,G198-J198/100))</f>
        <v>0.534508469436028</v>
      </c>
      <c r="L198" s="52" t="n">
        <f aca="false">IF(G198="","",MIN(1,G198+J198/100))</f>
        <v>0.573018412284402</v>
      </c>
      <c r="M198" s="37" t="n">
        <f aca="false">IF(F198="","",ROUND(F198*J198/100,0))</f>
        <v>18</v>
      </c>
      <c r="P198" s="54" t="n">
        <v>5.09803387055305</v>
      </c>
      <c r="Q198" s="55" t="n">
        <f aca="false">T198*$H$5</f>
        <v>929.805201992252</v>
      </c>
      <c r="R198" s="56" t="n">
        <f aca="false">MAX(0,MIN(1,P198/100+$D$5))</f>
        <v>0.553630811842748</v>
      </c>
      <c r="S198" s="57" t="s">
        <v>132</v>
      </c>
      <c r="T198" s="55" t="n">
        <v>929.805201992252</v>
      </c>
    </row>
    <row r="199" customFormat="false" ht="15" hidden="false" customHeight="false" outlineLevel="0" collapsed="false">
      <c r="A199" s="21" t="s">
        <v>189</v>
      </c>
      <c r="B199" s="21" t="s">
        <v>333</v>
      </c>
      <c r="C199" s="21" t="s">
        <v>341</v>
      </c>
      <c r="D199" s="37" t="n">
        <f aca="false">ROUND(Q199*R199,0)</f>
        <v>547</v>
      </c>
      <c r="E199" s="37" t="n">
        <f aca="false">ROUND(Q199,0)-D199</f>
        <v>497</v>
      </c>
      <c r="F199" s="37" t="n">
        <f aca="false">IF(COUNTA(D199:E199)=0,"",SUM(D199:E199))</f>
        <v>1044</v>
      </c>
      <c r="G199" s="52" t="n">
        <f aca="false">IF(OR(F199="",F199=0),"",D199/F199)</f>
        <v>0.523946360153257</v>
      </c>
      <c r="H199" s="52" t="n">
        <f aca="false">IF(OR(F199="",F199=0),"",E199/F199)</f>
        <v>0.476053639846743</v>
      </c>
      <c r="I199" s="21" t="s">
        <v>122</v>
      </c>
      <c r="J199" s="53" t="n">
        <v>1.9254971424187</v>
      </c>
      <c r="K199" s="52" t="n">
        <f aca="false">IF(G199="","",MAX(0,G199-J199/100))</f>
        <v>0.50469138872907</v>
      </c>
      <c r="L199" s="52" t="n">
        <f aca="false">IF(G199="","",MIN(1,G199+J199/100))</f>
        <v>0.543201331577444</v>
      </c>
      <c r="M199" s="37" t="n">
        <f aca="false">IF(F199="","",ROUND(F199*J199/100,0))</f>
        <v>20</v>
      </c>
      <c r="P199" s="54" t="n">
        <v>2.09828414744937</v>
      </c>
      <c r="Q199" s="55" t="n">
        <f aca="false">T199*$H$5</f>
        <v>1044.14424242424</v>
      </c>
      <c r="R199" s="56" t="n">
        <f aca="false">MAX(0,MIN(1,P199/100+$D$5))</f>
        <v>0.523633314611711</v>
      </c>
      <c r="S199" s="57" t="s">
        <v>132</v>
      </c>
      <c r="T199" s="55" t="n">
        <v>1044.14424242424</v>
      </c>
    </row>
    <row r="200" customFormat="false" ht="15" hidden="false" customHeight="false" outlineLevel="0" collapsed="false">
      <c r="A200" s="21" t="s">
        <v>189</v>
      </c>
      <c r="B200" s="21" t="s">
        <v>342</v>
      </c>
      <c r="C200" s="21" t="s">
        <v>343</v>
      </c>
      <c r="D200" s="37" t="n">
        <f aca="false">ROUND(Q200*R200,0)</f>
        <v>1228</v>
      </c>
      <c r="E200" s="37" t="n">
        <f aca="false">ROUND(Q200,0)-D200</f>
        <v>1405</v>
      </c>
      <c r="F200" s="37" t="n">
        <f aca="false">IF(COUNTA(D200:E200)=0,"",SUM(D200:E200))</f>
        <v>2633</v>
      </c>
      <c r="G200" s="52" t="n">
        <f aca="false">IF(OR(F200="",F200=0),"",D200/F200)</f>
        <v>0.466388150398785</v>
      </c>
      <c r="H200" s="52" t="n">
        <f aca="false">IF(OR(F200="",F200=0),"",E200/F200)</f>
        <v>0.533611849601215</v>
      </c>
      <c r="I200" s="21" t="s">
        <v>122</v>
      </c>
      <c r="J200" s="53" t="n">
        <v>1.86991787188303</v>
      </c>
      <c r="K200" s="52" t="n">
        <f aca="false">IF(G200="","",MAX(0,G200-J200/100))</f>
        <v>0.447688971679954</v>
      </c>
      <c r="L200" s="52" t="n">
        <f aca="false">IF(G200="","",MIN(1,G200+J200/100))</f>
        <v>0.485087329117615</v>
      </c>
      <c r="M200" s="37" t="n">
        <f aca="false">IF(F200="","",ROUND(F200*J200/100,0))</f>
        <v>49</v>
      </c>
      <c r="P200" s="54" t="n">
        <v>-3.6107163390758</v>
      </c>
      <c r="Q200" s="55" t="n">
        <f aca="false">T200*$H$5</f>
        <v>2632.829612885</v>
      </c>
      <c r="R200" s="56" t="n">
        <f aca="false">MAX(0,MIN(1,P200/100+$D$5))</f>
        <v>0.46654330974646</v>
      </c>
      <c r="S200" s="57" t="s">
        <v>225</v>
      </c>
      <c r="T200" s="55" t="n">
        <v>2632.829612885</v>
      </c>
    </row>
    <row r="201" customFormat="false" ht="15" hidden="false" customHeight="false" outlineLevel="0" collapsed="false">
      <c r="A201" s="21" t="s">
        <v>189</v>
      </c>
      <c r="B201" s="21" t="s">
        <v>342</v>
      </c>
      <c r="C201" s="21" t="s">
        <v>344</v>
      </c>
      <c r="D201" s="37" t="n">
        <f aca="false">ROUND(Q201*R201,0)</f>
        <v>761</v>
      </c>
      <c r="E201" s="37" t="n">
        <f aca="false">ROUND(Q201,0)-D201</f>
        <v>1218</v>
      </c>
      <c r="F201" s="37" t="n">
        <f aca="false">IF(COUNTA(D201:E201)=0,"",SUM(D201:E201))</f>
        <v>1979</v>
      </c>
      <c r="G201" s="52" t="n">
        <f aca="false">IF(OR(F201="",F201=0),"",D201/F201)</f>
        <v>0.384537645275392</v>
      </c>
      <c r="H201" s="52" t="n">
        <f aca="false">IF(OR(F201="",F201=0),"",E201/F201)</f>
        <v>0.615462354724608</v>
      </c>
      <c r="I201" s="21" t="s">
        <v>122</v>
      </c>
      <c r="J201" s="53" t="n">
        <v>1.86991787188303</v>
      </c>
      <c r="K201" s="52" t="n">
        <f aca="false">IF(G201="","",MAX(0,G201-J201/100))</f>
        <v>0.365838466556561</v>
      </c>
      <c r="L201" s="52" t="n">
        <f aca="false">IF(G201="","",MIN(1,G201+J201/100))</f>
        <v>0.403236823994222</v>
      </c>
      <c r="M201" s="37" t="n">
        <f aca="false">IF(F201="","",ROUND(F201*J201/100,0))</f>
        <v>37</v>
      </c>
      <c r="P201" s="54" t="n">
        <v>-11.7980416267237</v>
      </c>
      <c r="Q201" s="55" t="n">
        <f aca="false">T201*$H$5</f>
        <v>1979.37527114968</v>
      </c>
      <c r="R201" s="56" t="n">
        <f aca="false">MAX(0,MIN(1,P201/100+$D$5))</f>
        <v>0.384670056869981</v>
      </c>
      <c r="S201" s="57" t="s">
        <v>225</v>
      </c>
      <c r="T201" s="55" t="n">
        <v>1979.37527114968</v>
      </c>
    </row>
    <row r="202" customFormat="false" ht="15" hidden="false" customHeight="false" outlineLevel="0" collapsed="false">
      <c r="A202" s="21" t="s">
        <v>189</v>
      </c>
      <c r="B202" s="21" t="s">
        <v>345</v>
      </c>
      <c r="C202" s="21" t="s">
        <v>346</v>
      </c>
      <c r="D202" s="37" t="n">
        <f aca="false">ROUND(Q202*R202,0)</f>
        <v>888</v>
      </c>
      <c r="E202" s="37" t="n">
        <f aca="false">ROUND(Q202,0)-D202</f>
        <v>881</v>
      </c>
      <c r="F202" s="37" t="n">
        <f aca="false">IF(COUNTA(D202:E202)=0,"",SUM(D202:E202))</f>
        <v>1769</v>
      </c>
      <c r="G202" s="52" t="n">
        <f aca="false">IF(OR(F202="",F202=0),"",D202/F202)</f>
        <v>0.501978518937253</v>
      </c>
      <c r="H202" s="52" t="n">
        <f aca="false">IF(OR(F202="",F202=0),"",E202/F202)</f>
        <v>0.498021481062747</v>
      </c>
      <c r="I202" s="21" t="s">
        <v>122</v>
      </c>
      <c r="J202" s="53" t="n">
        <v>1.86991787188303</v>
      </c>
      <c r="K202" s="52" t="n">
        <f aca="false">IF(G202="","",MAX(0,G202-J202/100))</f>
        <v>0.483279340218422</v>
      </c>
      <c r="L202" s="52" t="n">
        <f aca="false">IF(G202="","",MIN(1,G202+J202/100))</f>
        <v>0.520677697656083</v>
      </c>
      <c r="M202" s="37" t="n">
        <f aca="false">IF(F202="","",ROUND(F202*J202/100,0))</f>
        <v>33</v>
      </c>
      <c r="P202" s="54" t="n">
        <v>-0.0480327332676841</v>
      </c>
      <c r="Q202" s="55" t="n">
        <f aca="false">T202*$H$5</f>
        <v>1769.05616020897</v>
      </c>
      <c r="R202" s="56" t="n">
        <f aca="false">MAX(0,MIN(1,P202/100+$D$5))</f>
        <v>0.502170145804541</v>
      </c>
      <c r="S202" s="57" t="s">
        <v>225</v>
      </c>
      <c r="T202" s="55" t="n">
        <v>1769.05616020897</v>
      </c>
    </row>
    <row r="203" customFormat="false" ht="15" hidden="false" customHeight="false" outlineLevel="0" collapsed="false">
      <c r="A203" s="21" t="s">
        <v>189</v>
      </c>
      <c r="B203" s="21" t="s">
        <v>345</v>
      </c>
      <c r="C203" s="21" t="s">
        <v>347</v>
      </c>
      <c r="D203" s="37" t="n">
        <f aca="false">ROUND(Q203*R203,0)</f>
        <v>636</v>
      </c>
      <c r="E203" s="37" t="n">
        <f aca="false">ROUND(Q203,0)-D203</f>
        <v>669</v>
      </c>
      <c r="F203" s="37" t="n">
        <f aca="false">IF(COUNTA(D203:E203)=0,"",SUM(D203:E203))</f>
        <v>1305</v>
      </c>
      <c r="G203" s="52" t="n">
        <f aca="false">IF(OR(F203="",F203=0),"",D203/F203)</f>
        <v>0.48735632183908</v>
      </c>
      <c r="H203" s="52" t="n">
        <f aca="false">IF(OR(F203="",F203=0),"",E203/F203)</f>
        <v>0.51264367816092</v>
      </c>
      <c r="I203" s="21" t="s">
        <v>122</v>
      </c>
      <c r="J203" s="53" t="n">
        <v>1.86991787188303</v>
      </c>
      <c r="K203" s="52" t="n">
        <f aca="false">IF(G203="","",MAX(0,G203-J203/100))</f>
        <v>0.46865714312025</v>
      </c>
      <c r="L203" s="52" t="n">
        <f aca="false">IF(G203="","",MIN(1,G203+J203/100))</f>
        <v>0.506055500557911</v>
      </c>
      <c r="M203" s="37" t="n">
        <f aca="false">IF(F203="","",ROUND(F203*J203/100,0))</f>
        <v>24</v>
      </c>
      <c r="P203" s="54" t="n">
        <v>-1.50673730236966</v>
      </c>
      <c r="Q203" s="55" t="n">
        <f aca="false">T203*$H$5</f>
        <v>1304.62964959569</v>
      </c>
      <c r="R203" s="56" t="n">
        <f aca="false">MAX(0,MIN(1,P203/100+$D$5))</f>
        <v>0.487583100113521</v>
      </c>
      <c r="S203" s="57" t="s">
        <v>225</v>
      </c>
      <c r="T203" s="55" t="n">
        <v>1304.62964959569</v>
      </c>
    </row>
    <row r="204" customFormat="false" ht="15" hidden="false" customHeight="false" outlineLevel="0" collapsed="false">
      <c r="A204" s="21" t="s">
        <v>189</v>
      </c>
      <c r="B204" s="21" t="s">
        <v>345</v>
      </c>
      <c r="C204" s="21" t="s">
        <v>348</v>
      </c>
      <c r="D204" s="37" t="n">
        <f aca="false">ROUND(Q204*R204,0)</f>
        <v>636</v>
      </c>
      <c r="E204" s="37" t="n">
        <f aca="false">ROUND(Q204,0)-D204</f>
        <v>678</v>
      </c>
      <c r="F204" s="37" t="n">
        <f aca="false">IF(COUNTA(D204:E204)=0,"",SUM(D204:E204))</f>
        <v>1314</v>
      </c>
      <c r="G204" s="52" t="n">
        <f aca="false">IF(OR(F204="",F204=0),"",D204/F204)</f>
        <v>0.484018264840183</v>
      </c>
      <c r="H204" s="52" t="n">
        <f aca="false">IF(OR(F204="",F204=0),"",E204/F204)</f>
        <v>0.515981735159817</v>
      </c>
      <c r="I204" s="21" t="s">
        <v>122</v>
      </c>
      <c r="J204" s="53" t="n">
        <v>1.86991787188303</v>
      </c>
      <c r="K204" s="52" t="n">
        <f aca="false">IF(G204="","",MAX(0,G204-J204/100))</f>
        <v>0.465319086121352</v>
      </c>
      <c r="L204" s="52" t="n">
        <f aca="false">IF(G204="","",MIN(1,G204+J204/100))</f>
        <v>0.502717443559013</v>
      </c>
      <c r="M204" s="37" t="n">
        <f aca="false">IF(F204="","",ROUND(F204*J204/100,0))</f>
        <v>25</v>
      </c>
      <c r="P204" s="54" t="n">
        <v>-1.86712559730272</v>
      </c>
      <c r="Q204" s="55" t="n">
        <f aca="false">T204*$H$5</f>
        <v>1313.96987951807</v>
      </c>
      <c r="R204" s="56" t="n">
        <f aca="false">MAX(0,MIN(1,P204/100+$D$5))</f>
        <v>0.48397921716419</v>
      </c>
      <c r="S204" s="57" t="s">
        <v>225</v>
      </c>
      <c r="T204" s="55" t="n">
        <v>1313.96987951807</v>
      </c>
    </row>
    <row r="205" customFormat="false" ht="15" hidden="false" customHeight="false" outlineLevel="0" collapsed="false">
      <c r="A205" s="21" t="s">
        <v>189</v>
      </c>
      <c r="B205" s="21" t="s">
        <v>345</v>
      </c>
      <c r="C205" s="21" t="s">
        <v>349</v>
      </c>
      <c r="D205" s="37" t="n">
        <f aca="false">ROUND(Q205*R205,0)</f>
        <v>1398</v>
      </c>
      <c r="E205" s="37" t="n">
        <f aca="false">ROUND(Q205,0)-D205</f>
        <v>1446</v>
      </c>
      <c r="F205" s="37" t="n">
        <f aca="false">IF(COUNTA(D205:E205)=0,"",SUM(D205:E205))</f>
        <v>2844</v>
      </c>
      <c r="G205" s="52" t="n">
        <f aca="false">IF(OR(F205="",F205=0),"",D205/F205)</f>
        <v>0.491561181434599</v>
      </c>
      <c r="H205" s="52" t="n">
        <f aca="false">IF(OR(F205="",F205=0),"",E205/F205)</f>
        <v>0.508438818565401</v>
      </c>
      <c r="I205" s="21" t="s">
        <v>122</v>
      </c>
      <c r="J205" s="53" t="n">
        <v>1.86991787188303</v>
      </c>
      <c r="K205" s="52" t="n">
        <f aca="false">IF(G205="","",MAX(0,G205-J205/100))</f>
        <v>0.472862002715769</v>
      </c>
      <c r="L205" s="52" t="n">
        <f aca="false">IF(G205="","",MIN(1,G205+J205/100))</f>
        <v>0.51026036015343</v>
      </c>
      <c r="M205" s="37" t="n">
        <f aca="false">IF(F205="","",ROUND(F205*J205/100,0))</f>
        <v>53</v>
      </c>
      <c r="P205" s="54" t="n">
        <v>-1.11559893382862</v>
      </c>
      <c r="Q205" s="55" t="n">
        <f aca="false">T205*$H$5</f>
        <v>2844.46927374302</v>
      </c>
      <c r="R205" s="56" t="n">
        <f aca="false">MAX(0,MIN(1,P205/100+$D$5))</f>
        <v>0.491494483798932</v>
      </c>
      <c r="S205" s="57" t="s">
        <v>225</v>
      </c>
      <c r="T205" s="55" t="n">
        <v>2844.46927374302</v>
      </c>
    </row>
    <row r="206" customFormat="false" ht="15" hidden="false" customHeight="false" outlineLevel="0" collapsed="false">
      <c r="A206" s="21" t="s">
        <v>189</v>
      </c>
      <c r="B206" s="21" t="s">
        <v>345</v>
      </c>
      <c r="C206" s="21" t="s">
        <v>350</v>
      </c>
      <c r="D206" s="37" t="n">
        <f aca="false">ROUND(Q206*R206,0)</f>
        <v>553</v>
      </c>
      <c r="E206" s="37" t="n">
        <f aca="false">ROUND(Q206,0)-D206</f>
        <v>543</v>
      </c>
      <c r="F206" s="37" t="n">
        <f aca="false">IF(COUNTA(D206:E206)=0,"",SUM(D206:E206))</f>
        <v>1096</v>
      </c>
      <c r="G206" s="52" t="n">
        <f aca="false">IF(OR(F206="",F206=0),"",D206/F206)</f>
        <v>0.50456204379562</v>
      </c>
      <c r="H206" s="52" t="n">
        <f aca="false">IF(OR(F206="",F206=0),"",E206/F206)</f>
        <v>0.49543795620438</v>
      </c>
      <c r="I206" s="21" t="s">
        <v>122</v>
      </c>
      <c r="J206" s="53" t="n">
        <v>1.9254971424187</v>
      </c>
      <c r="K206" s="52" t="n">
        <f aca="false">IF(G206="","",MAX(0,G206-J206/100))</f>
        <v>0.485307072371433</v>
      </c>
      <c r="L206" s="52" t="n">
        <f aca="false">IF(G206="","",MIN(1,G206+J206/100))</f>
        <v>0.523817015219808</v>
      </c>
      <c r="M206" s="37" t="n">
        <f aca="false">IF(F206="","",ROUND(F206*J206/100,0))</f>
        <v>21</v>
      </c>
      <c r="P206" s="54" t="n">
        <v>0.172059780334575</v>
      </c>
      <c r="Q206" s="55" t="n">
        <f aca="false">T206*$H$5</f>
        <v>1095.71313506815</v>
      </c>
      <c r="R206" s="56" t="n">
        <f aca="false">MAX(0,MIN(1,P206/100+$D$5))</f>
        <v>0.504371070940563</v>
      </c>
      <c r="S206" s="57" t="s">
        <v>132</v>
      </c>
      <c r="T206" s="55" t="n">
        <v>1095.71313506815</v>
      </c>
    </row>
    <row r="207" customFormat="false" ht="15" hidden="false" customHeight="false" outlineLevel="0" collapsed="false">
      <c r="A207" s="21" t="s">
        <v>189</v>
      </c>
      <c r="B207" s="21" t="s">
        <v>345</v>
      </c>
      <c r="C207" s="21" t="s">
        <v>351</v>
      </c>
      <c r="D207" s="37" t="n">
        <f aca="false">ROUND(Q207*R207,0)</f>
        <v>525</v>
      </c>
      <c r="E207" s="37" t="n">
        <f aca="false">ROUND(Q207,0)-D207</f>
        <v>499</v>
      </c>
      <c r="F207" s="37" t="n">
        <f aca="false">IF(COUNTA(D207:E207)=0,"",SUM(D207:E207))</f>
        <v>1024</v>
      </c>
      <c r="G207" s="52" t="n">
        <f aca="false">IF(OR(F207="",F207=0),"",D207/F207)</f>
        <v>0.5126953125</v>
      </c>
      <c r="H207" s="52" t="n">
        <f aca="false">IF(OR(F207="",F207=0),"",E207/F207)</f>
        <v>0.4873046875</v>
      </c>
      <c r="I207" s="21" t="s">
        <v>122</v>
      </c>
      <c r="J207" s="53" t="n">
        <v>1.9254971424187</v>
      </c>
      <c r="K207" s="52" t="n">
        <f aca="false">IF(G207="","",MAX(0,G207-J207/100))</f>
        <v>0.493440341075813</v>
      </c>
      <c r="L207" s="52" t="n">
        <f aca="false">IF(G207="","",MIN(1,G207+J207/100))</f>
        <v>0.531950283924187</v>
      </c>
      <c r="M207" s="37" t="n">
        <f aca="false">IF(F207="","",ROUND(F207*J207/100,0))</f>
        <v>20</v>
      </c>
      <c r="P207" s="54" t="n">
        <v>1.01504156462233</v>
      </c>
      <c r="Q207" s="55" t="n">
        <f aca="false">T207*$H$5</f>
        <v>1023.63518138262</v>
      </c>
      <c r="R207" s="56" t="n">
        <f aca="false">MAX(0,MIN(1,P207/100+$D$5))</f>
        <v>0.512800888783441</v>
      </c>
      <c r="S207" s="57" t="s">
        <v>132</v>
      </c>
      <c r="T207" s="55" t="n">
        <v>1023.63518138262</v>
      </c>
    </row>
    <row r="208" customFormat="false" ht="15" hidden="false" customHeight="false" outlineLevel="0" collapsed="false">
      <c r="A208" s="21" t="s">
        <v>189</v>
      </c>
      <c r="B208" s="21" t="s">
        <v>352</v>
      </c>
      <c r="C208" s="21" t="s">
        <v>353</v>
      </c>
      <c r="D208" s="37" t="n">
        <f aca="false">ROUND(Q208*R208,0)</f>
        <v>199</v>
      </c>
      <c r="E208" s="37" t="n">
        <f aca="false">ROUND(Q208,0)-D208</f>
        <v>405</v>
      </c>
      <c r="F208" s="37" t="n">
        <f aca="false">IF(COUNTA(D208:E208)=0,"",SUM(D208:E208))</f>
        <v>604</v>
      </c>
      <c r="G208" s="52" t="n">
        <f aca="false">IF(OR(F208="",F208=0),"",D208/F208)</f>
        <v>0.329470198675497</v>
      </c>
      <c r="H208" s="52" t="n">
        <f aca="false">IF(OR(F208="",F208=0),"",E208/F208)</f>
        <v>0.670529801324503</v>
      </c>
      <c r="I208" s="21" t="s">
        <v>122</v>
      </c>
      <c r="J208" s="53" t="n">
        <v>2.87918965002339</v>
      </c>
      <c r="K208" s="52" t="n">
        <f aca="false">IF(G208="","",MAX(0,G208-J208/100))</f>
        <v>0.300678302175263</v>
      </c>
      <c r="L208" s="52" t="n">
        <f aca="false">IF(G208="","",MIN(1,G208+J208/100))</f>
        <v>0.358262095175731</v>
      </c>
      <c r="M208" s="37" t="n">
        <f aca="false">IF(F208="","",ROUND(F208*J208/100,0))</f>
        <v>17</v>
      </c>
      <c r="P208" s="54" t="n">
        <v>-17.2627971980748</v>
      </c>
      <c r="Q208" s="55" t="n">
        <f aca="false">T208*$H$5</f>
        <v>604.352941176471</v>
      </c>
      <c r="R208" s="56" t="n">
        <f aca="false">MAX(0,MIN(1,P208/100+$D$5))</f>
        <v>0.330022501156469</v>
      </c>
      <c r="S208" s="57" t="s">
        <v>123</v>
      </c>
      <c r="T208" s="55" t="n">
        <v>604.352941176471</v>
      </c>
    </row>
    <row r="209" customFormat="false" ht="15" hidden="false" customHeight="false" outlineLevel="0" collapsed="false">
      <c r="A209" s="21" t="s">
        <v>189</v>
      </c>
      <c r="B209" s="21" t="s">
        <v>352</v>
      </c>
      <c r="C209" s="21" t="s">
        <v>354</v>
      </c>
      <c r="D209" s="37" t="n">
        <f aca="false">ROUND(Q209*R209,0)</f>
        <v>679</v>
      </c>
      <c r="E209" s="37" t="n">
        <f aca="false">ROUND(Q209,0)-D209</f>
        <v>1278</v>
      </c>
      <c r="F209" s="37" t="n">
        <f aca="false">IF(COUNTA(D209:E209)=0,"",SUM(D209:E209))</f>
        <v>1957</v>
      </c>
      <c r="G209" s="52" t="n">
        <f aca="false">IF(OR(F209="",F209=0),"",D209/F209)</f>
        <v>0.346959632089934</v>
      </c>
      <c r="H209" s="52" t="n">
        <f aca="false">IF(OR(F209="",F209=0),"",E209/F209)</f>
        <v>0.653040367910067</v>
      </c>
      <c r="I209" s="21" t="s">
        <v>122</v>
      </c>
      <c r="J209" s="53" t="n">
        <v>1.86991787188303</v>
      </c>
      <c r="K209" s="52" t="n">
        <f aca="false">IF(G209="","",MAX(0,G209-J209/100))</f>
        <v>0.328260453371103</v>
      </c>
      <c r="L209" s="52" t="n">
        <f aca="false">IF(G209="","",MIN(1,G209+J209/100))</f>
        <v>0.365658810808764</v>
      </c>
      <c r="M209" s="37" t="n">
        <f aca="false">IF(F209="","",ROUND(F209*J209/100,0))</f>
        <v>37</v>
      </c>
      <c r="P209" s="54" t="n">
        <v>-15.5491353701103</v>
      </c>
      <c r="Q209" s="55" t="n">
        <f aca="false">T209*$H$5</f>
        <v>1956.62307176392</v>
      </c>
      <c r="R209" s="56" t="n">
        <f aca="false">MAX(0,MIN(1,P209/100+$D$5))</f>
        <v>0.347159119436115</v>
      </c>
      <c r="S209" s="57" t="s">
        <v>225</v>
      </c>
      <c r="T209" s="55" t="n">
        <v>1956.62307176392</v>
      </c>
    </row>
    <row r="210" customFormat="false" ht="15" hidden="false" customHeight="false" outlineLevel="0" collapsed="false">
      <c r="A210" s="21" t="s">
        <v>189</v>
      </c>
      <c r="B210" s="21" t="s">
        <v>352</v>
      </c>
      <c r="C210" s="21" t="s">
        <v>355</v>
      </c>
      <c r="D210" s="37" t="n">
        <f aca="false">ROUND(Q210*R210,0)</f>
        <v>159</v>
      </c>
      <c r="E210" s="37" t="n">
        <f aca="false">ROUND(Q210,0)-D210</f>
        <v>383</v>
      </c>
      <c r="F210" s="37" t="n">
        <f aca="false">IF(COUNTA(D210:E210)=0,"",SUM(D210:E210))</f>
        <v>542</v>
      </c>
      <c r="G210" s="52" t="n">
        <f aca="false">IF(OR(F210="",F210=0),"",D210/F210)</f>
        <v>0.293357933579336</v>
      </c>
      <c r="H210" s="52" t="n">
        <f aca="false">IF(OR(F210="",F210=0),"",E210/F210)</f>
        <v>0.706642066420664</v>
      </c>
      <c r="I210" s="21" t="s">
        <v>122</v>
      </c>
      <c r="J210" s="53" t="n">
        <v>2.87918965002339</v>
      </c>
      <c r="K210" s="52" t="n">
        <f aca="false">IF(G210="","",MAX(0,G210-J210/100))</f>
        <v>0.264566037079102</v>
      </c>
      <c r="L210" s="52" t="n">
        <f aca="false">IF(G210="","",MIN(1,G210+J210/100))</f>
        <v>0.32214983007957</v>
      </c>
      <c r="M210" s="37" t="n">
        <f aca="false">IF(F210="","",ROUND(F210*J210/100,0))</f>
        <v>16</v>
      </c>
      <c r="P210" s="54" t="n">
        <v>-20.904705422011</v>
      </c>
      <c r="Q210" s="55" t="n">
        <f aca="false">T210*$H$5</f>
        <v>542.370466321243</v>
      </c>
      <c r="R210" s="56" t="n">
        <f aca="false">MAX(0,MIN(1,P210/100+$D$5))</f>
        <v>0.293603418917108</v>
      </c>
      <c r="S210" s="57" t="s">
        <v>123</v>
      </c>
      <c r="T210" s="55" t="n">
        <v>542.370466321243</v>
      </c>
    </row>
    <row r="211" customFormat="false" ht="15" hidden="false" customHeight="false" outlineLevel="0" collapsed="false">
      <c r="A211" s="21" t="s">
        <v>189</v>
      </c>
      <c r="B211" s="21" t="s">
        <v>356</v>
      </c>
      <c r="C211" s="21" t="s">
        <v>356</v>
      </c>
      <c r="D211" s="37" t="n">
        <f aca="false">ROUND(Q211*R211,0)</f>
        <v>957</v>
      </c>
      <c r="E211" s="37" t="n">
        <f aca="false">ROUND(Q211,0)-D211</f>
        <v>1783</v>
      </c>
      <c r="F211" s="37" t="n">
        <f aca="false">IF(COUNTA(D211:E211)=0,"",SUM(D211:E211))</f>
        <v>2740</v>
      </c>
      <c r="G211" s="52" t="n">
        <f aca="false">IF(OR(F211="",F211=0),"",D211/F211)</f>
        <v>0.349270072992701</v>
      </c>
      <c r="H211" s="52" t="n">
        <f aca="false">IF(OR(F211="",F211=0),"",E211/F211)</f>
        <v>0.650729927007299</v>
      </c>
      <c r="I211" s="21" t="s">
        <v>122</v>
      </c>
      <c r="J211" s="53" t="n">
        <v>1.86991787188303</v>
      </c>
      <c r="K211" s="52" t="n">
        <f aca="false">IF(G211="","",MAX(0,G211-J211/100))</f>
        <v>0.33057089427387</v>
      </c>
      <c r="L211" s="52" t="n">
        <f aca="false">IF(G211="","",MIN(1,G211+J211/100))</f>
        <v>0.367969251711531</v>
      </c>
      <c r="M211" s="37" t="n">
        <f aca="false">IF(F211="","",ROUND(F211*J211/100,0))</f>
        <v>51</v>
      </c>
      <c r="P211" s="54" t="n">
        <v>-15.3160203349108</v>
      </c>
      <c r="Q211" s="55" t="n">
        <f aca="false">T211*$H$5</f>
        <v>2739.5017118778</v>
      </c>
      <c r="R211" s="56" t="n">
        <f aca="false">MAX(0,MIN(1,P211/100+$D$5))</f>
        <v>0.34949026978811</v>
      </c>
      <c r="S211" s="57" t="s">
        <v>225</v>
      </c>
      <c r="T211" s="55" t="n">
        <v>2739.5017118778</v>
      </c>
    </row>
    <row r="212" customFormat="false" ht="15" hidden="false" customHeight="false" outlineLevel="0" collapsed="false">
      <c r="A212" s="21" t="s">
        <v>189</v>
      </c>
      <c r="B212" s="21" t="s">
        <v>357</v>
      </c>
      <c r="C212" s="21" t="s">
        <v>358</v>
      </c>
      <c r="D212" s="37" t="n">
        <f aca="false">ROUND(Q212*R212,0)</f>
        <v>676</v>
      </c>
      <c r="E212" s="37" t="n">
        <f aca="false">ROUND(Q212,0)-D212</f>
        <v>694</v>
      </c>
      <c r="F212" s="37" t="n">
        <f aca="false">IF(COUNTA(D212:E212)=0,"",SUM(D212:E212))</f>
        <v>1370</v>
      </c>
      <c r="G212" s="52" t="n">
        <f aca="false">IF(OR(F212="",F212=0),"",D212/F212)</f>
        <v>0.493430656934307</v>
      </c>
      <c r="H212" s="52" t="n">
        <f aca="false">IF(OR(F212="",F212=0),"",E212/F212)</f>
        <v>0.506569343065694</v>
      </c>
      <c r="I212" s="21" t="s">
        <v>122</v>
      </c>
      <c r="J212" s="53" t="n">
        <v>1.86991787188303</v>
      </c>
      <c r="K212" s="52" t="n">
        <f aca="false">IF(G212="","",MAX(0,G212-J212/100))</f>
        <v>0.474731478215476</v>
      </c>
      <c r="L212" s="52" t="n">
        <f aca="false">IF(G212="","",MIN(1,G212+J212/100))</f>
        <v>0.512129835653137</v>
      </c>
      <c r="M212" s="37" t="n">
        <f aca="false">IF(F212="","",ROUND(F212*J212/100,0))</f>
        <v>26</v>
      </c>
      <c r="P212" s="54" t="n">
        <v>-0.954041233711859</v>
      </c>
      <c r="Q212" s="55" t="n">
        <f aca="false">T212*$H$5</f>
        <v>1370.10933470861</v>
      </c>
      <c r="R212" s="56" t="n">
        <f aca="false">MAX(0,MIN(1,P212/100+$D$5))</f>
        <v>0.493110060800099</v>
      </c>
      <c r="S212" s="57" t="s">
        <v>225</v>
      </c>
      <c r="T212" s="55" t="n">
        <v>1370.10933470861</v>
      </c>
    </row>
    <row r="213" customFormat="false" ht="15" hidden="false" customHeight="false" outlineLevel="0" collapsed="false">
      <c r="A213" s="21" t="s">
        <v>189</v>
      </c>
      <c r="B213" s="21" t="s">
        <v>357</v>
      </c>
      <c r="C213" s="21" t="s">
        <v>359</v>
      </c>
      <c r="D213" s="37" t="n">
        <f aca="false">ROUND(Q213*R213,0)</f>
        <v>484</v>
      </c>
      <c r="E213" s="37" t="n">
        <f aca="false">ROUND(Q213,0)-D213</f>
        <v>492</v>
      </c>
      <c r="F213" s="37" t="n">
        <f aca="false">IF(COUNTA(D213:E213)=0,"",SUM(D213:E213))</f>
        <v>976</v>
      </c>
      <c r="G213" s="52" t="n">
        <f aca="false">IF(OR(F213="",F213=0),"",D213/F213)</f>
        <v>0.495901639344262</v>
      </c>
      <c r="H213" s="52" t="n">
        <f aca="false">IF(OR(F213="",F213=0),"",E213/F213)</f>
        <v>0.504098360655738</v>
      </c>
      <c r="I213" s="21" t="s">
        <v>122</v>
      </c>
      <c r="J213" s="53" t="n">
        <v>1.9254971424187</v>
      </c>
      <c r="K213" s="52" t="n">
        <f aca="false">IF(G213="","",MAX(0,G213-J213/100))</f>
        <v>0.476646667920075</v>
      </c>
      <c r="L213" s="52" t="n">
        <f aca="false">IF(G213="","",MIN(1,G213+J213/100))</f>
        <v>0.515156610768449</v>
      </c>
      <c r="M213" s="37" t="n">
        <f aca="false">IF(F213="","",ROUND(F213*J213/100,0))</f>
        <v>19</v>
      </c>
      <c r="P213" s="54" t="n">
        <v>-0.681939396407586</v>
      </c>
      <c r="Q213" s="55" t="n">
        <f aca="false">T213*$H$5</f>
        <v>975.592154420922</v>
      </c>
      <c r="R213" s="56" t="n">
        <f aca="false">MAX(0,MIN(1,P213/100+$D$5))</f>
        <v>0.495831079173142</v>
      </c>
      <c r="S213" s="57" t="s">
        <v>132</v>
      </c>
      <c r="T213" s="55" t="n">
        <v>975.592154420922</v>
      </c>
    </row>
    <row r="214" customFormat="false" ht="15" hidden="false" customHeight="false" outlineLevel="0" collapsed="false">
      <c r="A214" s="21" t="s">
        <v>189</v>
      </c>
      <c r="B214" s="21" t="s">
        <v>357</v>
      </c>
      <c r="C214" s="21" t="s">
        <v>360</v>
      </c>
      <c r="D214" s="37" t="n">
        <f aca="false">ROUND(Q214*R214,0)</f>
        <v>529</v>
      </c>
      <c r="E214" s="37" t="n">
        <f aca="false">ROUND(Q214,0)-D214</f>
        <v>408</v>
      </c>
      <c r="F214" s="37" t="n">
        <f aca="false">IF(COUNTA(D214:E214)=0,"",SUM(D214:E214))</f>
        <v>937</v>
      </c>
      <c r="G214" s="52" t="n">
        <f aca="false">IF(OR(F214="",F214=0),"",D214/F214)</f>
        <v>0.564567769477054</v>
      </c>
      <c r="H214" s="52" t="n">
        <f aca="false">IF(OR(F214="",F214=0),"",E214/F214)</f>
        <v>0.435432230522946</v>
      </c>
      <c r="I214" s="21" t="s">
        <v>122</v>
      </c>
      <c r="J214" s="53" t="n">
        <v>1.9254971424187</v>
      </c>
      <c r="K214" s="52" t="n">
        <f aca="false">IF(G214="","",MAX(0,G214-J214/100))</f>
        <v>0.545312798052867</v>
      </c>
      <c r="L214" s="52" t="n">
        <f aca="false">IF(G214="","",MIN(1,G214+J214/100))</f>
        <v>0.583822740901242</v>
      </c>
      <c r="M214" s="37" t="n">
        <f aca="false">IF(F214="","",ROUND(F214*J214/100,0))</f>
        <v>18</v>
      </c>
      <c r="P214" s="54" t="n">
        <v>6.200244519712</v>
      </c>
      <c r="Q214" s="55" t="n">
        <f aca="false">T214*$H$5</f>
        <v>936.993243243243</v>
      </c>
      <c r="R214" s="56" t="n">
        <f aca="false">MAX(0,MIN(1,P214/100+$D$5))</f>
        <v>0.564652918334338</v>
      </c>
      <c r="S214" s="57" t="s">
        <v>132</v>
      </c>
      <c r="T214" s="55" t="n">
        <v>936.993243243243</v>
      </c>
    </row>
    <row r="215" customFormat="false" ht="15" hidden="false" customHeight="false" outlineLevel="0" collapsed="false">
      <c r="A215" s="21" t="s">
        <v>189</v>
      </c>
      <c r="B215" s="21" t="s">
        <v>357</v>
      </c>
      <c r="C215" s="21" t="s">
        <v>361</v>
      </c>
      <c r="D215" s="37" t="n">
        <f aca="false">ROUND(Q215*R215,0)</f>
        <v>594</v>
      </c>
      <c r="E215" s="37" t="n">
        <f aca="false">ROUND(Q215,0)-D215</f>
        <v>410</v>
      </c>
      <c r="F215" s="37" t="n">
        <f aca="false">IF(COUNTA(D215:E215)=0,"",SUM(D215:E215))</f>
        <v>1004</v>
      </c>
      <c r="G215" s="52" t="n">
        <f aca="false">IF(OR(F215="",F215=0),"",D215/F215)</f>
        <v>0.591633466135458</v>
      </c>
      <c r="H215" s="52" t="n">
        <f aca="false">IF(OR(F215="",F215=0),"",E215/F215)</f>
        <v>0.408366533864542</v>
      </c>
      <c r="I215" s="21" t="s">
        <v>122</v>
      </c>
      <c r="J215" s="53" t="n">
        <v>1.9254971424187</v>
      </c>
      <c r="K215" s="52" t="n">
        <f aca="false">IF(G215="","",MAX(0,G215-J215/100))</f>
        <v>0.572378494711271</v>
      </c>
      <c r="L215" s="52" t="n">
        <f aca="false">IF(G215="","",MIN(1,G215+J215/100))</f>
        <v>0.610888437559645</v>
      </c>
      <c r="M215" s="37" t="n">
        <f aca="false">IF(F215="","",ROUND(F215*J215/100,0))</f>
        <v>19</v>
      </c>
      <c r="P215" s="54" t="n">
        <v>8.88876839113647</v>
      </c>
      <c r="Q215" s="55" t="n">
        <f aca="false">T215*$H$5</f>
        <v>1003.94947569114</v>
      </c>
      <c r="R215" s="56" t="n">
        <f aca="false">MAX(0,MIN(1,P215/100+$D$5))</f>
        <v>0.591538157048582</v>
      </c>
      <c r="S215" s="57" t="s">
        <v>132</v>
      </c>
      <c r="T215" s="55" t="n">
        <v>1003.94947569114</v>
      </c>
    </row>
    <row r="216" customFormat="false" ht="15" hidden="false" customHeight="false" outlineLevel="0" collapsed="false">
      <c r="A216" s="21" t="s">
        <v>189</v>
      </c>
      <c r="B216" s="21" t="s">
        <v>357</v>
      </c>
      <c r="C216" s="21" t="s">
        <v>362</v>
      </c>
      <c r="D216" s="37" t="n">
        <f aca="false">ROUND(Q216*R216,0)</f>
        <v>224</v>
      </c>
      <c r="E216" s="37" t="n">
        <f aca="false">ROUND(Q216,0)-D216</f>
        <v>175</v>
      </c>
      <c r="F216" s="37" t="n">
        <f aca="false">IF(COUNTA(D216:E216)=0,"",SUM(D216:E216))</f>
        <v>399</v>
      </c>
      <c r="G216" s="52" t="n">
        <f aca="false">IF(OR(F216="",F216=0),"",D216/F216)</f>
        <v>0.56140350877193</v>
      </c>
      <c r="H216" s="52" t="n">
        <f aca="false">IF(OR(F216="",F216=0),"",E216/F216)</f>
        <v>0.43859649122807</v>
      </c>
      <c r="I216" s="21" t="s">
        <v>122</v>
      </c>
      <c r="J216" s="53" t="n">
        <v>2.87918965002339</v>
      </c>
      <c r="K216" s="52" t="n">
        <f aca="false">IF(G216="","",MAX(0,G216-J216/100))</f>
        <v>0.532611612271696</v>
      </c>
      <c r="L216" s="52" t="n">
        <f aca="false">IF(G216="","",MIN(1,G216+J216/100))</f>
        <v>0.590195405272164</v>
      </c>
      <c r="M216" s="37" t="n">
        <f aca="false">IF(F216="","",ROUND(F216*J216/100,0))</f>
        <v>11</v>
      </c>
      <c r="P216" s="54" t="n">
        <v>5.9346512051273</v>
      </c>
      <c r="Q216" s="55" t="n">
        <f aca="false">T216*$H$5</f>
        <v>398.675306957708</v>
      </c>
      <c r="R216" s="56" t="n">
        <f aca="false">MAX(0,MIN(1,P216/100+$D$5))</f>
        <v>0.561996985188491</v>
      </c>
      <c r="S216" s="57" t="s">
        <v>123</v>
      </c>
      <c r="T216" s="55" t="n">
        <v>398.675306957708</v>
      </c>
    </row>
    <row r="217" customFormat="false" ht="15" hidden="false" customHeight="false" outlineLevel="0" collapsed="false">
      <c r="A217" s="21" t="s">
        <v>189</v>
      </c>
      <c r="B217" s="21" t="s">
        <v>357</v>
      </c>
      <c r="C217" s="21" t="s">
        <v>363</v>
      </c>
      <c r="D217" s="37" t="n">
        <f aca="false">ROUND(Q217*R217,0)</f>
        <v>313</v>
      </c>
      <c r="E217" s="37" t="n">
        <f aca="false">ROUND(Q217,0)-D217</f>
        <v>207</v>
      </c>
      <c r="F217" s="37" t="n">
        <f aca="false">IF(COUNTA(D217:E217)=0,"",SUM(D217:E217))</f>
        <v>520</v>
      </c>
      <c r="G217" s="52" t="n">
        <f aca="false">IF(OR(F217="",F217=0),"",D217/F217)</f>
        <v>0.601923076923077</v>
      </c>
      <c r="H217" s="52" t="n">
        <f aca="false">IF(OR(F217="",F217=0),"",E217/F217)</f>
        <v>0.398076923076923</v>
      </c>
      <c r="I217" s="21" t="s">
        <v>122</v>
      </c>
      <c r="J217" s="53" t="n">
        <v>2.87918965002339</v>
      </c>
      <c r="K217" s="52" t="n">
        <f aca="false">IF(G217="","",MAX(0,G217-J217/100))</f>
        <v>0.573131180422843</v>
      </c>
      <c r="L217" s="52" t="n">
        <f aca="false">IF(G217="","",MIN(1,G217+J217/100))</f>
        <v>0.630714973423311</v>
      </c>
      <c r="M217" s="37" t="n">
        <f aca="false">IF(F217="","",ROUND(F217*J217/100,0))</f>
        <v>15</v>
      </c>
      <c r="P217" s="54" t="n">
        <v>9.88315290862875</v>
      </c>
      <c r="Q217" s="55" t="n">
        <f aca="false">T217*$H$5</f>
        <v>520.227272727273</v>
      </c>
      <c r="R217" s="56" t="n">
        <f aca="false">MAX(0,MIN(1,P217/100+$D$5))</f>
        <v>0.601482002223505</v>
      </c>
      <c r="S217" s="57" t="s">
        <v>123</v>
      </c>
      <c r="T217" s="55" t="n">
        <v>520.227272727273</v>
      </c>
    </row>
    <row r="218" customFormat="false" ht="15" hidden="false" customHeight="false" outlineLevel="0" collapsed="false">
      <c r="A218" s="21" t="s">
        <v>189</v>
      </c>
      <c r="B218" s="21" t="s">
        <v>357</v>
      </c>
      <c r="C218" s="21" t="s">
        <v>364</v>
      </c>
      <c r="D218" s="37" t="n">
        <f aca="false">ROUND(Q218*R218,0)</f>
        <v>390</v>
      </c>
      <c r="E218" s="37" t="n">
        <f aca="false">ROUND(Q218,0)-D218</f>
        <v>297</v>
      </c>
      <c r="F218" s="37" t="n">
        <f aca="false">IF(COUNTA(D218:E218)=0,"",SUM(D218:E218))</f>
        <v>687</v>
      </c>
      <c r="G218" s="52" t="n">
        <f aca="false">IF(OR(F218="",F218=0),"",D218/F218)</f>
        <v>0.567685589519651</v>
      </c>
      <c r="H218" s="52" t="n">
        <f aca="false">IF(OR(F218="",F218=0),"",E218/F218)</f>
        <v>0.432314410480349</v>
      </c>
      <c r="I218" s="21" t="s">
        <v>122</v>
      </c>
      <c r="J218" s="53" t="n">
        <v>2.87918965002339</v>
      </c>
      <c r="K218" s="52" t="n">
        <f aca="false">IF(G218="","",MAX(0,G218-J218/100))</f>
        <v>0.538893693019417</v>
      </c>
      <c r="L218" s="52" t="n">
        <f aca="false">IF(G218="","",MIN(1,G218+J218/100))</f>
        <v>0.596477486019885</v>
      </c>
      <c r="M218" s="37" t="n">
        <f aca="false">IF(F218="","",ROUND(F218*J218/100,0))</f>
        <v>20</v>
      </c>
      <c r="P218" s="54" t="n">
        <v>6.45131565212966</v>
      </c>
      <c r="Q218" s="55" t="n">
        <f aca="false">T218*$H$5</f>
        <v>687.489614243323</v>
      </c>
      <c r="R218" s="56" t="n">
        <f aca="false">MAX(0,MIN(1,P218/100+$D$5))</f>
        <v>0.567163629658514</v>
      </c>
      <c r="S218" s="57" t="s">
        <v>123</v>
      </c>
      <c r="T218" s="55" t="n">
        <v>687.489614243323</v>
      </c>
    </row>
    <row r="219" customFormat="false" ht="15" hidden="false" customHeight="false" outlineLevel="0" collapsed="false">
      <c r="A219" s="21" t="s">
        <v>189</v>
      </c>
      <c r="B219" s="21" t="s">
        <v>357</v>
      </c>
      <c r="C219" s="21" t="s">
        <v>365</v>
      </c>
      <c r="D219" s="37" t="n">
        <f aca="false">ROUND(Q219*R219,0)</f>
        <v>223</v>
      </c>
      <c r="E219" s="37" t="n">
        <f aca="false">ROUND(Q219,0)-D219</f>
        <v>227</v>
      </c>
      <c r="F219" s="37" t="n">
        <f aca="false">IF(COUNTA(D219:E219)=0,"",SUM(D219:E219))</f>
        <v>450</v>
      </c>
      <c r="G219" s="52" t="n">
        <f aca="false">IF(OR(F219="",F219=0),"",D219/F219)</f>
        <v>0.495555555555556</v>
      </c>
      <c r="H219" s="52" t="n">
        <f aca="false">IF(OR(F219="",F219=0),"",E219/F219)</f>
        <v>0.504444444444445</v>
      </c>
      <c r="I219" s="21" t="s">
        <v>122</v>
      </c>
      <c r="J219" s="53" t="n">
        <v>2.87918965002339</v>
      </c>
      <c r="K219" s="52" t="n">
        <f aca="false">IF(G219="","",MAX(0,G219-J219/100))</f>
        <v>0.466763659055322</v>
      </c>
      <c r="L219" s="52" t="n">
        <f aca="false">IF(G219="","",MIN(1,G219+J219/100))</f>
        <v>0.52434745205579</v>
      </c>
      <c r="M219" s="37" t="n">
        <f aca="false">IF(F219="","",ROUND(F219*J219/100,0))</f>
        <v>13</v>
      </c>
      <c r="P219" s="54" t="n">
        <v>-0.604641325535683</v>
      </c>
      <c r="Q219" s="55" t="n">
        <f aca="false">T219*$H$5</f>
        <v>449.830708661417</v>
      </c>
      <c r="R219" s="56" t="n">
        <f aca="false">MAX(0,MIN(1,P219/100+$D$5))</f>
        <v>0.496604059881861</v>
      </c>
      <c r="S219" s="57" t="s">
        <v>123</v>
      </c>
      <c r="T219" s="55" t="n">
        <v>449.830708661417</v>
      </c>
    </row>
    <row r="220" customFormat="false" ht="15" hidden="false" customHeight="false" outlineLevel="0" collapsed="false">
      <c r="A220" s="21" t="s">
        <v>189</v>
      </c>
      <c r="B220" s="21" t="s">
        <v>357</v>
      </c>
      <c r="C220" s="21" t="s">
        <v>366</v>
      </c>
      <c r="D220" s="37" t="n">
        <f aca="false">ROUND(Q220*R220,0)</f>
        <v>419</v>
      </c>
      <c r="E220" s="37" t="n">
        <f aca="false">ROUND(Q220,0)-D220</f>
        <v>364</v>
      </c>
      <c r="F220" s="37" t="n">
        <f aca="false">IF(COUNTA(D220:E220)=0,"",SUM(D220:E220))</f>
        <v>783</v>
      </c>
      <c r="G220" s="52" t="n">
        <f aca="false">IF(OR(F220="",F220=0),"",D220/F220)</f>
        <v>0.535121328224777</v>
      </c>
      <c r="H220" s="52" t="n">
        <f aca="false">IF(OR(F220="",F220=0),"",E220/F220)</f>
        <v>0.464878671775224</v>
      </c>
      <c r="I220" s="21" t="s">
        <v>122</v>
      </c>
      <c r="J220" s="53" t="n">
        <v>1.9254971424187</v>
      </c>
      <c r="K220" s="52" t="n">
        <f aca="false">IF(G220="","",MAX(0,G220-J220/100))</f>
        <v>0.51586635680059</v>
      </c>
      <c r="L220" s="52" t="n">
        <f aca="false">IF(G220="","",MIN(1,G220+J220/100))</f>
        <v>0.554376299648964</v>
      </c>
      <c r="M220" s="37" t="n">
        <f aca="false">IF(F220="","",ROUND(F220*J220/100,0))</f>
        <v>15</v>
      </c>
      <c r="P220" s="54" t="n">
        <v>3.26469009492534</v>
      </c>
      <c r="Q220" s="55" t="n">
        <f aca="false">T220*$H$5</f>
        <v>782.513274336283</v>
      </c>
      <c r="R220" s="56" t="n">
        <f aca="false">MAX(0,MIN(1,P220/100+$D$5))</f>
        <v>0.535297374086471</v>
      </c>
      <c r="S220" s="57" t="s">
        <v>132</v>
      </c>
      <c r="T220" s="55" t="n">
        <v>782.513274336283</v>
      </c>
    </row>
    <row r="221" customFormat="false" ht="15" hidden="false" customHeight="false" outlineLevel="0" collapsed="false">
      <c r="A221" s="21" t="s">
        <v>189</v>
      </c>
      <c r="B221" s="21" t="s">
        <v>357</v>
      </c>
      <c r="C221" s="21" t="s">
        <v>367</v>
      </c>
      <c r="D221" s="37" t="n">
        <f aca="false">ROUND(Q221*R221,0)</f>
        <v>685</v>
      </c>
      <c r="E221" s="37" t="n">
        <f aca="false">ROUND(Q221,0)-D221</f>
        <v>710</v>
      </c>
      <c r="F221" s="37" t="n">
        <f aca="false">IF(COUNTA(D221:E221)=0,"",SUM(D221:E221))</f>
        <v>1395</v>
      </c>
      <c r="G221" s="52" t="n">
        <f aca="false">IF(OR(F221="",F221=0),"",D221/F221)</f>
        <v>0.491039426523298</v>
      </c>
      <c r="H221" s="52" t="n">
        <f aca="false">IF(OR(F221="",F221=0),"",E221/F221)</f>
        <v>0.508960573476703</v>
      </c>
      <c r="I221" s="21" t="s">
        <v>122</v>
      </c>
      <c r="J221" s="53" t="n">
        <v>1.86991787188303</v>
      </c>
      <c r="K221" s="52" t="n">
        <f aca="false">IF(G221="","",MAX(0,G221-J221/100))</f>
        <v>0.472340247804467</v>
      </c>
      <c r="L221" s="52" t="n">
        <f aca="false">IF(G221="","",MIN(1,G221+J221/100))</f>
        <v>0.509738605242128</v>
      </c>
      <c r="M221" s="37" t="n">
        <f aca="false">IF(F221="","",ROUND(F221*J221/100,0))</f>
        <v>26</v>
      </c>
      <c r="P221" s="54" t="n">
        <v>-1.1296040473985</v>
      </c>
      <c r="Q221" s="55" t="n">
        <f aca="false">T221*$H$5</f>
        <v>1394.83442469598</v>
      </c>
      <c r="R221" s="56" t="n">
        <f aca="false">MAX(0,MIN(1,P221/100+$D$5))</f>
        <v>0.491354432663233</v>
      </c>
      <c r="S221" s="57" t="s">
        <v>225</v>
      </c>
      <c r="T221" s="55" t="n">
        <v>1394.83442469598</v>
      </c>
    </row>
    <row r="222" customFormat="false" ht="15" hidden="false" customHeight="false" outlineLevel="0" collapsed="false">
      <c r="A222" s="21" t="s">
        <v>189</v>
      </c>
      <c r="B222" s="21" t="s">
        <v>357</v>
      </c>
      <c r="C222" s="21" t="s">
        <v>368</v>
      </c>
      <c r="D222" s="37" t="n">
        <f aca="false">ROUND(Q222*R222,0)</f>
        <v>582</v>
      </c>
      <c r="E222" s="37" t="n">
        <f aca="false">ROUND(Q222,0)-D222</f>
        <v>550</v>
      </c>
      <c r="F222" s="37" t="n">
        <f aca="false">IF(COUNTA(D222:E222)=0,"",SUM(D222:E222))</f>
        <v>1132</v>
      </c>
      <c r="G222" s="52" t="n">
        <f aca="false">IF(OR(F222="",F222=0),"",D222/F222)</f>
        <v>0.514134275618375</v>
      </c>
      <c r="H222" s="52" t="n">
        <f aca="false">IF(OR(F222="",F222=0),"",E222/F222)</f>
        <v>0.485865724381625</v>
      </c>
      <c r="I222" s="21" t="s">
        <v>122</v>
      </c>
      <c r="J222" s="53" t="n">
        <v>1.9254971424187</v>
      </c>
      <c r="K222" s="52" t="n">
        <f aca="false">IF(G222="","",MAX(0,G222-J222/100))</f>
        <v>0.494879304194188</v>
      </c>
      <c r="L222" s="52" t="n">
        <f aca="false">IF(G222="","",MIN(1,G222+J222/100))</f>
        <v>0.533389247042562</v>
      </c>
      <c r="M222" s="37" t="n">
        <f aca="false">IF(F222="","",ROUND(F222*J222/100,0))</f>
        <v>22</v>
      </c>
      <c r="P222" s="54" t="n">
        <v>1.15548500867341</v>
      </c>
      <c r="Q222" s="55" t="n">
        <f aca="false">T222*$H$5</f>
        <v>1132.25997719498</v>
      </c>
      <c r="R222" s="56" t="n">
        <f aca="false">MAX(0,MIN(1,P222/100+$D$5))</f>
        <v>0.514205323223952</v>
      </c>
      <c r="S222" s="57" t="s">
        <v>132</v>
      </c>
      <c r="T222" s="55" t="n">
        <v>1132.25997719498</v>
      </c>
    </row>
    <row r="223" customFormat="false" ht="15" hidden="false" customHeight="false" outlineLevel="0" collapsed="false">
      <c r="A223" s="21" t="s">
        <v>189</v>
      </c>
      <c r="B223" s="21" t="s">
        <v>357</v>
      </c>
      <c r="C223" s="21" t="s">
        <v>369</v>
      </c>
      <c r="D223" s="37" t="n">
        <f aca="false">ROUND(Q223*R223,0)</f>
        <v>452</v>
      </c>
      <c r="E223" s="37" t="n">
        <f aca="false">ROUND(Q223,0)-D223</f>
        <v>403</v>
      </c>
      <c r="F223" s="37" t="n">
        <f aca="false">IF(COUNTA(D223:E223)=0,"",SUM(D223:E223))</f>
        <v>855</v>
      </c>
      <c r="G223" s="52" t="n">
        <f aca="false">IF(OR(F223="",F223=0),"",D223/F223)</f>
        <v>0.528654970760234</v>
      </c>
      <c r="H223" s="52" t="n">
        <f aca="false">IF(OR(F223="",F223=0),"",E223/F223)</f>
        <v>0.471345029239766</v>
      </c>
      <c r="I223" s="21" t="s">
        <v>122</v>
      </c>
      <c r="J223" s="53" t="n">
        <v>1.9254971424187</v>
      </c>
      <c r="K223" s="52" t="n">
        <f aca="false">IF(G223="","",MAX(0,G223-J223/100))</f>
        <v>0.509399999336047</v>
      </c>
      <c r="L223" s="52" t="n">
        <f aca="false">IF(G223="","",MIN(1,G223+J223/100))</f>
        <v>0.547909942184421</v>
      </c>
      <c r="M223" s="37" t="n">
        <f aca="false">IF(F223="","",ROUND(F223*J223/100,0))</f>
        <v>16</v>
      </c>
      <c r="P223" s="54" t="n">
        <v>2.61656231111878</v>
      </c>
      <c r="Q223" s="55" t="n">
        <f aca="false">T223*$H$5</f>
        <v>855.159618008186</v>
      </c>
      <c r="R223" s="56" t="n">
        <f aca="false">MAX(0,MIN(1,P223/100+$D$5))</f>
        <v>0.528816096248405</v>
      </c>
      <c r="S223" s="57" t="s">
        <v>132</v>
      </c>
      <c r="T223" s="55" t="n">
        <v>855.159618008186</v>
      </c>
    </row>
    <row r="224" customFormat="false" ht="15" hidden="false" customHeight="false" outlineLevel="0" collapsed="false">
      <c r="A224" s="21" t="s">
        <v>370</v>
      </c>
      <c r="B224" s="21" t="s">
        <v>371</v>
      </c>
      <c r="C224" s="21" t="s">
        <v>372</v>
      </c>
      <c r="D224" s="37" t="n">
        <f aca="false">ROUND(Q224*R224,0)</f>
        <v>388</v>
      </c>
      <c r="E224" s="37" t="n">
        <f aca="false">ROUND(Q224,0)-D224</f>
        <v>846</v>
      </c>
      <c r="F224" s="37" t="n">
        <f aca="false">IF(COUNTA(D224:E224)=0,"",SUM(D224:E224))</f>
        <v>1234</v>
      </c>
      <c r="G224" s="52" t="n">
        <f aca="false">IF(OR(F224="",F224=0),"",D224/F224)</f>
        <v>0.314424635332253</v>
      </c>
      <c r="H224" s="52" t="n">
        <f aca="false">IF(OR(F224="",F224=0),"",E224/F224)</f>
        <v>0.685575364667747</v>
      </c>
      <c r="I224" s="21" t="s">
        <v>122</v>
      </c>
      <c r="J224" s="53" t="n">
        <v>1.86991787188303</v>
      </c>
      <c r="K224" s="52" t="n">
        <f aca="false">IF(G224="","",MAX(0,G224-J224/100))</f>
        <v>0.295725456613423</v>
      </c>
      <c r="L224" s="52" t="n">
        <f aca="false">IF(G224="","",MIN(1,G224+J224/100))</f>
        <v>0.333123814051083</v>
      </c>
      <c r="M224" s="37" t="n">
        <f aca="false">IF(F224="","",ROUND(F224*J224/100,0))</f>
        <v>23</v>
      </c>
      <c r="P224" s="54" t="n">
        <v>-18.8178660360381</v>
      </c>
      <c r="Q224" s="55" t="n">
        <f aca="false">T224*$H$5</f>
        <v>1234.45226917058</v>
      </c>
      <c r="R224" s="56" t="n">
        <f aca="false">MAX(0,MIN(1,P224/100+$D$5))</f>
        <v>0.314471812776837</v>
      </c>
      <c r="S224" s="57" t="s">
        <v>225</v>
      </c>
      <c r="T224" s="55" t="n">
        <v>1234.45226917058</v>
      </c>
    </row>
    <row r="225" customFormat="false" ht="15" hidden="false" customHeight="false" outlineLevel="0" collapsed="false">
      <c r="A225" s="21" t="s">
        <v>370</v>
      </c>
      <c r="B225" s="21" t="s">
        <v>373</v>
      </c>
      <c r="C225" s="21" t="s">
        <v>374</v>
      </c>
      <c r="D225" s="37" t="n">
        <f aca="false">ROUND(Q225*R225,0)</f>
        <v>1072</v>
      </c>
      <c r="E225" s="37" t="n">
        <f aca="false">ROUND(Q225,0)-D225</f>
        <v>2078</v>
      </c>
      <c r="F225" s="37" t="n">
        <f aca="false">IF(COUNTA(D225:E225)=0,"",SUM(D225:E225))</f>
        <v>3150</v>
      </c>
      <c r="G225" s="52" t="n">
        <f aca="false">IF(OR(F225="",F225=0),"",D225/F225)</f>
        <v>0.34031746031746</v>
      </c>
      <c r="H225" s="52" t="n">
        <f aca="false">IF(OR(F225="",F225=0),"",E225/F225)</f>
        <v>0.65968253968254</v>
      </c>
      <c r="I225" s="21" t="s">
        <v>122</v>
      </c>
      <c r="J225" s="53" t="n">
        <v>1.86991787188303</v>
      </c>
      <c r="K225" s="52" t="n">
        <f aca="false">IF(G225="","",MAX(0,G225-J225/100))</f>
        <v>0.32161828159863</v>
      </c>
      <c r="L225" s="52" t="n">
        <f aca="false">IF(G225="","",MIN(1,G225+J225/100))</f>
        <v>0.359016639036291</v>
      </c>
      <c r="M225" s="37" t="n">
        <f aca="false">IF(F225="","",ROUND(F225*J225/100,0))</f>
        <v>59</v>
      </c>
      <c r="P225" s="54" t="n">
        <v>-16.2286153300672</v>
      </c>
      <c r="Q225" s="55" t="n">
        <f aca="false">T225*$H$5</f>
        <v>3150.44851429639</v>
      </c>
      <c r="R225" s="56" t="n">
        <f aca="false">MAX(0,MIN(1,P225/100+$D$5))</f>
        <v>0.340364319836545</v>
      </c>
      <c r="S225" s="57" t="s">
        <v>225</v>
      </c>
      <c r="T225" s="55" t="n">
        <v>3150.44851429639</v>
      </c>
    </row>
    <row r="226" customFormat="false" ht="15" hidden="false" customHeight="false" outlineLevel="0" collapsed="false">
      <c r="A226" s="21" t="s">
        <v>370</v>
      </c>
      <c r="B226" s="21" t="s">
        <v>375</v>
      </c>
      <c r="C226" s="21" t="s">
        <v>376</v>
      </c>
      <c r="D226" s="37" t="n">
        <f aca="false">ROUND(Q226*R226,0)</f>
        <v>413</v>
      </c>
      <c r="E226" s="37" t="n">
        <f aca="false">ROUND(Q226,0)-D226</f>
        <v>758</v>
      </c>
      <c r="F226" s="37" t="n">
        <f aca="false">IF(COUNTA(D226:E226)=0,"",SUM(D226:E226))</f>
        <v>1171</v>
      </c>
      <c r="G226" s="52" t="n">
        <f aca="false">IF(OR(F226="",F226=0),"",D226/F226)</f>
        <v>0.35269000853971</v>
      </c>
      <c r="H226" s="52" t="n">
        <f aca="false">IF(OR(F226="",F226=0),"",E226/F226)</f>
        <v>0.64730999146029</v>
      </c>
      <c r="I226" s="21" t="s">
        <v>122</v>
      </c>
      <c r="J226" s="53" t="n">
        <v>1.9254971424187</v>
      </c>
      <c r="K226" s="52" t="n">
        <f aca="false">IF(G226="","",MAX(0,G226-J226/100))</f>
        <v>0.333435037115523</v>
      </c>
      <c r="L226" s="52" t="n">
        <f aca="false">IF(G226="","",MIN(1,G226+J226/100))</f>
        <v>0.371944979963897</v>
      </c>
      <c r="M226" s="37" t="n">
        <f aca="false">IF(F226="","",ROUND(F226*J226/100,0))</f>
        <v>23</v>
      </c>
      <c r="P226" s="54" t="n">
        <v>-15.0105144634359</v>
      </c>
      <c r="Q226" s="55" t="n">
        <f aca="false">T226*$H$5</f>
        <v>1170.82273494654</v>
      </c>
      <c r="R226" s="56" t="n">
        <f aca="false">MAX(0,MIN(1,P226/100+$D$5))</f>
        <v>0.352545328502859</v>
      </c>
      <c r="S226" s="57" t="s">
        <v>132</v>
      </c>
      <c r="T226" s="55" t="n">
        <v>1170.82273494654</v>
      </c>
    </row>
    <row r="227" customFormat="false" ht="15" hidden="false" customHeight="false" outlineLevel="0" collapsed="false">
      <c r="A227" s="21" t="s">
        <v>377</v>
      </c>
      <c r="B227" s="21" t="s">
        <v>378</v>
      </c>
      <c r="C227" s="21" t="s">
        <v>379</v>
      </c>
      <c r="D227" s="37" t="n">
        <f aca="false">ROUND(Q227*R227,0)</f>
        <v>589</v>
      </c>
      <c r="E227" s="37" t="n">
        <f aca="false">ROUND(Q227,0)-D227</f>
        <v>815</v>
      </c>
      <c r="F227" s="37" t="n">
        <f aca="false">IF(COUNTA(D227:E227)=0,"",SUM(D227:E227))</f>
        <v>1404</v>
      </c>
      <c r="G227" s="52" t="n">
        <f aca="false">IF(OR(F227="",F227=0),"",D227/F227)</f>
        <v>0.41951566951567</v>
      </c>
      <c r="H227" s="52" t="n">
        <f aca="false">IF(OR(F227="",F227=0),"",E227/F227)</f>
        <v>0.580484330484331</v>
      </c>
      <c r="I227" s="21" t="s">
        <v>122</v>
      </c>
      <c r="J227" s="53" t="n">
        <v>1.86991787188303</v>
      </c>
      <c r="K227" s="52" t="n">
        <f aca="false">IF(G227="","",MAX(0,G227-J227/100))</f>
        <v>0.400816490796839</v>
      </c>
      <c r="L227" s="52" t="n">
        <f aca="false">IF(G227="","",MIN(1,G227+J227/100))</f>
        <v>0.4382148482345</v>
      </c>
      <c r="M227" s="37" t="n">
        <f aca="false">IF(F227="","",ROUND(F227*J227/100,0))</f>
        <v>26</v>
      </c>
      <c r="P227" s="54" t="n">
        <v>-8.3077535843263</v>
      </c>
      <c r="Q227" s="55" t="n">
        <f aca="false">T227*$H$5</f>
        <v>1403.51261829653</v>
      </c>
      <c r="R227" s="56" t="n">
        <f aca="false">MAX(0,MIN(1,P227/100+$D$5))</f>
        <v>0.419572937293955</v>
      </c>
      <c r="S227" s="57" t="s">
        <v>225</v>
      </c>
      <c r="T227" s="55" t="n">
        <v>1403.51261829653</v>
      </c>
    </row>
    <row r="228" customFormat="false" ht="15" hidden="false" customHeight="false" outlineLevel="0" collapsed="false">
      <c r="A228" s="21" t="s">
        <v>377</v>
      </c>
      <c r="B228" s="21" t="s">
        <v>378</v>
      </c>
      <c r="C228" s="21" t="s">
        <v>380</v>
      </c>
      <c r="D228" s="37" t="n">
        <f aca="false">ROUND(Q228*R228,0)</f>
        <v>622</v>
      </c>
      <c r="E228" s="37" t="n">
        <f aca="false">ROUND(Q228,0)-D228</f>
        <v>691</v>
      </c>
      <c r="F228" s="37" t="n">
        <f aca="false">IF(COUNTA(D228:E228)=0,"",SUM(D228:E228))</f>
        <v>1313</v>
      </c>
      <c r="G228" s="52" t="n">
        <f aca="false">IF(OR(F228="",F228=0),"",D228/F228)</f>
        <v>0.473724295506474</v>
      </c>
      <c r="H228" s="52" t="n">
        <f aca="false">IF(OR(F228="",F228=0),"",E228/F228)</f>
        <v>0.526275704493526</v>
      </c>
      <c r="I228" s="21" t="s">
        <v>122</v>
      </c>
      <c r="J228" s="53" t="n">
        <v>1.86991787188303</v>
      </c>
      <c r="K228" s="52" t="n">
        <f aca="false">IF(G228="","",MAX(0,G228-J228/100))</f>
        <v>0.455025116787643</v>
      </c>
      <c r="L228" s="52" t="n">
        <f aca="false">IF(G228="","",MIN(1,G228+J228/100))</f>
        <v>0.492423474225304</v>
      </c>
      <c r="M228" s="37" t="n">
        <f aca="false">IF(F228="","",ROUND(F228*J228/100,0))</f>
        <v>25</v>
      </c>
      <c r="P228" s="54" t="n">
        <v>-2.87955778195586</v>
      </c>
      <c r="Q228" s="55" t="n">
        <f aca="false">T228*$H$5</f>
        <v>1312.76307554761</v>
      </c>
      <c r="R228" s="56" t="n">
        <f aca="false">MAX(0,MIN(1,P228/100+$D$5))</f>
        <v>0.473854895317659</v>
      </c>
      <c r="S228" s="57" t="s">
        <v>225</v>
      </c>
      <c r="T228" s="55" t="n">
        <v>1312.76307554761</v>
      </c>
    </row>
    <row r="229" customFormat="false" ht="15" hidden="false" customHeight="false" outlineLevel="0" collapsed="false">
      <c r="A229" s="21" t="s">
        <v>377</v>
      </c>
      <c r="B229" s="21" t="s">
        <v>381</v>
      </c>
      <c r="C229" s="21" t="s">
        <v>382</v>
      </c>
      <c r="D229" s="37" t="n">
        <f aca="false">ROUND(Q229*R229,0)</f>
        <v>614</v>
      </c>
      <c r="E229" s="37" t="n">
        <f aca="false">ROUND(Q229,0)-D229</f>
        <v>920</v>
      </c>
      <c r="F229" s="37" t="n">
        <f aca="false">IF(COUNTA(D229:E229)=0,"",SUM(D229:E229))</f>
        <v>1534</v>
      </c>
      <c r="G229" s="52" t="n">
        <f aca="false">IF(OR(F229="",F229=0),"",D229/F229)</f>
        <v>0.40026075619296</v>
      </c>
      <c r="H229" s="52" t="n">
        <f aca="false">IF(OR(F229="",F229=0),"",E229/F229)</f>
        <v>0.599739243807041</v>
      </c>
      <c r="I229" s="21" t="s">
        <v>223</v>
      </c>
      <c r="J229" s="53" t="n">
        <v>1.86991787188303</v>
      </c>
      <c r="K229" s="52" t="n">
        <f aca="false">IF(G229="","",MAX(0,G229-J229/100))</f>
        <v>0.381561577474129</v>
      </c>
      <c r="L229" s="52" t="n">
        <f aca="false">IF(G229="","",MIN(1,G229+J229/100))</f>
        <v>0.41895993491179</v>
      </c>
      <c r="M229" s="37" t="n">
        <f aca="false">IF(F229="","",ROUND(F229*J229/100,0))</f>
        <v>29</v>
      </c>
      <c r="P229" s="54" t="n">
        <v>-10.2432832870826</v>
      </c>
      <c r="Q229" s="55" t="n">
        <f aca="false">T229*$H$5</f>
        <v>1533.89973598051</v>
      </c>
      <c r="R229" s="56" t="n">
        <f aca="false">MAX(0,MIN(1,P229/100+$D$5))</f>
        <v>0.400217640266391</v>
      </c>
      <c r="S229" s="57" t="s">
        <v>225</v>
      </c>
      <c r="T229" s="55" t="n">
        <v>1533.89973598051</v>
      </c>
    </row>
    <row r="230" customFormat="false" ht="15" hidden="false" customHeight="false" outlineLevel="0" collapsed="false">
      <c r="A230" s="21" t="s">
        <v>377</v>
      </c>
      <c r="B230" s="21" t="s">
        <v>381</v>
      </c>
      <c r="C230" s="21" t="s">
        <v>383</v>
      </c>
      <c r="D230" s="37" t="n">
        <f aca="false">ROUND(Q230*R230,0)</f>
        <v>697</v>
      </c>
      <c r="E230" s="37" t="n">
        <f aca="false">ROUND(Q230,0)-D230</f>
        <v>996</v>
      </c>
      <c r="F230" s="37" t="n">
        <f aca="false">IF(COUNTA(D230:E230)=0,"",SUM(D230:E230))</f>
        <v>1693</v>
      </c>
      <c r="G230" s="52" t="n">
        <f aca="false">IF(OR(F230="",F230=0),"",D230/F230)</f>
        <v>0.411695215593621</v>
      </c>
      <c r="H230" s="52" t="n">
        <f aca="false">IF(OR(F230="",F230=0),"",E230/F230)</f>
        <v>0.588304784406379</v>
      </c>
      <c r="I230" s="21" t="s">
        <v>223</v>
      </c>
      <c r="J230" s="53" t="n">
        <v>1.86991787188303</v>
      </c>
      <c r="K230" s="52" t="n">
        <f aca="false">IF(G230="","",MAX(0,G230-J230/100))</f>
        <v>0.39299603687479</v>
      </c>
      <c r="L230" s="52" t="n">
        <f aca="false">IF(G230="","",MIN(1,G230+J230/100))</f>
        <v>0.430394394312451</v>
      </c>
      <c r="M230" s="37" t="n">
        <f aca="false">IF(F230="","",ROUND(F230*J230/100,0))</f>
        <v>32</v>
      </c>
      <c r="P230" s="54" t="n">
        <v>-9.09422173006184</v>
      </c>
      <c r="Q230" s="55" t="n">
        <f aca="false">T230*$H$5</f>
        <v>1693.35062700362</v>
      </c>
      <c r="R230" s="56" t="n">
        <f aca="false">MAX(0,MIN(1,P230/100+$D$5))</f>
        <v>0.411708255836599</v>
      </c>
      <c r="S230" s="57" t="s">
        <v>225</v>
      </c>
      <c r="T230" s="55" t="n">
        <v>1693.35062700362</v>
      </c>
    </row>
    <row r="231" customFormat="false" ht="15" hidden="false" customHeight="false" outlineLevel="0" collapsed="false">
      <c r="A231" s="21" t="s">
        <v>377</v>
      </c>
      <c r="B231" s="21" t="s">
        <v>384</v>
      </c>
      <c r="C231" s="21" t="s">
        <v>385</v>
      </c>
      <c r="D231" s="37" t="n">
        <f aca="false">ROUND(Q231*R231,0)</f>
        <v>488</v>
      </c>
      <c r="E231" s="37" t="n">
        <f aca="false">ROUND(Q231,0)-D231</f>
        <v>528</v>
      </c>
      <c r="F231" s="37" t="n">
        <f aca="false">IF(COUNTA(D231:E231)=0,"",SUM(D231:E231))</f>
        <v>1016</v>
      </c>
      <c r="G231" s="52" t="n">
        <f aca="false">IF(OR(F231="",F231=0),"",D231/F231)</f>
        <v>0.480314960629921</v>
      </c>
      <c r="H231" s="52" t="n">
        <f aca="false">IF(OR(F231="",F231=0),"",E231/F231)</f>
        <v>0.519685039370079</v>
      </c>
      <c r="I231" s="21" t="s">
        <v>122</v>
      </c>
      <c r="J231" s="53" t="n">
        <v>1.9254971424187</v>
      </c>
      <c r="K231" s="52" t="n">
        <f aca="false">IF(G231="","",MAX(0,G231-J231/100))</f>
        <v>0.461059989205734</v>
      </c>
      <c r="L231" s="52" t="n">
        <f aca="false">IF(G231="","",MIN(1,G231+J231/100))</f>
        <v>0.499569932054108</v>
      </c>
      <c r="M231" s="37" t="n">
        <f aca="false">IF(F231="","",ROUND(F231*J231/100,0))</f>
        <v>20</v>
      </c>
      <c r="P231" s="54" t="n">
        <v>-2.24156309299124</v>
      </c>
      <c r="Q231" s="55" t="n">
        <f aca="false">T231*$H$5</f>
        <v>1015.97556912826</v>
      </c>
      <c r="R231" s="56" t="n">
        <f aca="false">MAX(0,MIN(1,P231/100+$D$5))</f>
        <v>0.480234842207305</v>
      </c>
      <c r="S231" s="57" t="s">
        <v>132</v>
      </c>
      <c r="T231" s="55" t="n">
        <v>1015.97556912826</v>
      </c>
    </row>
    <row r="232" customFormat="false" ht="15" hidden="false" customHeight="false" outlineLevel="0" collapsed="false">
      <c r="A232" s="21" t="s">
        <v>377</v>
      </c>
      <c r="B232" s="21" t="s">
        <v>252</v>
      </c>
      <c r="C232" s="21" t="s">
        <v>386</v>
      </c>
      <c r="D232" s="37" t="n">
        <f aca="false">ROUND(Q232*R232,0)</f>
        <v>617</v>
      </c>
      <c r="E232" s="37" t="n">
        <f aca="false">ROUND(Q232,0)-D232</f>
        <v>370</v>
      </c>
      <c r="F232" s="37" t="n">
        <f aca="false">IF(COUNTA(D232:E232)=0,"",SUM(D232:E232))</f>
        <v>987</v>
      </c>
      <c r="G232" s="52" t="n">
        <f aca="false">IF(OR(F232="",F232=0),"",D232/F232)</f>
        <v>0.625126646403242</v>
      </c>
      <c r="H232" s="52" t="n">
        <f aca="false">IF(OR(F232="",F232=0),"",E232/F232)</f>
        <v>0.374873353596758</v>
      </c>
      <c r="I232" s="21" t="s">
        <v>122</v>
      </c>
      <c r="J232" s="53" t="n">
        <v>1.9254971424187</v>
      </c>
      <c r="K232" s="52" t="n">
        <f aca="false">IF(G232="","",MAX(0,G232-J232/100))</f>
        <v>0.605871674979055</v>
      </c>
      <c r="L232" s="52" t="n">
        <f aca="false">IF(G232="","",MIN(1,G232+J232/100))</f>
        <v>0.644381617827429</v>
      </c>
      <c r="M232" s="37" t="n">
        <f aca="false">IF(F232="","",ROUND(F232*J232/100,0))</f>
        <v>19</v>
      </c>
      <c r="P232" s="54" t="n">
        <v>12.2741981960474</v>
      </c>
      <c r="Q232" s="55" t="n">
        <f aca="false">T232*$H$5</f>
        <v>986.587092297016</v>
      </c>
      <c r="R232" s="56" t="n">
        <f aca="false">MAX(0,MIN(1,P232/100+$D$5))</f>
        <v>0.625392455097692</v>
      </c>
      <c r="S232" s="57" t="s">
        <v>132</v>
      </c>
      <c r="T232" s="55" t="n">
        <v>986.587092297016</v>
      </c>
    </row>
    <row r="233" customFormat="false" ht="15" hidden="false" customHeight="false" outlineLevel="0" collapsed="false">
      <c r="A233" s="21" t="s">
        <v>377</v>
      </c>
      <c r="B233" s="21" t="s">
        <v>252</v>
      </c>
      <c r="C233" s="21" t="s">
        <v>387</v>
      </c>
      <c r="D233" s="37" t="n">
        <f aca="false">ROUND(Q233*R233,0)</f>
        <v>848</v>
      </c>
      <c r="E233" s="37" t="n">
        <f aca="false">ROUND(Q233,0)-D233</f>
        <v>577</v>
      </c>
      <c r="F233" s="37" t="n">
        <f aca="false">IF(COUNTA(D233:E233)=0,"",SUM(D233:E233))</f>
        <v>1425</v>
      </c>
      <c r="G233" s="52" t="n">
        <f aca="false">IF(OR(F233="",F233=0),"",D233/F233)</f>
        <v>0.595087719298246</v>
      </c>
      <c r="H233" s="52" t="n">
        <f aca="false">IF(OR(F233="",F233=0),"",E233/F233)</f>
        <v>0.404912280701754</v>
      </c>
      <c r="I233" s="21" t="s">
        <v>122</v>
      </c>
      <c r="J233" s="53" t="n">
        <v>1.86991787188303</v>
      </c>
      <c r="K233" s="52" t="n">
        <f aca="false">IF(G233="","",MAX(0,G233-J233/100))</f>
        <v>0.576388540579415</v>
      </c>
      <c r="L233" s="52" t="n">
        <f aca="false">IF(G233="","",MIN(1,G233+J233/100))</f>
        <v>0.613786898017076</v>
      </c>
      <c r="M233" s="37" t="n">
        <f aca="false">IF(F233="","",ROUND(F233*J233/100,0))</f>
        <v>27</v>
      </c>
      <c r="P233" s="54" t="n">
        <v>9.26517043810956</v>
      </c>
      <c r="Q233" s="55" t="n">
        <f aca="false">T233*$H$5</f>
        <v>1424.50747808149</v>
      </c>
      <c r="R233" s="56" t="n">
        <f aca="false">MAX(0,MIN(1,P233/100+$D$5))</f>
        <v>0.595302177518313</v>
      </c>
      <c r="S233" s="57" t="s">
        <v>225</v>
      </c>
      <c r="T233" s="55" t="n">
        <v>1424.50747808149</v>
      </c>
    </row>
    <row r="234" customFormat="false" ht="15" hidden="false" customHeight="false" outlineLevel="0" collapsed="false">
      <c r="A234" s="21" t="s">
        <v>377</v>
      </c>
      <c r="B234" s="21" t="s">
        <v>252</v>
      </c>
      <c r="C234" s="21" t="s">
        <v>388</v>
      </c>
      <c r="D234" s="37" t="n">
        <f aca="false">ROUND(Q234*R234,0)</f>
        <v>610</v>
      </c>
      <c r="E234" s="37" t="n">
        <f aca="false">ROUND(Q234,0)-D234</f>
        <v>348</v>
      </c>
      <c r="F234" s="37" t="n">
        <f aca="false">IF(COUNTA(D234:E234)=0,"",SUM(D234:E234))</f>
        <v>958</v>
      </c>
      <c r="G234" s="52" t="n">
        <f aca="false">IF(OR(F234="",F234=0),"",D234/F234)</f>
        <v>0.636743215031315</v>
      </c>
      <c r="H234" s="52" t="n">
        <f aca="false">IF(OR(F234="",F234=0),"",E234/F234)</f>
        <v>0.363256784968685</v>
      </c>
      <c r="I234" s="21" t="s">
        <v>122</v>
      </c>
      <c r="J234" s="53" t="n">
        <v>1.9254971424187</v>
      </c>
      <c r="K234" s="52" t="n">
        <f aca="false">IF(G234="","",MAX(0,G234-J234/100))</f>
        <v>0.617488243607128</v>
      </c>
      <c r="L234" s="52" t="n">
        <f aca="false">IF(G234="","",MIN(1,G234+J234/100))</f>
        <v>0.655998186455502</v>
      </c>
      <c r="M234" s="37" t="n">
        <f aca="false">IF(F234="","",ROUND(F234*J234/100,0))</f>
        <v>18</v>
      </c>
      <c r="P234" s="54" t="n">
        <v>13.4191352557575</v>
      </c>
      <c r="Q234" s="55" t="n">
        <f aca="false">T234*$H$5</f>
        <v>957.929752066116</v>
      </c>
      <c r="R234" s="56" t="n">
        <f aca="false">MAX(0,MIN(1,P234/100+$D$5))</f>
        <v>0.636841825694793</v>
      </c>
      <c r="S234" s="57" t="s">
        <v>132</v>
      </c>
      <c r="T234" s="55" t="n">
        <v>957.929752066116</v>
      </c>
    </row>
    <row r="235" customFormat="false" ht="15" hidden="false" customHeight="false" outlineLevel="0" collapsed="false">
      <c r="A235" s="21" t="s">
        <v>377</v>
      </c>
      <c r="B235" s="21" t="s">
        <v>252</v>
      </c>
      <c r="C235" s="21" t="s">
        <v>389</v>
      </c>
      <c r="D235" s="37" t="n">
        <f aca="false">ROUND(Q235*R235,0)</f>
        <v>462</v>
      </c>
      <c r="E235" s="37" t="n">
        <f aca="false">ROUND(Q235,0)-D235</f>
        <v>269</v>
      </c>
      <c r="F235" s="37" t="n">
        <f aca="false">IF(COUNTA(D235:E235)=0,"",SUM(D235:E235))</f>
        <v>731</v>
      </c>
      <c r="G235" s="52" t="n">
        <f aca="false">IF(OR(F235="",F235=0),"",D235/F235)</f>
        <v>0.632010943912449</v>
      </c>
      <c r="H235" s="52" t="n">
        <f aca="false">IF(OR(F235="",F235=0),"",E235/F235)</f>
        <v>0.367989056087551</v>
      </c>
      <c r="I235" s="21" t="s">
        <v>122</v>
      </c>
      <c r="J235" s="53" t="n">
        <v>2.87918965002339</v>
      </c>
      <c r="K235" s="52" t="n">
        <f aca="false">IF(G235="","",MAX(0,G235-J235/100))</f>
        <v>0.603219047412215</v>
      </c>
      <c r="L235" s="52" t="n">
        <f aca="false">IF(G235="","",MIN(1,G235+J235/100))</f>
        <v>0.660802840412683</v>
      </c>
      <c r="M235" s="37" t="n">
        <f aca="false">IF(F235="","",ROUND(F235*J235/100,0))</f>
        <v>21</v>
      </c>
      <c r="P235" s="54" t="n">
        <v>13.0023051079376</v>
      </c>
      <c r="Q235" s="55" t="n">
        <f aca="false">T235*$H$5</f>
        <v>730.770032051282</v>
      </c>
      <c r="R235" s="56" t="n">
        <f aca="false">MAX(0,MIN(1,P235/100+$D$5))</f>
        <v>0.632673524216594</v>
      </c>
      <c r="S235" s="57" t="s">
        <v>123</v>
      </c>
      <c r="T235" s="55" t="n">
        <v>730.770032051282</v>
      </c>
    </row>
    <row r="236" customFormat="false" ht="15" hidden="false" customHeight="false" outlineLevel="0" collapsed="false">
      <c r="A236" s="21" t="s">
        <v>377</v>
      </c>
      <c r="B236" s="21" t="s">
        <v>252</v>
      </c>
      <c r="C236" s="21" t="s">
        <v>390</v>
      </c>
      <c r="D236" s="37" t="n">
        <f aca="false">ROUND(Q236*R236,0)</f>
        <v>604</v>
      </c>
      <c r="E236" s="37" t="n">
        <f aca="false">ROUND(Q236,0)-D236</f>
        <v>379</v>
      </c>
      <c r="F236" s="37" t="n">
        <f aca="false">IF(COUNTA(D236:E236)=0,"",SUM(D236:E236))</f>
        <v>983</v>
      </c>
      <c r="G236" s="52" t="n">
        <f aca="false">IF(OR(F236="",F236=0),"",D236/F236)</f>
        <v>0.614445574771109</v>
      </c>
      <c r="H236" s="52" t="n">
        <f aca="false">IF(OR(F236="",F236=0),"",E236/F236)</f>
        <v>0.385554425228891</v>
      </c>
      <c r="I236" s="21" t="s">
        <v>122</v>
      </c>
      <c r="J236" s="53" t="n">
        <v>1.9254971424187</v>
      </c>
      <c r="K236" s="52" t="n">
        <f aca="false">IF(G236="","",MAX(0,G236-J236/100))</f>
        <v>0.595190603346922</v>
      </c>
      <c r="L236" s="52" t="n">
        <f aca="false">IF(G236="","",MIN(1,G236+J236/100))</f>
        <v>0.633700546195296</v>
      </c>
      <c r="M236" s="37" t="n">
        <f aca="false">IF(F236="","",ROUND(F236*J236/100,0))</f>
        <v>19</v>
      </c>
      <c r="P236" s="54" t="n">
        <v>11.1933330680371</v>
      </c>
      <c r="Q236" s="55" t="n">
        <f aca="false">T236*$H$5</f>
        <v>983.008610086101</v>
      </c>
      <c r="R236" s="56" t="n">
        <f aca="false">MAX(0,MIN(1,P236/100+$D$5))</f>
        <v>0.614583803817588</v>
      </c>
      <c r="S236" s="57" t="s">
        <v>132</v>
      </c>
      <c r="T236" s="55" t="n">
        <v>983.008610086101</v>
      </c>
    </row>
    <row r="237" customFormat="false" ht="15" hidden="false" customHeight="false" outlineLevel="0" collapsed="false">
      <c r="A237" s="21" t="s">
        <v>377</v>
      </c>
      <c r="B237" s="21" t="s">
        <v>252</v>
      </c>
      <c r="C237" s="21" t="s">
        <v>391</v>
      </c>
      <c r="D237" s="37" t="n">
        <f aca="false">ROUND(Q237*R237,0)</f>
        <v>743</v>
      </c>
      <c r="E237" s="37" t="n">
        <f aca="false">ROUND(Q237,0)-D237</f>
        <v>443</v>
      </c>
      <c r="F237" s="37" t="n">
        <f aca="false">IF(COUNTA(D237:E237)=0,"",SUM(D237:E237))</f>
        <v>1186</v>
      </c>
      <c r="G237" s="52" t="n">
        <f aca="false">IF(OR(F237="",F237=0),"",D237/F237)</f>
        <v>0.626475548060708</v>
      </c>
      <c r="H237" s="52" t="n">
        <f aca="false">IF(OR(F237="",F237=0),"",E237/F237)</f>
        <v>0.373524451939292</v>
      </c>
      <c r="I237" s="21" t="s">
        <v>122</v>
      </c>
      <c r="J237" s="53" t="n">
        <v>1.9254971424187</v>
      </c>
      <c r="K237" s="52" t="n">
        <f aca="false">IF(G237="","",MAX(0,G237-J237/100))</f>
        <v>0.607220576636521</v>
      </c>
      <c r="L237" s="52" t="n">
        <f aca="false">IF(G237="","",MIN(1,G237+J237/100))</f>
        <v>0.645730519484895</v>
      </c>
      <c r="M237" s="37" t="n">
        <f aca="false">IF(F237="","",ROUND(F237*J237/100,0))</f>
        <v>23</v>
      </c>
      <c r="P237" s="54" t="n">
        <v>12.3558915678222</v>
      </c>
      <c r="Q237" s="55" t="n">
        <f aca="false">T237*$H$5</f>
        <v>1185.78507842306</v>
      </c>
      <c r="R237" s="56" t="n">
        <f aca="false">MAX(0,MIN(1,P237/100+$D$5))</f>
        <v>0.62620938881544</v>
      </c>
      <c r="S237" s="57" t="s">
        <v>132</v>
      </c>
      <c r="T237" s="55" t="n">
        <v>1185.78507842306</v>
      </c>
    </row>
    <row r="238" customFormat="false" ht="15" hidden="false" customHeight="false" outlineLevel="0" collapsed="false">
      <c r="A238" s="21" t="s">
        <v>377</v>
      </c>
      <c r="B238" s="21" t="s">
        <v>252</v>
      </c>
      <c r="C238" s="21" t="s">
        <v>392</v>
      </c>
      <c r="D238" s="37" t="n">
        <f aca="false">ROUND(Q238*R238,0)</f>
        <v>592</v>
      </c>
      <c r="E238" s="37" t="n">
        <f aca="false">ROUND(Q238,0)-D238</f>
        <v>413</v>
      </c>
      <c r="F238" s="37" t="n">
        <f aca="false">IF(COUNTA(D238:E238)=0,"",SUM(D238:E238))</f>
        <v>1005</v>
      </c>
      <c r="G238" s="52" t="n">
        <f aca="false">IF(OR(F238="",F238=0),"",D238/F238)</f>
        <v>0.589054726368159</v>
      </c>
      <c r="H238" s="52" t="n">
        <f aca="false">IF(OR(F238="",F238=0),"",E238/F238)</f>
        <v>0.410945273631841</v>
      </c>
      <c r="I238" s="21" t="s">
        <v>122</v>
      </c>
      <c r="J238" s="53" t="n">
        <v>1.9254971424187</v>
      </c>
      <c r="K238" s="52" t="n">
        <f aca="false">IF(G238="","",MAX(0,G238-J238/100))</f>
        <v>0.569799754943972</v>
      </c>
      <c r="L238" s="52" t="n">
        <f aca="false">IF(G238="","",MIN(1,G238+J238/100))</f>
        <v>0.608309697792346</v>
      </c>
      <c r="M238" s="37" t="n">
        <f aca="false">IF(F238="","",ROUND(F238*J238/100,0))</f>
        <v>19</v>
      </c>
      <c r="P238" s="54" t="n">
        <v>8.70751272967181</v>
      </c>
      <c r="Q238" s="55" t="n">
        <f aca="false">T238*$H$5</f>
        <v>1004.54761904762</v>
      </c>
      <c r="R238" s="56" t="n">
        <f aca="false">MAX(0,MIN(1,P238/100+$D$5))</f>
        <v>0.589725600433936</v>
      </c>
      <c r="S238" s="57" t="s">
        <v>132</v>
      </c>
      <c r="T238" s="55" t="n">
        <v>1004.54761904762</v>
      </c>
    </row>
    <row r="239" customFormat="false" ht="15" hidden="false" customHeight="false" outlineLevel="0" collapsed="false">
      <c r="A239" s="21" t="s">
        <v>377</v>
      </c>
      <c r="B239" s="21" t="s">
        <v>252</v>
      </c>
      <c r="C239" s="21" t="s">
        <v>393</v>
      </c>
      <c r="D239" s="37" t="n">
        <f aca="false">ROUND(Q239*R239,0)</f>
        <v>441</v>
      </c>
      <c r="E239" s="37" t="n">
        <f aca="false">ROUND(Q239,0)-D239</f>
        <v>257</v>
      </c>
      <c r="F239" s="37" t="n">
        <f aca="false">IF(COUNTA(D239:E239)=0,"",SUM(D239:E239))</f>
        <v>698</v>
      </c>
      <c r="G239" s="52" t="n">
        <f aca="false">IF(OR(F239="",F239=0),"",D239/F239)</f>
        <v>0.631805157593123</v>
      </c>
      <c r="H239" s="52" t="n">
        <f aca="false">IF(OR(F239="",F239=0),"",E239/F239)</f>
        <v>0.368194842406877</v>
      </c>
      <c r="I239" s="21" t="s">
        <v>122</v>
      </c>
      <c r="J239" s="53" t="n">
        <v>2.87918965002339</v>
      </c>
      <c r="K239" s="52" t="n">
        <f aca="false">IF(G239="","",MAX(0,G239-J239/100))</f>
        <v>0.603013261092889</v>
      </c>
      <c r="L239" s="52" t="n">
        <f aca="false">IF(G239="","",MIN(1,G239+J239/100))</f>
        <v>0.660597054093357</v>
      </c>
      <c r="M239" s="37" t="n">
        <f aca="false">IF(F239="","",ROUND(F239*J239/100,0))</f>
        <v>20</v>
      </c>
      <c r="P239" s="54" t="n">
        <v>12.8982850681882</v>
      </c>
      <c r="Q239" s="55" t="n">
        <f aca="false">T239*$H$5</f>
        <v>697.629411764706</v>
      </c>
      <c r="R239" s="56" t="n">
        <f aca="false">MAX(0,MIN(1,P239/100+$D$5))</f>
        <v>0.6316333238191</v>
      </c>
      <c r="S239" s="57" t="s">
        <v>123</v>
      </c>
      <c r="T239" s="55" t="n">
        <v>697.629411764706</v>
      </c>
    </row>
    <row r="240" customFormat="false" ht="15" hidden="false" customHeight="false" outlineLevel="0" collapsed="false">
      <c r="A240" s="21" t="s">
        <v>377</v>
      </c>
      <c r="B240" s="21" t="s">
        <v>252</v>
      </c>
      <c r="C240" s="21" t="s">
        <v>394</v>
      </c>
      <c r="D240" s="37" t="n">
        <f aca="false">ROUND(Q240*R240,0)</f>
        <v>572</v>
      </c>
      <c r="E240" s="37" t="n">
        <f aca="false">ROUND(Q240,0)-D240</f>
        <v>291</v>
      </c>
      <c r="F240" s="37" t="n">
        <f aca="false">IF(COUNTA(D240:E240)=0,"",SUM(D240:E240))</f>
        <v>863</v>
      </c>
      <c r="G240" s="52" t="n">
        <f aca="false">IF(OR(F240="",F240=0),"",D240/F240)</f>
        <v>0.662804171494786</v>
      </c>
      <c r="H240" s="52" t="n">
        <f aca="false">IF(OR(F240="",F240=0),"",E240/F240)</f>
        <v>0.337195828505214</v>
      </c>
      <c r="I240" s="21" t="s">
        <v>122</v>
      </c>
      <c r="J240" s="53" t="n">
        <v>1.9254971424187</v>
      </c>
      <c r="K240" s="52" t="n">
        <f aca="false">IF(G240="","",MAX(0,G240-J240/100))</f>
        <v>0.643549200070599</v>
      </c>
      <c r="L240" s="52" t="n">
        <f aca="false">IF(G240="","",MIN(1,G240+J240/100))</f>
        <v>0.682059142918973</v>
      </c>
      <c r="M240" s="37" t="n">
        <f aca="false">IF(F240="","",ROUND(F240*J240/100,0))</f>
        <v>17</v>
      </c>
      <c r="P240" s="54" t="n">
        <v>16.0090335468481</v>
      </c>
      <c r="Q240" s="55" t="n">
        <f aca="false">T240*$H$5</f>
        <v>863.161290322581</v>
      </c>
      <c r="R240" s="56" t="n">
        <f aca="false">MAX(0,MIN(1,P240/100+$D$5))</f>
        <v>0.662740808605699</v>
      </c>
      <c r="S240" s="57" t="s">
        <v>132</v>
      </c>
      <c r="T240" s="55" t="n">
        <v>863.161290322581</v>
      </c>
    </row>
    <row r="241" customFormat="false" ht="15" hidden="false" customHeight="false" outlineLevel="0" collapsed="false">
      <c r="A241" s="21" t="s">
        <v>377</v>
      </c>
      <c r="B241" s="21" t="s">
        <v>252</v>
      </c>
      <c r="C241" s="21" t="s">
        <v>395</v>
      </c>
      <c r="D241" s="37" t="n">
        <f aca="false">ROUND(Q241*R241,0)</f>
        <v>701</v>
      </c>
      <c r="E241" s="37" t="n">
        <f aca="false">ROUND(Q241,0)-D241</f>
        <v>430</v>
      </c>
      <c r="F241" s="37" t="n">
        <f aca="false">IF(COUNTA(D241:E241)=0,"",SUM(D241:E241))</f>
        <v>1131</v>
      </c>
      <c r="G241" s="52" t="n">
        <f aca="false">IF(OR(F241="",F241=0),"",D241/F241)</f>
        <v>0.619805481874447</v>
      </c>
      <c r="H241" s="52" t="n">
        <f aca="false">IF(OR(F241="",F241=0),"",E241/F241)</f>
        <v>0.380194518125553</v>
      </c>
      <c r="I241" s="21" t="s">
        <v>122</v>
      </c>
      <c r="J241" s="53" t="n">
        <v>1.9254971424187</v>
      </c>
      <c r="K241" s="52" t="n">
        <f aca="false">IF(G241="","",MAX(0,G241-J241/100))</f>
        <v>0.60055051045026</v>
      </c>
      <c r="L241" s="52" t="n">
        <f aca="false">IF(G241="","",MIN(1,G241+J241/100))</f>
        <v>0.639060453298635</v>
      </c>
      <c r="M241" s="37" t="n">
        <f aca="false">IF(F241="","",ROUND(F241*J241/100,0))</f>
        <v>22</v>
      </c>
      <c r="P241" s="54" t="n">
        <v>11.6859294038891</v>
      </c>
      <c r="Q241" s="55" t="n">
        <f aca="false">T241*$H$5</f>
        <v>1131.04550209205</v>
      </c>
      <c r="R241" s="56" t="n">
        <f aca="false">MAX(0,MIN(1,P241/100+$D$5))</f>
        <v>0.619509767176108</v>
      </c>
      <c r="S241" s="57" t="s">
        <v>132</v>
      </c>
      <c r="T241" s="55" t="n">
        <v>1131.04550209205</v>
      </c>
    </row>
    <row r="242" customFormat="false" ht="15" hidden="false" customHeight="false" outlineLevel="0" collapsed="false">
      <c r="A242" s="21" t="s">
        <v>377</v>
      </c>
      <c r="B242" s="21" t="s">
        <v>252</v>
      </c>
      <c r="C242" s="21" t="s">
        <v>396</v>
      </c>
      <c r="D242" s="37" t="n">
        <f aca="false">ROUND(Q242*R242,0)</f>
        <v>512</v>
      </c>
      <c r="E242" s="37" t="n">
        <f aca="false">ROUND(Q242,0)-D242</f>
        <v>228</v>
      </c>
      <c r="F242" s="37" t="n">
        <f aca="false">IF(COUNTA(D242:E242)=0,"",SUM(D242:E242))</f>
        <v>740</v>
      </c>
      <c r="G242" s="52" t="n">
        <f aca="false">IF(OR(F242="",F242=0),"",D242/F242)</f>
        <v>0.691891891891892</v>
      </c>
      <c r="H242" s="52" t="n">
        <f aca="false">IF(OR(F242="",F242=0),"",E242/F242)</f>
        <v>0.308108108108108</v>
      </c>
      <c r="I242" s="21" t="s">
        <v>122</v>
      </c>
      <c r="J242" s="53" t="n">
        <v>2.87918965002339</v>
      </c>
      <c r="K242" s="52" t="n">
        <f aca="false">IF(G242="","",MAX(0,G242-J242/100))</f>
        <v>0.663099995391658</v>
      </c>
      <c r="L242" s="52" t="n">
        <f aca="false">IF(G242="","",MIN(1,G242+J242/100))</f>
        <v>0.720683788392126</v>
      </c>
      <c r="M242" s="37" t="n">
        <f aca="false">IF(F242="","",ROUND(F242*J242/100,0))</f>
        <v>21</v>
      </c>
      <c r="P242" s="54" t="n">
        <v>18.9135862281778</v>
      </c>
      <c r="Q242" s="55" t="n">
        <f aca="false">T242*$H$5</f>
        <v>740.032921810699</v>
      </c>
      <c r="R242" s="56" t="n">
        <f aca="false">MAX(0,MIN(1,P242/100+$D$5))</f>
        <v>0.691786335418996</v>
      </c>
      <c r="S242" s="57" t="s">
        <v>123</v>
      </c>
      <c r="T242" s="55" t="n">
        <v>740.032921810699</v>
      </c>
    </row>
    <row r="243" customFormat="false" ht="15" hidden="false" customHeight="false" outlineLevel="0" collapsed="false">
      <c r="A243" s="21" t="s">
        <v>377</v>
      </c>
      <c r="B243" s="21" t="s">
        <v>252</v>
      </c>
      <c r="C243" s="21" t="s">
        <v>397</v>
      </c>
      <c r="D243" s="37" t="n">
        <f aca="false">ROUND(Q243*R243,0)</f>
        <v>542</v>
      </c>
      <c r="E243" s="37" t="n">
        <f aca="false">ROUND(Q243,0)-D243</f>
        <v>329</v>
      </c>
      <c r="F243" s="37" t="n">
        <f aca="false">IF(COUNTA(D243:E243)=0,"",SUM(D243:E243))</f>
        <v>871</v>
      </c>
      <c r="G243" s="52" t="n">
        <f aca="false">IF(OR(F243="",F243=0),"",D243/F243)</f>
        <v>0.622273249138921</v>
      </c>
      <c r="H243" s="52" t="n">
        <f aca="false">IF(OR(F243="",F243=0),"",E243/F243)</f>
        <v>0.377726750861079</v>
      </c>
      <c r="I243" s="21" t="s">
        <v>122</v>
      </c>
      <c r="J243" s="53" t="n">
        <v>1.9254971424187</v>
      </c>
      <c r="K243" s="52" t="n">
        <f aca="false">IF(G243="","",MAX(0,G243-J243/100))</f>
        <v>0.603018277714734</v>
      </c>
      <c r="L243" s="52" t="n">
        <f aca="false">IF(G243="","",MIN(1,G243+J243/100))</f>
        <v>0.641528220563108</v>
      </c>
      <c r="M243" s="37" t="n">
        <f aca="false">IF(F243="","",ROUND(F243*J243/100,0))</f>
        <v>17</v>
      </c>
      <c r="P243" s="54" t="n">
        <v>12.0211193695615</v>
      </c>
      <c r="Q243" s="55" t="n">
        <f aca="false">T243*$H$5</f>
        <v>870.802226935313</v>
      </c>
      <c r="R243" s="56" t="n">
        <f aca="false">MAX(0,MIN(1,P243/100+$D$5))</f>
        <v>0.622861666832833</v>
      </c>
      <c r="S243" s="57" t="s">
        <v>132</v>
      </c>
      <c r="T243" s="55" t="n">
        <v>870.802226935313</v>
      </c>
    </row>
    <row r="244" customFormat="false" ht="15" hidden="false" customHeight="false" outlineLevel="0" collapsed="false">
      <c r="A244" s="21" t="s">
        <v>377</v>
      </c>
      <c r="B244" s="21" t="s">
        <v>252</v>
      </c>
      <c r="C244" s="21" t="s">
        <v>398</v>
      </c>
      <c r="D244" s="37" t="n">
        <f aca="false">ROUND(Q244*R244,0)</f>
        <v>151</v>
      </c>
      <c r="E244" s="37" t="n">
        <f aca="false">ROUND(Q244,0)-D244</f>
        <v>64</v>
      </c>
      <c r="F244" s="37" t="n">
        <f aca="false">IF(COUNTA(D244:E244)=0,"",SUM(D244:E244))</f>
        <v>215</v>
      </c>
      <c r="G244" s="52" t="n">
        <f aca="false">IF(OR(F244="",F244=0),"",D244/F244)</f>
        <v>0.702325581395349</v>
      </c>
      <c r="H244" s="52" t="n">
        <f aca="false">IF(OR(F244="",F244=0),"",E244/F244)</f>
        <v>0.297674418604651</v>
      </c>
      <c r="I244" s="21" t="s">
        <v>122</v>
      </c>
      <c r="J244" s="53" t="n">
        <v>2.87918965002339</v>
      </c>
      <c r="K244" s="52" t="n">
        <f aca="false">IF(G244="","",MAX(0,G244-J244/100))</f>
        <v>0.673533684895115</v>
      </c>
      <c r="L244" s="52" t="n">
        <f aca="false">IF(G244="","",MIN(1,G244+J244/100))</f>
        <v>0.731117477895583</v>
      </c>
      <c r="M244" s="37" t="n">
        <f aca="false">IF(F244="","",ROUND(F244*J244/100,0))</f>
        <v>6</v>
      </c>
      <c r="P244" s="54" t="n">
        <v>19.9194875513715</v>
      </c>
      <c r="Q244" s="55" t="n">
        <f aca="false">T244*$H$5</f>
        <v>215.348525469169</v>
      </c>
      <c r="R244" s="56" t="n">
        <f aca="false">MAX(0,MIN(1,P244/100+$D$5))</f>
        <v>0.701845348650932</v>
      </c>
      <c r="S244" s="57" t="s">
        <v>123</v>
      </c>
      <c r="T244" s="55" t="n">
        <v>215.348525469169</v>
      </c>
    </row>
    <row r="245" customFormat="false" ht="15" hidden="false" customHeight="false" outlineLevel="0" collapsed="false">
      <c r="A245" s="21" t="s">
        <v>377</v>
      </c>
      <c r="B245" s="21" t="s">
        <v>252</v>
      </c>
      <c r="C245" s="21" t="s">
        <v>399</v>
      </c>
      <c r="D245" s="37" t="n">
        <f aca="false">ROUND(Q245*R245,0)</f>
        <v>320</v>
      </c>
      <c r="E245" s="37" t="n">
        <f aca="false">ROUND(Q245,0)-D245</f>
        <v>121</v>
      </c>
      <c r="F245" s="37" t="n">
        <f aca="false">IF(COUNTA(D245:E245)=0,"",SUM(D245:E245))</f>
        <v>441</v>
      </c>
      <c r="G245" s="52" t="n">
        <f aca="false">IF(OR(F245="",F245=0),"",D245/F245)</f>
        <v>0.72562358276644</v>
      </c>
      <c r="H245" s="52" t="n">
        <f aca="false">IF(OR(F245="",F245=0),"",E245/F245)</f>
        <v>0.27437641723356</v>
      </c>
      <c r="I245" s="21" t="s">
        <v>122</v>
      </c>
      <c r="J245" s="53" t="n">
        <v>2.87918965002339</v>
      </c>
      <c r="K245" s="52" t="n">
        <f aca="false">IF(G245="","",MAX(0,G245-J245/100))</f>
        <v>0.696831686266206</v>
      </c>
      <c r="L245" s="52" t="n">
        <f aca="false">IF(G245="","",MIN(1,G245+J245/100))</f>
        <v>0.754415479266674</v>
      </c>
      <c r="M245" s="37" t="n">
        <f aca="false">IF(F245="","",ROUND(F245*J245/100,0))</f>
        <v>13</v>
      </c>
      <c r="P245" s="54" t="n">
        <v>22.3030334587725</v>
      </c>
      <c r="Q245" s="55" t="n">
        <f aca="false">T245*$H$5</f>
        <v>440.805484147387</v>
      </c>
      <c r="R245" s="56" t="n">
        <f aca="false">MAX(0,MIN(1,P245/100+$D$5))</f>
        <v>0.725680807724943</v>
      </c>
      <c r="S245" s="57" t="s">
        <v>123</v>
      </c>
      <c r="T245" s="55" t="n">
        <v>440.805484147387</v>
      </c>
    </row>
    <row r="246" customFormat="false" ht="15" hidden="false" customHeight="false" outlineLevel="0" collapsed="false">
      <c r="A246" s="21" t="s">
        <v>377</v>
      </c>
      <c r="B246" s="21" t="s">
        <v>252</v>
      </c>
      <c r="C246" s="21" t="s">
        <v>400</v>
      </c>
      <c r="D246" s="37" t="n">
        <f aca="false">ROUND(Q246*R246,0)</f>
        <v>261</v>
      </c>
      <c r="E246" s="37" t="n">
        <f aca="false">ROUND(Q246,0)-D246</f>
        <v>107</v>
      </c>
      <c r="F246" s="37" t="n">
        <f aca="false">IF(COUNTA(D246:E246)=0,"",SUM(D246:E246))</f>
        <v>368</v>
      </c>
      <c r="G246" s="52" t="n">
        <f aca="false">IF(OR(F246="",F246=0),"",D246/F246)</f>
        <v>0.709239130434783</v>
      </c>
      <c r="H246" s="52" t="n">
        <f aca="false">IF(OR(F246="",F246=0),"",E246/F246)</f>
        <v>0.290760869565217</v>
      </c>
      <c r="I246" s="21" t="s">
        <v>122</v>
      </c>
      <c r="J246" s="53" t="n">
        <v>2.87918965002339</v>
      </c>
      <c r="K246" s="52" t="n">
        <f aca="false">IF(G246="","",MAX(0,G246-J246/100))</f>
        <v>0.680447233934549</v>
      </c>
      <c r="L246" s="52" t="n">
        <f aca="false">IF(G246="","",MIN(1,G246+J246/100))</f>
        <v>0.738031026935016</v>
      </c>
      <c r="M246" s="37" t="n">
        <f aca="false">IF(F246="","",ROUND(F246*J246/100,0))</f>
        <v>11</v>
      </c>
      <c r="P246" s="54" t="n">
        <v>20.6759436877495</v>
      </c>
      <c r="Q246" s="55" t="n">
        <f aca="false">T246*$H$5</f>
        <v>367.804159445407</v>
      </c>
      <c r="R246" s="56" t="n">
        <f aca="false">MAX(0,MIN(1,P246/100+$D$5))</f>
        <v>0.709409910014712</v>
      </c>
      <c r="S246" s="57" t="s">
        <v>123</v>
      </c>
      <c r="T246" s="55" t="n">
        <v>367.804159445407</v>
      </c>
    </row>
    <row r="247" customFormat="false" ht="15" hidden="false" customHeight="false" outlineLevel="0" collapsed="false">
      <c r="A247" s="21" t="s">
        <v>377</v>
      </c>
      <c r="B247" s="21" t="s">
        <v>252</v>
      </c>
      <c r="C247" s="21" t="s">
        <v>401</v>
      </c>
      <c r="D247" s="37" t="n">
        <f aca="false">ROUND(Q247*R247,0)</f>
        <v>352</v>
      </c>
      <c r="E247" s="37" t="n">
        <f aca="false">ROUND(Q247,0)-D247</f>
        <v>122</v>
      </c>
      <c r="F247" s="37" t="n">
        <f aca="false">IF(COUNTA(D247:E247)=0,"",SUM(D247:E247))</f>
        <v>474</v>
      </c>
      <c r="G247" s="52" t="n">
        <f aca="false">IF(OR(F247="",F247=0),"",D247/F247)</f>
        <v>0.742616033755274</v>
      </c>
      <c r="H247" s="52" t="n">
        <f aca="false">IF(OR(F247="",F247=0),"",E247/F247)</f>
        <v>0.257383966244726</v>
      </c>
      <c r="I247" s="21" t="s">
        <v>122</v>
      </c>
      <c r="J247" s="53" t="n">
        <v>2.87918965002339</v>
      </c>
      <c r="K247" s="52" t="n">
        <f aca="false">IF(G247="","",MAX(0,G247-J247/100))</f>
        <v>0.713824137255041</v>
      </c>
      <c r="L247" s="52" t="n">
        <f aca="false">IF(G247="","",MIN(1,G247+J247/100))</f>
        <v>0.771407930255508</v>
      </c>
      <c r="M247" s="37" t="n">
        <f aca="false">IF(F247="","",ROUND(F247*J247/100,0))</f>
        <v>14</v>
      </c>
      <c r="P247" s="54" t="n">
        <v>24.074044717328</v>
      </c>
      <c r="Q247" s="55" t="n">
        <f aca="false">T247*$H$5</f>
        <v>473.687539936102</v>
      </c>
      <c r="R247" s="56" t="n">
        <f aca="false">MAX(0,MIN(1,P247/100+$D$5))</f>
        <v>0.743390920310498</v>
      </c>
      <c r="S247" s="57" t="s">
        <v>123</v>
      </c>
      <c r="T247" s="55" t="n">
        <v>473.687539936102</v>
      </c>
    </row>
    <row r="248" customFormat="false" ht="15" hidden="false" customHeight="false" outlineLevel="0" collapsed="false">
      <c r="A248" s="21" t="s">
        <v>377</v>
      </c>
      <c r="B248" s="21" t="s">
        <v>252</v>
      </c>
      <c r="C248" s="21" t="s">
        <v>402</v>
      </c>
      <c r="D248" s="37" t="n">
        <f aca="false">ROUND(Q248*R248,0)</f>
        <v>637</v>
      </c>
      <c r="E248" s="37" t="n">
        <f aca="false">ROUND(Q248,0)-D248</f>
        <v>199</v>
      </c>
      <c r="F248" s="37" t="n">
        <f aca="false">IF(COUNTA(D248:E248)=0,"",SUM(D248:E248))</f>
        <v>836</v>
      </c>
      <c r="G248" s="52" t="n">
        <f aca="false">IF(OR(F248="",F248=0),"",D248/F248)</f>
        <v>0.761961722488038</v>
      </c>
      <c r="H248" s="52" t="n">
        <f aca="false">IF(OR(F248="",F248=0),"",E248/F248)</f>
        <v>0.238038277511962</v>
      </c>
      <c r="I248" s="21" t="s">
        <v>122</v>
      </c>
      <c r="J248" s="53" t="n">
        <v>1.9254971424187</v>
      </c>
      <c r="K248" s="52" t="n">
        <f aca="false">IF(G248="","",MAX(0,G248-J248/100))</f>
        <v>0.742706751063851</v>
      </c>
      <c r="L248" s="52" t="n">
        <f aca="false">IF(G248="","",MIN(1,G248+J248/100))</f>
        <v>0.781216693912225</v>
      </c>
      <c r="M248" s="37" t="n">
        <f aca="false">IF(F248="","",ROUND(F248*J248/100,0))</f>
        <v>16</v>
      </c>
      <c r="P248" s="54" t="n">
        <v>25.9537151206736</v>
      </c>
      <c r="Q248" s="55" t="n">
        <f aca="false">T248*$H$5</f>
        <v>835.622727272728</v>
      </c>
      <c r="R248" s="56" t="n">
        <f aca="false">MAX(0,MIN(1,P248/100+$D$5))</f>
        <v>0.762187624343954</v>
      </c>
      <c r="S248" s="57" t="s">
        <v>132</v>
      </c>
      <c r="T248" s="55" t="n">
        <v>835.622727272728</v>
      </c>
    </row>
    <row r="249" customFormat="false" ht="15" hidden="false" customHeight="false" outlineLevel="0" collapsed="false">
      <c r="A249" s="21" t="s">
        <v>377</v>
      </c>
      <c r="B249" s="21" t="s">
        <v>252</v>
      </c>
      <c r="C249" s="21" t="s">
        <v>403</v>
      </c>
      <c r="D249" s="37" t="n">
        <f aca="false">ROUND(Q249*R249,0)</f>
        <v>371</v>
      </c>
      <c r="E249" s="37" t="n">
        <f aca="false">ROUND(Q249,0)-D249</f>
        <v>137</v>
      </c>
      <c r="F249" s="37" t="n">
        <f aca="false">IF(COUNTA(D249:E249)=0,"",SUM(D249:E249))</f>
        <v>508</v>
      </c>
      <c r="G249" s="52" t="n">
        <f aca="false">IF(OR(F249="",F249=0),"",D249/F249)</f>
        <v>0.730314960629921</v>
      </c>
      <c r="H249" s="52" t="n">
        <f aca="false">IF(OR(F249="",F249=0),"",E249/F249)</f>
        <v>0.269685039370079</v>
      </c>
      <c r="I249" s="21" t="s">
        <v>122</v>
      </c>
      <c r="J249" s="53" t="n">
        <v>2.87918965002339</v>
      </c>
      <c r="K249" s="52" t="n">
        <f aca="false">IF(G249="","",MAX(0,G249-J249/100))</f>
        <v>0.701523064129688</v>
      </c>
      <c r="L249" s="52" t="n">
        <f aca="false">IF(G249="","",MIN(1,G249+J249/100))</f>
        <v>0.759106857130155</v>
      </c>
      <c r="M249" s="37" t="n">
        <f aca="false">IF(F249="","",ROUND(F249*J249/100,0))</f>
        <v>15</v>
      </c>
      <c r="P249" s="54" t="n">
        <v>22.7577246639381</v>
      </c>
      <c r="Q249" s="55" t="n">
        <f aca="false">T249*$H$5</f>
        <v>507.768014059754</v>
      </c>
      <c r="R249" s="56" t="n">
        <f aca="false">MAX(0,MIN(1,P249/100+$D$5))</f>
        <v>0.730227719776599</v>
      </c>
      <c r="S249" s="57" t="s">
        <v>123</v>
      </c>
      <c r="T249" s="55" t="n">
        <v>507.768014059754</v>
      </c>
    </row>
    <row r="250" customFormat="false" ht="15" hidden="false" customHeight="false" outlineLevel="0" collapsed="false">
      <c r="A250" s="21" t="s">
        <v>377</v>
      </c>
      <c r="B250" s="21" t="s">
        <v>252</v>
      </c>
      <c r="C250" s="21" t="s">
        <v>404</v>
      </c>
      <c r="D250" s="37" t="n">
        <f aca="false">ROUND(Q250*R250,0)</f>
        <v>356</v>
      </c>
      <c r="E250" s="37" t="n">
        <f aca="false">ROUND(Q250,0)-D250</f>
        <v>143</v>
      </c>
      <c r="F250" s="37" t="n">
        <f aca="false">IF(COUNTA(D250:E250)=0,"",SUM(D250:E250))</f>
        <v>499</v>
      </c>
      <c r="G250" s="52" t="n">
        <f aca="false">IF(OR(F250="",F250=0),"",D250/F250)</f>
        <v>0.713426853707415</v>
      </c>
      <c r="H250" s="52" t="n">
        <f aca="false">IF(OR(F250="",F250=0),"",E250/F250)</f>
        <v>0.286573146292585</v>
      </c>
      <c r="I250" s="21" t="s">
        <v>122</v>
      </c>
      <c r="J250" s="53" t="n">
        <v>2.87918965002339</v>
      </c>
      <c r="K250" s="52" t="n">
        <f aca="false">IF(G250="","",MAX(0,G250-J250/100))</f>
        <v>0.684634957207181</v>
      </c>
      <c r="L250" s="52" t="n">
        <f aca="false">IF(G250="","",MIN(1,G250+J250/100))</f>
        <v>0.742218750207649</v>
      </c>
      <c r="M250" s="37" t="n">
        <f aca="false">IF(F250="","",ROUND(F250*J250/100,0))</f>
        <v>14</v>
      </c>
      <c r="P250" s="54" t="n">
        <v>21.1538525198</v>
      </c>
      <c r="Q250" s="55" t="n">
        <f aca="false">T250*$H$5</f>
        <v>498.871436256052</v>
      </c>
      <c r="R250" s="56" t="n">
        <f aca="false">MAX(0,MIN(1,P250/100+$D$5))</f>
        <v>0.714188998335218</v>
      </c>
      <c r="S250" s="57" t="s">
        <v>123</v>
      </c>
      <c r="T250" s="55" t="n">
        <v>498.871436256052</v>
      </c>
    </row>
    <row r="251" customFormat="false" ht="15" hidden="false" customHeight="false" outlineLevel="0" collapsed="false">
      <c r="A251" s="21" t="s">
        <v>377</v>
      </c>
      <c r="B251" s="21" t="s">
        <v>252</v>
      </c>
      <c r="C251" s="21" t="s">
        <v>405</v>
      </c>
      <c r="D251" s="37" t="n">
        <f aca="false">ROUND(Q251*R251,0)</f>
        <v>379</v>
      </c>
      <c r="E251" s="37" t="n">
        <f aca="false">ROUND(Q251,0)-D251</f>
        <v>155</v>
      </c>
      <c r="F251" s="37" t="n">
        <f aca="false">IF(COUNTA(D251:E251)=0,"",SUM(D251:E251))</f>
        <v>534</v>
      </c>
      <c r="G251" s="52" t="n">
        <f aca="false">IF(OR(F251="",F251=0),"",D251/F251)</f>
        <v>0.709737827715356</v>
      </c>
      <c r="H251" s="52" t="n">
        <f aca="false">IF(OR(F251="",F251=0),"",E251/F251)</f>
        <v>0.290262172284644</v>
      </c>
      <c r="I251" s="21" t="s">
        <v>122</v>
      </c>
      <c r="J251" s="53" t="n">
        <v>2.87918965002339</v>
      </c>
      <c r="K251" s="52" t="n">
        <f aca="false">IF(G251="","",MAX(0,G251-J251/100))</f>
        <v>0.680945931215122</v>
      </c>
      <c r="L251" s="52" t="n">
        <f aca="false">IF(G251="","",MIN(1,G251+J251/100))</f>
        <v>0.73852972421559</v>
      </c>
      <c r="M251" s="37" t="n">
        <f aca="false">IF(F251="","",ROUND(F251*J251/100,0))</f>
        <v>15</v>
      </c>
      <c r="P251" s="54" t="n">
        <v>20.6627703590139</v>
      </c>
      <c r="Q251" s="55" t="n">
        <f aca="false">T251*$H$5</f>
        <v>533.985148514852</v>
      </c>
      <c r="R251" s="56" t="n">
        <f aca="false">MAX(0,MIN(1,P251/100+$D$5))</f>
        <v>0.709278176727357</v>
      </c>
      <c r="S251" s="57" t="s">
        <v>123</v>
      </c>
      <c r="T251" s="55" t="n">
        <v>533.985148514852</v>
      </c>
    </row>
    <row r="252" customFormat="false" ht="15" hidden="false" customHeight="false" outlineLevel="0" collapsed="false">
      <c r="A252" s="21" t="s">
        <v>377</v>
      </c>
      <c r="B252" s="21" t="s">
        <v>252</v>
      </c>
      <c r="C252" s="21" t="s">
        <v>406</v>
      </c>
      <c r="D252" s="37" t="n">
        <f aca="false">ROUND(Q252*R252,0)</f>
        <v>563</v>
      </c>
      <c r="E252" s="37" t="n">
        <f aca="false">ROUND(Q252,0)-D252</f>
        <v>235</v>
      </c>
      <c r="F252" s="37" t="n">
        <f aca="false">IF(COUNTA(D252:E252)=0,"",SUM(D252:E252))</f>
        <v>798</v>
      </c>
      <c r="G252" s="52" t="n">
        <f aca="false">IF(OR(F252="",F252=0),"",D252/F252)</f>
        <v>0.705513784461153</v>
      </c>
      <c r="H252" s="52" t="n">
        <f aca="false">IF(OR(F252="",F252=0),"",E252/F252)</f>
        <v>0.294486215538847</v>
      </c>
      <c r="I252" s="21" t="s">
        <v>122</v>
      </c>
      <c r="J252" s="53" t="n">
        <v>1.9254971424187</v>
      </c>
      <c r="K252" s="52" t="n">
        <f aca="false">IF(G252="","",MAX(0,G252-J252/100))</f>
        <v>0.686258813036966</v>
      </c>
      <c r="L252" s="52" t="n">
        <f aca="false">IF(G252="","",MIN(1,G252+J252/100))</f>
        <v>0.72476875588534</v>
      </c>
      <c r="M252" s="37" t="n">
        <f aca="false">IF(F252="","",ROUND(F252*J252/100,0))</f>
        <v>15</v>
      </c>
      <c r="P252" s="54" t="n">
        <v>20.1939790035273</v>
      </c>
      <c r="Q252" s="55" t="n">
        <f aca="false">T252*$H$5</f>
        <v>798.341340075854</v>
      </c>
      <c r="R252" s="56" t="n">
        <f aca="false">MAX(0,MIN(1,P252/100+$D$5))</f>
        <v>0.704590263172491</v>
      </c>
      <c r="S252" s="57" t="s">
        <v>132</v>
      </c>
      <c r="T252" s="55" t="n">
        <v>798.341340075854</v>
      </c>
    </row>
    <row r="253" customFormat="false" ht="15" hidden="false" customHeight="false" outlineLevel="0" collapsed="false">
      <c r="A253" s="21" t="s">
        <v>377</v>
      </c>
      <c r="B253" s="21" t="s">
        <v>252</v>
      </c>
      <c r="C253" s="21" t="s">
        <v>407</v>
      </c>
      <c r="D253" s="37" t="n">
        <f aca="false">ROUND(Q253*R253,0)</f>
        <v>471</v>
      </c>
      <c r="E253" s="37" t="n">
        <f aca="false">ROUND(Q253,0)-D253</f>
        <v>211</v>
      </c>
      <c r="F253" s="37" t="n">
        <f aca="false">IF(COUNTA(D253:E253)=0,"",SUM(D253:E253))</f>
        <v>682</v>
      </c>
      <c r="G253" s="52" t="n">
        <f aca="false">IF(OR(F253="",F253=0),"",D253/F253)</f>
        <v>0.690615835777126</v>
      </c>
      <c r="H253" s="52" t="n">
        <f aca="false">IF(OR(F253="",F253=0),"",E253/F253)</f>
        <v>0.309384164222874</v>
      </c>
      <c r="I253" s="21" t="s">
        <v>122</v>
      </c>
      <c r="J253" s="53" t="n">
        <v>2.87918965002339</v>
      </c>
      <c r="K253" s="52" t="n">
        <f aca="false">IF(G253="","",MAX(0,G253-J253/100))</f>
        <v>0.661823939276892</v>
      </c>
      <c r="L253" s="52" t="n">
        <f aca="false">IF(G253="","",MIN(1,G253+J253/100))</f>
        <v>0.71940773227736</v>
      </c>
      <c r="M253" s="37" t="n">
        <f aca="false">IF(F253="","",ROUND(F253*J253/100,0))</f>
        <v>20</v>
      </c>
      <c r="P253" s="54" t="n">
        <v>18.7627595641538</v>
      </c>
      <c r="Q253" s="55" t="n">
        <f aca="false">T253*$H$5</f>
        <v>682.091267235719</v>
      </c>
      <c r="R253" s="56" t="n">
        <f aca="false">MAX(0,MIN(1,P253/100+$D$5))</f>
        <v>0.690278068778756</v>
      </c>
      <c r="S253" s="57" t="s">
        <v>123</v>
      </c>
      <c r="T253" s="55" t="n">
        <v>682.091267235719</v>
      </c>
    </row>
    <row r="254" customFormat="false" ht="15" hidden="false" customHeight="false" outlineLevel="0" collapsed="false">
      <c r="A254" s="21" t="s">
        <v>377</v>
      </c>
      <c r="B254" s="21" t="s">
        <v>252</v>
      </c>
      <c r="C254" s="21" t="s">
        <v>408</v>
      </c>
      <c r="D254" s="37" t="n">
        <f aca="false">ROUND(Q254*R254,0)</f>
        <v>541</v>
      </c>
      <c r="E254" s="37" t="n">
        <f aca="false">ROUND(Q254,0)-D254</f>
        <v>244</v>
      </c>
      <c r="F254" s="37" t="n">
        <f aca="false">IF(COUNTA(D254:E254)=0,"",SUM(D254:E254))</f>
        <v>785</v>
      </c>
      <c r="G254" s="52" t="n">
        <f aca="false">IF(OR(F254="",F254=0),"",D254/F254)</f>
        <v>0.689171974522293</v>
      </c>
      <c r="H254" s="52" t="n">
        <f aca="false">IF(OR(F254="",F254=0),"",E254/F254)</f>
        <v>0.310828025477707</v>
      </c>
      <c r="I254" s="21" t="s">
        <v>122</v>
      </c>
      <c r="J254" s="53" t="n">
        <v>1.9254971424187</v>
      </c>
      <c r="K254" s="52" t="n">
        <f aca="false">IF(G254="","",MAX(0,G254-J254/100))</f>
        <v>0.669917003098106</v>
      </c>
      <c r="L254" s="52" t="n">
        <f aca="false">IF(G254="","",MIN(1,G254+J254/100))</f>
        <v>0.70842694594648</v>
      </c>
      <c r="M254" s="37" t="n">
        <f aca="false">IF(F254="","",ROUND(F254*J254/100,0))</f>
        <v>15</v>
      </c>
      <c r="P254" s="54" t="n">
        <v>18.6317088448435</v>
      </c>
      <c r="Q254" s="55" t="n">
        <f aca="false">T254*$H$5</f>
        <v>785.450874831763</v>
      </c>
      <c r="R254" s="56" t="n">
        <f aca="false">MAX(0,MIN(1,P254/100+$D$5))</f>
        <v>0.688967561585653</v>
      </c>
      <c r="S254" s="57" t="s">
        <v>132</v>
      </c>
      <c r="T254" s="55" t="n">
        <v>785.450874831763</v>
      </c>
    </row>
    <row r="255" customFormat="false" ht="15" hidden="false" customHeight="false" outlineLevel="0" collapsed="false">
      <c r="A255" s="21" t="s">
        <v>377</v>
      </c>
      <c r="B255" s="21" t="s">
        <v>252</v>
      </c>
      <c r="C255" s="21" t="s">
        <v>409</v>
      </c>
      <c r="D255" s="37" t="n">
        <f aca="false">ROUND(Q255*R255,0)</f>
        <v>911</v>
      </c>
      <c r="E255" s="37" t="n">
        <f aca="false">ROUND(Q255,0)-D255</f>
        <v>517</v>
      </c>
      <c r="F255" s="37" t="n">
        <f aca="false">IF(COUNTA(D255:E255)=0,"",SUM(D255:E255))</f>
        <v>1428</v>
      </c>
      <c r="G255" s="52" t="n">
        <f aca="false">IF(OR(F255="",F255=0),"",D255/F255)</f>
        <v>0.637955182072829</v>
      </c>
      <c r="H255" s="52" t="n">
        <f aca="false">IF(OR(F255="",F255=0),"",E255/F255)</f>
        <v>0.362044817927171</v>
      </c>
      <c r="I255" s="21" t="s">
        <v>223</v>
      </c>
      <c r="J255" s="53" t="n">
        <v>1.86991787188303</v>
      </c>
      <c r="K255" s="52" t="n">
        <f aca="false">IF(G255="","",MAX(0,G255-J255/100))</f>
        <v>0.619256003353999</v>
      </c>
      <c r="L255" s="52" t="n">
        <f aca="false">IF(G255="","",MIN(1,G255+J255/100))</f>
        <v>0.656654360791659</v>
      </c>
      <c r="M255" s="37" t="n">
        <f aca="false">IF(F255="","",ROUND(F255*J255/100,0))</f>
        <v>27</v>
      </c>
      <c r="P255" s="54" t="n">
        <v>13.5122843505963</v>
      </c>
      <c r="Q255" s="55" t="n">
        <f aca="false">T255*$H$5</f>
        <v>1428.36591156443</v>
      </c>
      <c r="R255" s="56" t="n">
        <f aca="false">MAX(0,MIN(1,P255/100+$D$5))</f>
        <v>0.637773316643181</v>
      </c>
      <c r="S255" s="57" t="s">
        <v>225</v>
      </c>
      <c r="T255" s="55" t="n">
        <v>1428.36591156443</v>
      </c>
    </row>
    <row r="256" customFormat="false" ht="15" hidden="false" customHeight="false" outlineLevel="0" collapsed="false">
      <c r="A256" s="21" t="s">
        <v>377</v>
      </c>
      <c r="B256" s="21" t="s">
        <v>410</v>
      </c>
      <c r="C256" s="21" t="s">
        <v>411</v>
      </c>
      <c r="D256" s="37" t="n">
        <f aca="false">ROUND(Q256*R256,0)</f>
        <v>388</v>
      </c>
      <c r="E256" s="37" t="n">
        <f aca="false">ROUND(Q256,0)-D256</f>
        <v>331</v>
      </c>
      <c r="F256" s="37" t="n">
        <f aca="false">IF(COUNTA(D256:E256)=0,"",SUM(D256:E256))</f>
        <v>719</v>
      </c>
      <c r="G256" s="52" t="n">
        <f aca="false">IF(OR(F256="",F256=0),"",D256/F256)</f>
        <v>0.539638386648122</v>
      </c>
      <c r="H256" s="52" t="n">
        <f aca="false">IF(OR(F256="",F256=0),"",E256/F256)</f>
        <v>0.460361613351878</v>
      </c>
      <c r="I256" s="21" t="s">
        <v>122</v>
      </c>
      <c r="J256" s="53" t="n">
        <v>2.87918965002339</v>
      </c>
      <c r="K256" s="52" t="n">
        <f aca="false">IF(G256="","",MAX(0,G256-J256/100))</f>
        <v>0.510846490147889</v>
      </c>
      <c r="L256" s="52" t="n">
        <f aca="false">IF(G256="","",MIN(1,G256+J256/100))</f>
        <v>0.568430283148356</v>
      </c>
      <c r="M256" s="37" t="n">
        <f aca="false">IF(F256="","",ROUND(F256*J256/100,0))</f>
        <v>21</v>
      </c>
      <c r="P256" s="54" t="n">
        <v>3.70800027680817</v>
      </c>
      <c r="Q256" s="55" t="n">
        <f aca="false">T256*$H$5</f>
        <v>718.755218216319</v>
      </c>
      <c r="R256" s="56" t="n">
        <f aca="false">MAX(0,MIN(1,P256/100+$D$5))</f>
        <v>0.539730475905299</v>
      </c>
      <c r="S256" s="57" t="s">
        <v>123</v>
      </c>
      <c r="T256" s="55" t="n">
        <v>718.755218216319</v>
      </c>
    </row>
    <row r="257" customFormat="false" ht="15" hidden="false" customHeight="false" outlineLevel="0" collapsed="false">
      <c r="A257" s="21" t="s">
        <v>377</v>
      </c>
      <c r="B257" s="21" t="s">
        <v>410</v>
      </c>
      <c r="C257" s="21" t="s">
        <v>412</v>
      </c>
      <c r="D257" s="37" t="n">
        <f aca="false">ROUND(Q257*R257,0)</f>
        <v>493</v>
      </c>
      <c r="E257" s="37" t="n">
        <f aca="false">ROUND(Q257,0)-D257</f>
        <v>436</v>
      </c>
      <c r="F257" s="37" t="n">
        <f aca="false">IF(COUNTA(D257:E257)=0,"",SUM(D257:E257))</f>
        <v>929</v>
      </c>
      <c r="G257" s="52" t="n">
        <f aca="false">IF(OR(F257="",F257=0),"",D257/F257)</f>
        <v>0.530678148546825</v>
      </c>
      <c r="H257" s="52" t="n">
        <f aca="false">IF(OR(F257="",F257=0),"",E257/F257)</f>
        <v>0.469321851453175</v>
      </c>
      <c r="I257" s="21" t="s">
        <v>122</v>
      </c>
      <c r="J257" s="53" t="n">
        <v>1.9254971424187</v>
      </c>
      <c r="K257" s="52" t="n">
        <f aca="false">IF(G257="","",MAX(0,G257-J257/100))</f>
        <v>0.511423177122637</v>
      </c>
      <c r="L257" s="52" t="n">
        <f aca="false">IF(G257="","",MIN(1,G257+J257/100))</f>
        <v>0.549933119971012</v>
      </c>
      <c r="M257" s="37" t="n">
        <f aca="false">IF(F257="","",ROUND(F257*J257/100,0))</f>
        <v>18</v>
      </c>
      <c r="P257" s="54" t="n">
        <v>2.77919169968921</v>
      </c>
      <c r="Q257" s="55" t="n">
        <f aca="false">T257*$H$5</f>
        <v>929.064439140811</v>
      </c>
      <c r="R257" s="56" t="n">
        <f aca="false">MAX(0,MIN(1,P257/100+$D$5))</f>
        <v>0.53044239013411</v>
      </c>
      <c r="S257" s="57" t="s">
        <v>132</v>
      </c>
      <c r="T257" s="55" t="n">
        <v>929.064439140811</v>
      </c>
    </row>
    <row r="258" customFormat="false" ht="15" hidden="false" customHeight="false" outlineLevel="0" collapsed="false">
      <c r="A258" s="21" t="s">
        <v>377</v>
      </c>
      <c r="B258" s="21" t="s">
        <v>410</v>
      </c>
      <c r="C258" s="21" t="s">
        <v>413</v>
      </c>
      <c r="D258" s="37" t="n">
        <f aca="false">ROUND(Q258*R258,0)</f>
        <v>548</v>
      </c>
      <c r="E258" s="37" t="n">
        <f aca="false">ROUND(Q258,0)-D258</f>
        <v>442</v>
      </c>
      <c r="F258" s="37" t="n">
        <f aca="false">IF(COUNTA(D258:E258)=0,"",SUM(D258:E258))</f>
        <v>990</v>
      </c>
      <c r="G258" s="52" t="n">
        <f aca="false">IF(OR(F258="",F258=0),"",D258/F258)</f>
        <v>0.553535353535354</v>
      </c>
      <c r="H258" s="52" t="n">
        <f aca="false">IF(OR(F258="",F258=0),"",E258/F258)</f>
        <v>0.446464646464646</v>
      </c>
      <c r="I258" s="21" t="s">
        <v>122</v>
      </c>
      <c r="J258" s="53" t="n">
        <v>1.9254971424187</v>
      </c>
      <c r="K258" s="52" t="n">
        <f aca="false">IF(G258="","",MAX(0,G258-J258/100))</f>
        <v>0.534280382111167</v>
      </c>
      <c r="L258" s="52" t="n">
        <f aca="false">IF(G258="","",MIN(1,G258+J258/100))</f>
        <v>0.572790324959541</v>
      </c>
      <c r="M258" s="37" t="n">
        <f aca="false">IF(F258="","",ROUND(F258*J258/100,0))</f>
        <v>19</v>
      </c>
      <c r="P258" s="54" t="n">
        <v>5.07458150268719</v>
      </c>
      <c r="Q258" s="55" t="n">
        <f aca="false">T258*$H$5</f>
        <v>990.257425742575</v>
      </c>
      <c r="R258" s="56" t="n">
        <f aca="false">MAX(0,MIN(1,P258/100+$D$5))</f>
        <v>0.55339628816409</v>
      </c>
      <c r="S258" s="57" t="s">
        <v>132</v>
      </c>
      <c r="T258" s="55" t="n">
        <v>990.257425742575</v>
      </c>
    </row>
    <row r="259" customFormat="false" ht="15" hidden="false" customHeight="false" outlineLevel="0" collapsed="false">
      <c r="A259" s="21" t="s">
        <v>377</v>
      </c>
      <c r="B259" s="21" t="s">
        <v>410</v>
      </c>
      <c r="C259" s="21" t="s">
        <v>414</v>
      </c>
      <c r="D259" s="37" t="n">
        <f aca="false">ROUND(Q259*R259,0)</f>
        <v>262</v>
      </c>
      <c r="E259" s="37" t="n">
        <f aca="false">ROUND(Q259,0)-D259</f>
        <v>252</v>
      </c>
      <c r="F259" s="37" t="n">
        <f aca="false">IF(COUNTA(D259:E259)=0,"",SUM(D259:E259))</f>
        <v>514</v>
      </c>
      <c r="G259" s="52" t="n">
        <f aca="false">IF(OR(F259="",F259=0),"",D259/F259)</f>
        <v>0.509727626459144</v>
      </c>
      <c r="H259" s="52" t="n">
        <f aca="false">IF(OR(F259="",F259=0),"",E259/F259)</f>
        <v>0.490272373540856</v>
      </c>
      <c r="I259" s="21" t="s">
        <v>122</v>
      </c>
      <c r="J259" s="53" t="n">
        <v>2.87918965002339</v>
      </c>
      <c r="K259" s="52" t="n">
        <f aca="false">IF(G259="","",MAX(0,G259-J259/100))</f>
        <v>0.48093572995891</v>
      </c>
      <c r="L259" s="52" t="n">
        <f aca="false">IF(G259="","",MIN(1,G259+J259/100))</f>
        <v>0.538519522959378</v>
      </c>
      <c r="M259" s="37" t="n">
        <f aca="false">IF(F259="","",ROUND(F259*J259/100,0))</f>
        <v>15</v>
      </c>
      <c r="P259" s="54" t="n">
        <v>0.653132667958542</v>
      </c>
      <c r="Q259" s="55" t="n">
        <f aca="false">T259*$H$5</f>
        <v>513.768181818182</v>
      </c>
      <c r="R259" s="56" t="n">
        <f aca="false">MAX(0,MIN(1,P259/100+$D$5))</f>
        <v>0.509181799816803</v>
      </c>
      <c r="S259" s="57" t="s">
        <v>123</v>
      </c>
      <c r="T259" s="55" t="n">
        <v>513.768181818182</v>
      </c>
    </row>
    <row r="260" customFormat="false" ht="15" hidden="false" customHeight="false" outlineLevel="0" collapsed="false">
      <c r="A260" s="21" t="s">
        <v>377</v>
      </c>
      <c r="B260" s="21" t="s">
        <v>410</v>
      </c>
      <c r="C260" s="21" t="s">
        <v>415</v>
      </c>
      <c r="D260" s="37" t="n">
        <f aca="false">ROUND(Q260*R260,0)</f>
        <v>450</v>
      </c>
      <c r="E260" s="37" t="n">
        <f aca="false">ROUND(Q260,0)-D260</f>
        <v>342</v>
      </c>
      <c r="F260" s="37" t="n">
        <f aca="false">IF(COUNTA(D260:E260)=0,"",SUM(D260:E260))</f>
        <v>792</v>
      </c>
      <c r="G260" s="52" t="n">
        <f aca="false">IF(OR(F260="",F260=0),"",D260/F260)</f>
        <v>0.568181818181818</v>
      </c>
      <c r="H260" s="52" t="n">
        <f aca="false">IF(OR(F260="",F260=0),"",E260/F260)</f>
        <v>0.431818181818182</v>
      </c>
      <c r="I260" s="21" t="s">
        <v>122</v>
      </c>
      <c r="J260" s="53" t="n">
        <v>1.9254971424187</v>
      </c>
      <c r="K260" s="52" t="n">
        <f aca="false">IF(G260="","",MAX(0,G260-J260/100))</f>
        <v>0.548926846757631</v>
      </c>
      <c r="L260" s="52" t="n">
        <f aca="false">IF(G260="","",MIN(1,G260+J260/100))</f>
        <v>0.587436789606005</v>
      </c>
      <c r="M260" s="37" t="n">
        <f aca="false">IF(F260="","",ROUND(F260*J260/100,0))</f>
        <v>15</v>
      </c>
      <c r="P260" s="54" t="n">
        <v>6.47838022914352</v>
      </c>
      <c r="Q260" s="55" t="n">
        <f aca="false">T260*$H$5</f>
        <v>792.466367713005</v>
      </c>
      <c r="R260" s="56" t="n">
        <f aca="false">MAX(0,MIN(1,P260/100+$D$5))</f>
        <v>0.567434275428653</v>
      </c>
      <c r="S260" s="57" t="s">
        <v>132</v>
      </c>
      <c r="T260" s="55" t="n">
        <v>792.466367713005</v>
      </c>
    </row>
    <row r="261" customFormat="false" ht="15" hidden="false" customHeight="false" outlineLevel="0" collapsed="false">
      <c r="A261" s="21" t="s">
        <v>377</v>
      </c>
      <c r="B261" s="21" t="s">
        <v>410</v>
      </c>
      <c r="C261" s="21" t="s">
        <v>416</v>
      </c>
      <c r="D261" s="37" t="n">
        <f aca="false">ROUND(Q261*R261,0)</f>
        <v>446</v>
      </c>
      <c r="E261" s="37" t="n">
        <f aca="false">ROUND(Q261,0)-D261</f>
        <v>394</v>
      </c>
      <c r="F261" s="37" t="n">
        <f aca="false">IF(COUNTA(D261:E261)=0,"",SUM(D261:E261))</f>
        <v>840</v>
      </c>
      <c r="G261" s="52" t="n">
        <f aca="false">IF(OR(F261="",F261=0),"",D261/F261)</f>
        <v>0.530952380952381</v>
      </c>
      <c r="H261" s="52" t="n">
        <f aca="false">IF(OR(F261="",F261=0),"",E261/F261)</f>
        <v>0.469047619047619</v>
      </c>
      <c r="I261" s="21" t="s">
        <v>122</v>
      </c>
      <c r="J261" s="53" t="n">
        <v>1.9254971424187</v>
      </c>
      <c r="K261" s="52" t="n">
        <f aca="false">IF(G261="","",MAX(0,G261-J261/100))</f>
        <v>0.511697409528194</v>
      </c>
      <c r="L261" s="52" t="n">
        <f aca="false">IF(G261="","",MIN(1,G261+J261/100))</f>
        <v>0.550207352376568</v>
      </c>
      <c r="M261" s="37" t="n">
        <f aca="false">IF(F261="","",ROUND(F261*J261/100,0))</f>
        <v>16</v>
      </c>
      <c r="P261" s="54" t="n">
        <v>2.83496941034044</v>
      </c>
      <c r="Q261" s="55" t="n">
        <f aca="false">T261*$H$5</f>
        <v>839.707716289945</v>
      </c>
      <c r="R261" s="56" t="n">
        <f aca="false">MAX(0,MIN(1,P261/100+$D$5))</f>
        <v>0.531000167240622</v>
      </c>
      <c r="S261" s="57" t="s">
        <v>132</v>
      </c>
      <c r="T261" s="55" t="n">
        <v>839.707716289945</v>
      </c>
    </row>
    <row r="262" customFormat="false" ht="15" hidden="false" customHeight="false" outlineLevel="0" collapsed="false">
      <c r="A262" s="21" t="s">
        <v>377</v>
      </c>
      <c r="B262" s="21" t="s">
        <v>410</v>
      </c>
      <c r="C262" s="21" t="s">
        <v>417</v>
      </c>
      <c r="D262" s="37" t="n">
        <f aca="false">ROUND(Q262*R262,0)</f>
        <v>289</v>
      </c>
      <c r="E262" s="37" t="n">
        <f aca="false">ROUND(Q262,0)-D262</f>
        <v>225</v>
      </c>
      <c r="F262" s="37" t="n">
        <f aca="false">IF(COUNTA(D262:E262)=0,"",SUM(D262:E262))</f>
        <v>514</v>
      </c>
      <c r="G262" s="52" t="n">
        <f aca="false">IF(OR(F262="",F262=0),"",D262/F262)</f>
        <v>0.562256809338521</v>
      </c>
      <c r="H262" s="52" t="n">
        <f aca="false">IF(OR(F262="",F262=0),"",E262/F262)</f>
        <v>0.437743190661479</v>
      </c>
      <c r="I262" s="21" t="s">
        <v>122</v>
      </c>
      <c r="J262" s="53" t="n">
        <v>2.87918965002339</v>
      </c>
      <c r="K262" s="52" t="n">
        <f aca="false">IF(G262="","",MAX(0,G262-J262/100))</f>
        <v>0.533464912838288</v>
      </c>
      <c r="L262" s="52" t="n">
        <f aca="false">IF(G262="","",MIN(1,G262+J262/100))</f>
        <v>0.591048705838755</v>
      </c>
      <c r="M262" s="37" t="n">
        <f aca="false">IF(F262="","",ROUND(F262*J262/100,0))</f>
        <v>15</v>
      </c>
      <c r="P262" s="54" t="n">
        <v>5.86239677198516</v>
      </c>
      <c r="Q262" s="55" t="n">
        <f aca="false">T262*$H$5</f>
        <v>514.18359375</v>
      </c>
      <c r="R262" s="56" t="n">
        <f aca="false">MAX(0,MIN(1,P262/100+$D$5))</f>
        <v>0.561274440857069</v>
      </c>
      <c r="S262" s="57" t="s">
        <v>123</v>
      </c>
      <c r="T262" s="55" t="n">
        <v>514.18359375</v>
      </c>
    </row>
    <row r="263" customFormat="false" ht="15" hidden="false" customHeight="false" outlineLevel="0" collapsed="false">
      <c r="A263" s="21" t="s">
        <v>377</v>
      </c>
      <c r="B263" s="21" t="s">
        <v>410</v>
      </c>
      <c r="C263" s="21" t="s">
        <v>418</v>
      </c>
      <c r="D263" s="37" t="n">
        <f aca="false">ROUND(Q263*R263,0)</f>
        <v>405</v>
      </c>
      <c r="E263" s="37" t="n">
        <f aca="false">ROUND(Q263,0)-D263</f>
        <v>301</v>
      </c>
      <c r="F263" s="37" t="n">
        <f aca="false">IF(COUNTA(D263:E263)=0,"",SUM(D263:E263))</f>
        <v>706</v>
      </c>
      <c r="G263" s="52" t="n">
        <f aca="false">IF(OR(F263="",F263=0),"",D263/F263)</f>
        <v>0.573654390934844</v>
      </c>
      <c r="H263" s="52" t="n">
        <f aca="false">IF(OR(F263="",F263=0),"",E263/F263)</f>
        <v>0.426345609065156</v>
      </c>
      <c r="I263" s="21" t="s">
        <v>122</v>
      </c>
      <c r="J263" s="53" t="n">
        <v>2.87918965002339</v>
      </c>
      <c r="K263" s="52" t="n">
        <f aca="false">IF(G263="","",MAX(0,G263-J263/100))</f>
        <v>0.54486249443461</v>
      </c>
      <c r="L263" s="52" t="n">
        <f aca="false">IF(G263="","",MIN(1,G263+J263/100))</f>
        <v>0.602446287435078</v>
      </c>
      <c r="M263" s="37" t="n">
        <f aca="false">IF(F263="","",ROUND(F263*J263/100,0))</f>
        <v>20</v>
      </c>
      <c r="P263" s="54" t="n">
        <v>7.12331543386832</v>
      </c>
      <c r="Q263" s="55" t="n">
        <f aca="false">T263*$H$5</f>
        <v>705.860894941634</v>
      </c>
      <c r="R263" s="56" t="n">
        <f aca="false">MAX(0,MIN(1,P263/100+$D$5))</f>
        <v>0.573883627475901</v>
      </c>
      <c r="S263" s="57" t="s">
        <v>123</v>
      </c>
      <c r="T263" s="55" t="n">
        <v>705.860894941634</v>
      </c>
    </row>
    <row r="264" customFormat="false" ht="15" hidden="false" customHeight="false" outlineLevel="0" collapsed="false">
      <c r="A264" s="21" t="s">
        <v>377</v>
      </c>
      <c r="B264" s="21" t="s">
        <v>410</v>
      </c>
      <c r="C264" s="21" t="s">
        <v>419</v>
      </c>
      <c r="D264" s="37" t="n">
        <f aca="false">ROUND(Q264*R264,0)</f>
        <v>252</v>
      </c>
      <c r="E264" s="37" t="n">
        <f aca="false">ROUND(Q264,0)-D264</f>
        <v>177</v>
      </c>
      <c r="F264" s="37" t="n">
        <f aca="false">IF(COUNTA(D264:E264)=0,"",SUM(D264:E264))</f>
        <v>429</v>
      </c>
      <c r="G264" s="52" t="n">
        <f aca="false">IF(OR(F264="",F264=0),"",D264/F264)</f>
        <v>0.587412587412587</v>
      </c>
      <c r="H264" s="52" t="n">
        <f aca="false">IF(OR(F264="",F264=0),"",E264/F264)</f>
        <v>0.412587412587413</v>
      </c>
      <c r="I264" s="21" t="s">
        <v>122</v>
      </c>
      <c r="J264" s="53" t="n">
        <v>2.87918965002339</v>
      </c>
      <c r="K264" s="52" t="n">
        <f aca="false">IF(G264="","",MAX(0,G264-J264/100))</f>
        <v>0.558620690912354</v>
      </c>
      <c r="L264" s="52" t="n">
        <f aca="false">IF(G264="","",MIN(1,G264+J264/100))</f>
        <v>0.616204483912821</v>
      </c>
      <c r="M264" s="37" t="n">
        <f aca="false">IF(F264="","",ROUND(F264*J264/100,0))</f>
        <v>12</v>
      </c>
      <c r="P264" s="54" t="n">
        <v>8.39759133736655</v>
      </c>
      <c r="Q264" s="55" t="n">
        <f aca="false">T264*$H$5</f>
        <v>429.344262295082</v>
      </c>
      <c r="R264" s="56" t="n">
        <f aca="false">MAX(0,MIN(1,P264/100+$D$5))</f>
        <v>0.586626386510883</v>
      </c>
      <c r="S264" s="57" t="s">
        <v>123</v>
      </c>
      <c r="T264" s="55" t="n">
        <v>429.344262295082</v>
      </c>
    </row>
    <row r="265" customFormat="false" ht="15" hidden="false" customHeight="false" outlineLevel="0" collapsed="false">
      <c r="A265" s="21" t="s">
        <v>377</v>
      </c>
      <c r="B265" s="21" t="s">
        <v>410</v>
      </c>
      <c r="C265" s="21" t="s">
        <v>420</v>
      </c>
      <c r="D265" s="37" t="n">
        <f aca="false">ROUND(Q265*R265,0)</f>
        <v>279</v>
      </c>
      <c r="E265" s="37" t="n">
        <f aca="false">ROUND(Q265,0)-D265</f>
        <v>265</v>
      </c>
      <c r="F265" s="37" t="n">
        <f aca="false">IF(COUNTA(D265:E265)=0,"",SUM(D265:E265))</f>
        <v>544</v>
      </c>
      <c r="G265" s="52" t="n">
        <f aca="false">IF(OR(F265="",F265=0),"",D265/F265)</f>
        <v>0.512867647058824</v>
      </c>
      <c r="H265" s="52" t="n">
        <f aca="false">IF(OR(F265="",F265=0),"",E265/F265)</f>
        <v>0.487132352941176</v>
      </c>
      <c r="I265" s="21" t="s">
        <v>122</v>
      </c>
      <c r="J265" s="53" t="n">
        <v>2.87918965002339</v>
      </c>
      <c r="K265" s="52" t="n">
        <f aca="false">IF(G265="","",MAX(0,G265-J265/100))</f>
        <v>0.48407575055859</v>
      </c>
      <c r="L265" s="52" t="n">
        <f aca="false">IF(G265="","",MIN(1,G265+J265/100))</f>
        <v>0.541659543559057</v>
      </c>
      <c r="M265" s="37" t="n">
        <f aca="false">IF(F265="","",ROUND(F265*J265/100,0))</f>
        <v>16</v>
      </c>
      <c r="P265" s="54" t="n">
        <v>0.970699873781199</v>
      </c>
      <c r="Q265" s="55" t="n">
        <f aca="false">T265*$H$5</f>
        <v>543.75093399751</v>
      </c>
      <c r="R265" s="56" t="n">
        <f aca="false">MAX(0,MIN(1,P265/100+$D$5))</f>
        <v>0.51235747187503</v>
      </c>
      <c r="S265" s="57" t="s">
        <v>123</v>
      </c>
      <c r="T265" s="55" t="n">
        <v>543.75093399751</v>
      </c>
    </row>
    <row r="266" customFormat="false" ht="15" hidden="false" customHeight="false" outlineLevel="0" collapsed="false">
      <c r="A266" s="21" t="s">
        <v>377</v>
      </c>
      <c r="B266" s="21" t="s">
        <v>410</v>
      </c>
      <c r="C266" s="21" t="s">
        <v>421</v>
      </c>
      <c r="D266" s="37" t="n">
        <f aca="false">ROUND(Q266*R266,0)</f>
        <v>351</v>
      </c>
      <c r="E266" s="37" t="n">
        <f aca="false">ROUND(Q266,0)-D266</f>
        <v>302</v>
      </c>
      <c r="F266" s="37" t="n">
        <f aca="false">IF(COUNTA(D266:E266)=0,"",SUM(D266:E266))</f>
        <v>653</v>
      </c>
      <c r="G266" s="52" t="n">
        <f aca="false">IF(OR(F266="",F266=0),"",D266/F266)</f>
        <v>0.537519142419602</v>
      </c>
      <c r="H266" s="52" t="n">
        <f aca="false">IF(OR(F266="",F266=0),"",E266/F266)</f>
        <v>0.462480857580398</v>
      </c>
      <c r="I266" s="21" t="s">
        <v>122</v>
      </c>
      <c r="J266" s="53" t="n">
        <v>2.87918965002339</v>
      </c>
      <c r="K266" s="52" t="n">
        <f aca="false">IF(G266="","",MAX(0,G266-J266/100))</f>
        <v>0.508727245919368</v>
      </c>
      <c r="L266" s="52" t="n">
        <f aca="false">IF(G266="","",MIN(1,G266+J266/100))</f>
        <v>0.566311038919836</v>
      </c>
      <c r="M266" s="37" t="n">
        <f aca="false">IF(F266="","",ROUND(F266*J266/100,0))</f>
        <v>19</v>
      </c>
      <c r="P266" s="54" t="n">
        <v>3.43634108837958</v>
      </c>
      <c r="Q266" s="55" t="n">
        <f aca="false">T266*$H$5</f>
        <v>652.778593913956</v>
      </c>
      <c r="R266" s="56" t="n">
        <f aca="false">MAX(0,MIN(1,P266/100+$D$5))</f>
        <v>0.537013884021014</v>
      </c>
      <c r="S266" s="57" t="s">
        <v>123</v>
      </c>
      <c r="T266" s="55" t="n">
        <v>652.778593913956</v>
      </c>
    </row>
    <row r="267" customFormat="false" ht="15" hidden="false" customHeight="false" outlineLevel="0" collapsed="false">
      <c r="A267" s="21" t="s">
        <v>377</v>
      </c>
      <c r="B267" s="21" t="s">
        <v>410</v>
      </c>
      <c r="C267" s="21" t="s">
        <v>422</v>
      </c>
      <c r="D267" s="37" t="n">
        <f aca="false">ROUND(Q267*R267,0)</f>
        <v>441</v>
      </c>
      <c r="E267" s="37" t="n">
        <f aca="false">ROUND(Q267,0)-D267</f>
        <v>329</v>
      </c>
      <c r="F267" s="37" t="n">
        <f aca="false">IF(COUNTA(D267:E267)=0,"",SUM(D267:E267))</f>
        <v>770</v>
      </c>
      <c r="G267" s="52" t="n">
        <f aca="false">IF(OR(F267="",F267=0),"",D267/F267)</f>
        <v>0.572727272727273</v>
      </c>
      <c r="H267" s="52" t="n">
        <f aca="false">IF(OR(F267="",F267=0),"",E267/F267)</f>
        <v>0.427272727272727</v>
      </c>
      <c r="I267" s="21" t="s">
        <v>122</v>
      </c>
      <c r="J267" s="53" t="n">
        <v>2.87918965002339</v>
      </c>
      <c r="K267" s="52" t="n">
        <f aca="false">IF(G267="","",MAX(0,G267-J267/100))</f>
        <v>0.543935376227039</v>
      </c>
      <c r="L267" s="52" t="n">
        <f aca="false">IF(G267="","",MIN(1,G267+J267/100))</f>
        <v>0.601519169227507</v>
      </c>
      <c r="M267" s="37" t="n">
        <f aca="false">IF(F267="","",ROUND(F267*J267/100,0))</f>
        <v>22</v>
      </c>
      <c r="P267" s="54" t="n">
        <v>6.92021477402215</v>
      </c>
      <c r="Q267" s="55" t="n">
        <f aca="false">T267*$H$5</f>
        <v>770.401725790987</v>
      </c>
      <c r="R267" s="56" t="n">
        <f aca="false">MAX(0,MIN(1,P267/100+$D$5))</f>
        <v>0.571852620877439</v>
      </c>
      <c r="S267" s="57" t="s">
        <v>123</v>
      </c>
      <c r="T267" s="55" t="n">
        <v>770.401725790987</v>
      </c>
    </row>
    <row r="268" customFormat="false" ht="15" hidden="false" customHeight="false" outlineLevel="0" collapsed="false">
      <c r="A268" s="21" t="s">
        <v>377</v>
      </c>
      <c r="B268" s="21" t="s">
        <v>410</v>
      </c>
      <c r="C268" s="21" t="s">
        <v>423</v>
      </c>
      <c r="D268" s="37" t="n">
        <f aca="false">ROUND(Q268*R268,0)</f>
        <v>341</v>
      </c>
      <c r="E268" s="37" t="n">
        <f aca="false">ROUND(Q268,0)-D268</f>
        <v>326</v>
      </c>
      <c r="F268" s="37" t="n">
        <f aca="false">IF(COUNTA(D268:E268)=0,"",SUM(D268:E268))</f>
        <v>667</v>
      </c>
      <c r="G268" s="52" t="n">
        <f aca="false">IF(OR(F268="",F268=0),"",D268/F268)</f>
        <v>0.511244377811094</v>
      </c>
      <c r="H268" s="52" t="n">
        <f aca="false">IF(OR(F268="",F268=0),"",E268/F268)</f>
        <v>0.488755622188906</v>
      </c>
      <c r="I268" s="21" t="s">
        <v>122</v>
      </c>
      <c r="J268" s="53" t="n">
        <v>2.87918965002339</v>
      </c>
      <c r="K268" s="52" t="n">
        <f aca="false">IF(G268="","",MAX(0,G268-J268/100))</f>
        <v>0.482452481310861</v>
      </c>
      <c r="L268" s="52" t="n">
        <f aca="false">IF(G268="","",MIN(1,G268+J268/100))</f>
        <v>0.540036274311328</v>
      </c>
      <c r="M268" s="37" t="n">
        <f aca="false">IF(F268="","",ROUND(F268*J268/100,0))</f>
        <v>19</v>
      </c>
      <c r="P268" s="54" t="n">
        <v>0.803191515357434</v>
      </c>
      <c r="Q268" s="55" t="n">
        <f aca="false">T268*$H$5</f>
        <v>666.944444444445</v>
      </c>
      <c r="R268" s="56" t="n">
        <f aca="false">MAX(0,MIN(1,P268/100+$D$5))</f>
        <v>0.510682388290792</v>
      </c>
      <c r="S268" s="57" t="s">
        <v>123</v>
      </c>
      <c r="T268" s="55" t="n">
        <v>666.944444444445</v>
      </c>
    </row>
    <row r="269" customFormat="false" ht="15" hidden="false" customHeight="false" outlineLevel="0" collapsed="false">
      <c r="A269" s="21" t="s">
        <v>377</v>
      </c>
      <c r="B269" s="21" t="s">
        <v>410</v>
      </c>
      <c r="C269" s="21" t="s">
        <v>424</v>
      </c>
      <c r="D269" s="37" t="n">
        <f aca="false">ROUND(Q269*R269,0)</f>
        <v>750</v>
      </c>
      <c r="E269" s="37" t="n">
        <f aca="false">ROUND(Q269,0)-D269</f>
        <v>576</v>
      </c>
      <c r="F269" s="37" t="n">
        <f aca="false">IF(COUNTA(D269:E269)=0,"",SUM(D269:E269))</f>
        <v>1326</v>
      </c>
      <c r="G269" s="52" t="n">
        <f aca="false">IF(OR(F269="",F269=0),"",D269/F269)</f>
        <v>0.565610859728507</v>
      </c>
      <c r="H269" s="52" t="n">
        <f aca="false">IF(OR(F269="",F269=0),"",E269/F269)</f>
        <v>0.434389140271493</v>
      </c>
      <c r="I269" s="21" t="s">
        <v>122</v>
      </c>
      <c r="J269" s="53" t="n">
        <v>1.86991787188303</v>
      </c>
      <c r="K269" s="52" t="n">
        <f aca="false">IF(G269="","",MAX(0,G269-J269/100))</f>
        <v>0.546911681009677</v>
      </c>
      <c r="L269" s="52" t="n">
        <f aca="false">IF(G269="","",MIN(1,G269+J269/100))</f>
        <v>0.584310038447337</v>
      </c>
      <c r="M269" s="37" t="n">
        <f aca="false">IF(F269="","",ROUND(F269*J269/100,0))</f>
        <v>25</v>
      </c>
      <c r="P269" s="54" t="n">
        <v>6.32031612747521</v>
      </c>
      <c r="Q269" s="55" t="n">
        <f aca="false">T269*$H$5</f>
        <v>1325.7421875</v>
      </c>
      <c r="R269" s="56" t="n">
        <f aca="false">MAX(0,MIN(1,P269/100+$D$5))</f>
        <v>0.56585363441197</v>
      </c>
      <c r="S269" s="57" t="s">
        <v>225</v>
      </c>
      <c r="T269" s="55" t="n">
        <v>1325.7421875</v>
      </c>
    </row>
    <row r="270" customFormat="false" ht="15" hidden="false" customHeight="false" outlineLevel="0" collapsed="false">
      <c r="A270" s="21" t="s">
        <v>377</v>
      </c>
      <c r="B270" s="21" t="s">
        <v>410</v>
      </c>
      <c r="C270" s="21" t="s">
        <v>425</v>
      </c>
      <c r="D270" s="37" t="n">
        <f aca="false">ROUND(Q270*R270,0)</f>
        <v>408</v>
      </c>
      <c r="E270" s="37" t="n">
        <f aca="false">ROUND(Q270,0)-D270</f>
        <v>394</v>
      </c>
      <c r="F270" s="37" t="n">
        <f aca="false">IF(COUNTA(D270:E270)=0,"",SUM(D270:E270))</f>
        <v>802</v>
      </c>
      <c r="G270" s="52" t="n">
        <f aca="false">IF(OR(F270="",F270=0),"",D270/F270)</f>
        <v>0.508728179551122</v>
      </c>
      <c r="H270" s="52" t="n">
        <f aca="false">IF(OR(F270="",F270=0),"",E270/F270)</f>
        <v>0.491271820448878</v>
      </c>
      <c r="I270" s="21" t="s">
        <v>122</v>
      </c>
      <c r="J270" s="53" t="n">
        <v>1.9254971424187</v>
      </c>
      <c r="K270" s="52" t="n">
        <f aca="false">IF(G270="","",MAX(0,G270-J270/100))</f>
        <v>0.489473208126935</v>
      </c>
      <c r="L270" s="52" t="n">
        <f aca="false">IF(G270="","",MIN(1,G270+J270/100))</f>
        <v>0.527983150975309</v>
      </c>
      <c r="M270" s="37" t="n">
        <f aca="false">IF(F270="","",ROUND(F270*J270/100,0))</f>
        <v>15</v>
      </c>
      <c r="P270" s="54" t="n">
        <v>0.604028938648866</v>
      </c>
      <c r="Q270" s="55" t="n">
        <f aca="false">T270*$H$5</f>
        <v>802.258193445243</v>
      </c>
      <c r="R270" s="56" t="n">
        <f aca="false">MAX(0,MIN(1,P270/100+$D$5))</f>
        <v>0.508690762523706</v>
      </c>
      <c r="S270" s="57" t="s">
        <v>132</v>
      </c>
      <c r="T270" s="55" t="n">
        <v>802.258193445243</v>
      </c>
    </row>
    <row r="271" customFormat="false" ht="15" hidden="false" customHeight="false" outlineLevel="0" collapsed="false">
      <c r="A271" s="21" t="s">
        <v>377</v>
      </c>
      <c r="B271" s="21" t="s">
        <v>410</v>
      </c>
      <c r="C271" s="21" t="s">
        <v>426</v>
      </c>
      <c r="D271" s="37" t="n">
        <f aca="false">ROUND(Q271*R271,0)</f>
        <v>411</v>
      </c>
      <c r="E271" s="37" t="n">
        <f aca="false">ROUND(Q271,0)-D271</f>
        <v>372</v>
      </c>
      <c r="F271" s="37" t="n">
        <f aca="false">IF(COUNTA(D271:E271)=0,"",SUM(D271:E271))</f>
        <v>783</v>
      </c>
      <c r="G271" s="52" t="n">
        <f aca="false">IF(OR(F271="",F271=0),"",D271/F271)</f>
        <v>0.524904214559387</v>
      </c>
      <c r="H271" s="52" t="n">
        <f aca="false">IF(OR(F271="",F271=0),"",E271/F271)</f>
        <v>0.475095785440613</v>
      </c>
      <c r="I271" s="21" t="s">
        <v>122</v>
      </c>
      <c r="J271" s="53" t="n">
        <v>1.9254971424187</v>
      </c>
      <c r="K271" s="52" t="n">
        <f aca="false">IF(G271="","",MAX(0,G271-J271/100))</f>
        <v>0.5056492431352</v>
      </c>
      <c r="L271" s="52" t="n">
        <f aca="false">IF(G271="","",MIN(1,G271+J271/100))</f>
        <v>0.544159185983574</v>
      </c>
      <c r="M271" s="37" t="n">
        <f aca="false">IF(F271="","",ROUND(F271*J271/100,0))</f>
        <v>15</v>
      </c>
      <c r="P271" s="54" t="n">
        <v>2.22967998173834</v>
      </c>
      <c r="Q271" s="55" t="n">
        <f aca="false">T271*$H$5</f>
        <v>782.654941373534</v>
      </c>
      <c r="R271" s="56" t="n">
        <f aca="false">MAX(0,MIN(1,P271/100+$D$5))</f>
        <v>0.524947272954601</v>
      </c>
      <c r="S271" s="57" t="s">
        <v>132</v>
      </c>
      <c r="T271" s="55" t="n">
        <v>782.654941373534</v>
      </c>
    </row>
    <row r="272" customFormat="false" ht="15" hidden="false" customHeight="false" outlineLevel="0" collapsed="false">
      <c r="A272" s="21" t="s">
        <v>377</v>
      </c>
      <c r="B272" s="21" t="s">
        <v>410</v>
      </c>
      <c r="C272" s="21" t="s">
        <v>427</v>
      </c>
      <c r="D272" s="37" t="n">
        <f aca="false">ROUND(Q272*R272,0)</f>
        <v>398</v>
      </c>
      <c r="E272" s="37" t="n">
        <f aca="false">ROUND(Q272,0)-D272</f>
        <v>359</v>
      </c>
      <c r="F272" s="37" t="n">
        <f aca="false">IF(COUNTA(D272:E272)=0,"",SUM(D272:E272))</f>
        <v>757</v>
      </c>
      <c r="G272" s="52" t="n">
        <f aca="false">IF(OR(F272="",F272=0),"",D272/F272)</f>
        <v>0.525759577278732</v>
      </c>
      <c r="H272" s="52" t="n">
        <f aca="false">IF(OR(F272="",F272=0),"",E272/F272)</f>
        <v>0.474240422721268</v>
      </c>
      <c r="I272" s="21" t="s">
        <v>122</v>
      </c>
      <c r="J272" s="53" t="n">
        <v>2.87918965002339</v>
      </c>
      <c r="K272" s="52" t="n">
        <f aca="false">IF(G272="","",MAX(0,G272-J272/100))</f>
        <v>0.496967680778498</v>
      </c>
      <c r="L272" s="52" t="n">
        <f aca="false">IF(G272="","",MIN(1,G272+J272/100))</f>
        <v>0.554551473778966</v>
      </c>
      <c r="M272" s="37" t="n">
        <f aca="false">IF(F272="","",ROUND(F272*J272/100,0))</f>
        <v>22</v>
      </c>
      <c r="P272" s="54" t="n">
        <v>2.31443886660664</v>
      </c>
      <c r="Q272" s="55" t="n">
        <f aca="false">T272*$H$5</f>
        <v>757.186813186813</v>
      </c>
      <c r="R272" s="56" t="n">
        <f aca="false">MAX(0,MIN(1,P272/100+$D$5))</f>
        <v>0.525794861803284</v>
      </c>
      <c r="S272" s="57" t="s">
        <v>123</v>
      </c>
      <c r="T272" s="55" t="n">
        <v>757.186813186813</v>
      </c>
    </row>
    <row r="273" customFormat="false" ht="15" hidden="false" customHeight="false" outlineLevel="0" collapsed="false">
      <c r="A273" s="21" t="s">
        <v>377</v>
      </c>
      <c r="B273" s="21" t="s">
        <v>428</v>
      </c>
      <c r="C273" s="21" t="s">
        <v>429</v>
      </c>
      <c r="D273" s="37" t="n">
        <f aca="false">ROUND(Q273*R273,0)</f>
        <v>709</v>
      </c>
      <c r="E273" s="37" t="n">
        <f aca="false">ROUND(Q273,0)-D273</f>
        <v>1149</v>
      </c>
      <c r="F273" s="37" t="n">
        <f aca="false">IF(COUNTA(D273:E273)=0,"",SUM(D273:E273))</f>
        <v>1858</v>
      </c>
      <c r="G273" s="52" t="n">
        <f aca="false">IF(OR(F273="",F273=0),"",D273/F273)</f>
        <v>0.381593110871905</v>
      </c>
      <c r="H273" s="52" t="n">
        <f aca="false">IF(OR(F273="",F273=0),"",E273/F273)</f>
        <v>0.618406889128095</v>
      </c>
      <c r="I273" s="21" t="s">
        <v>122</v>
      </c>
      <c r="J273" s="53" t="n">
        <v>1.86991787188303</v>
      </c>
      <c r="K273" s="52" t="n">
        <f aca="false">IF(G273="","",MAX(0,G273-J273/100))</f>
        <v>0.362893932153075</v>
      </c>
      <c r="L273" s="52" t="n">
        <f aca="false">IF(G273="","",MIN(1,G273+J273/100))</f>
        <v>0.400292289590736</v>
      </c>
      <c r="M273" s="37" t="n">
        <f aca="false">IF(F273="","",ROUND(F273*J273/100,0))</f>
        <v>35</v>
      </c>
      <c r="P273" s="54" t="n">
        <v>-12.0819760913821</v>
      </c>
      <c r="Q273" s="55" t="n">
        <f aca="false">T273*$H$5</f>
        <v>1857.89473684211</v>
      </c>
      <c r="R273" s="56" t="n">
        <f aca="false">MAX(0,MIN(1,P273/100+$D$5))</f>
        <v>0.381830712223397</v>
      </c>
      <c r="S273" s="57" t="s">
        <v>225</v>
      </c>
      <c r="T273" s="55" t="n">
        <v>1857.89473684211</v>
      </c>
    </row>
    <row r="274" customFormat="false" ht="15" hidden="false" customHeight="false" outlineLevel="0" collapsed="false">
      <c r="A274" s="21" t="s">
        <v>377</v>
      </c>
      <c r="B274" s="21" t="s">
        <v>428</v>
      </c>
      <c r="C274" s="21" t="s">
        <v>430</v>
      </c>
      <c r="D274" s="37" t="n">
        <f aca="false">ROUND(Q274*R274,0)</f>
        <v>644</v>
      </c>
      <c r="E274" s="37" t="n">
        <f aca="false">ROUND(Q274,0)-D274</f>
        <v>956</v>
      </c>
      <c r="F274" s="37" t="n">
        <f aca="false">IF(COUNTA(D274:E274)=0,"",SUM(D274:E274))</f>
        <v>1600</v>
      </c>
      <c r="G274" s="52" t="n">
        <f aca="false">IF(OR(F274="",F274=0),"",D274/F274)</f>
        <v>0.4025</v>
      </c>
      <c r="H274" s="52" t="n">
        <f aca="false">IF(OR(F274="",F274=0),"",E274/F274)</f>
        <v>0.5975</v>
      </c>
      <c r="I274" s="21" t="s">
        <v>122</v>
      </c>
      <c r="J274" s="53" t="n">
        <v>1.86991787188303</v>
      </c>
      <c r="K274" s="52" t="n">
        <f aca="false">IF(G274="","",MAX(0,G274-J274/100))</f>
        <v>0.38380082128117</v>
      </c>
      <c r="L274" s="52" t="n">
        <f aca="false">IF(G274="","",MIN(1,G274+J274/100))</f>
        <v>0.42119917871883</v>
      </c>
      <c r="M274" s="37" t="n">
        <f aca="false">IF(F274="","",ROUND(F274*J274/100,0))</f>
        <v>30</v>
      </c>
      <c r="P274" s="54" t="n">
        <v>-10.0264198942896</v>
      </c>
      <c r="Q274" s="55" t="n">
        <f aca="false">T274*$H$5</f>
        <v>1600.33208176888</v>
      </c>
      <c r="R274" s="56" t="n">
        <f aca="false">MAX(0,MIN(1,P274/100+$D$5))</f>
        <v>0.402386274194322</v>
      </c>
      <c r="S274" s="57" t="s">
        <v>225</v>
      </c>
      <c r="T274" s="55" t="n">
        <v>1600.33208176888</v>
      </c>
    </row>
    <row r="275" customFormat="false" ht="15" hidden="false" customHeight="false" outlineLevel="0" collapsed="false">
      <c r="A275" s="21" t="s">
        <v>377</v>
      </c>
      <c r="B275" s="21" t="s">
        <v>428</v>
      </c>
      <c r="C275" s="21" t="s">
        <v>431</v>
      </c>
      <c r="D275" s="37" t="n">
        <f aca="false">ROUND(Q275*R275,0)</f>
        <v>341</v>
      </c>
      <c r="E275" s="37" t="n">
        <f aca="false">ROUND(Q275,0)-D275</f>
        <v>622</v>
      </c>
      <c r="F275" s="37" t="n">
        <f aca="false">IF(COUNTA(D275:E275)=0,"",SUM(D275:E275))</f>
        <v>963</v>
      </c>
      <c r="G275" s="52" t="n">
        <f aca="false">IF(OR(F275="",F275=0),"",D275/F275)</f>
        <v>0.354101765316719</v>
      </c>
      <c r="H275" s="52" t="n">
        <f aca="false">IF(OR(F275="",F275=0),"",E275/F275)</f>
        <v>0.645898234683281</v>
      </c>
      <c r="I275" s="21" t="s">
        <v>122</v>
      </c>
      <c r="J275" s="53" t="n">
        <v>1.9254971424187</v>
      </c>
      <c r="K275" s="52" t="n">
        <f aca="false">IF(G275="","",MAX(0,G275-J275/100))</f>
        <v>0.334846793892532</v>
      </c>
      <c r="L275" s="52" t="n">
        <f aca="false">IF(G275="","",MIN(1,G275+J275/100))</f>
        <v>0.373356736740906</v>
      </c>
      <c r="M275" s="37" t="n">
        <f aca="false">IF(F275="","",ROUND(F275*J275/100,0))</f>
        <v>19</v>
      </c>
      <c r="P275" s="54" t="n">
        <v>-14.8524116713209</v>
      </c>
      <c r="Q275" s="55" t="n">
        <f aca="false">T275*$H$5</f>
        <v>963.38125</v>
      </c>
      <c r="R275" s="56" t="n">
        <f aca="false">MAX(0,MIN(1,P275/100+$D$5))</f>
        <v>0.354126356424009</v>
      </c>
      <c r="S275" s="57" t="s">
        <v>132</v>
      </c>
      <c r="T275" s="55" t="n">
        <v>963.38125</v>
      </c>
    </row>
    <row r="276" customFormat="false" ht="15" hidden="false" customHeight="false" outlineLevel="0" collapsed="false">
      <c r="A276" s="21" t="s">
        <v>377</v>
      </c>
      <c r="B276" s="21" t="s">
        <v>432</v>
      </c>
      <c r="C276" s="21" t="s">
        <v>432</v>
      </c>
      <c r="D276" s="37" t="n">
        <f aca="false">ROUND(Q276*R276,0)</f>
        <v>35</v>
      </c>
      <c r="E276" s="37" t="n">
        <f aca="false">ROUND(Q276,0)-D276</f>
        <v>62</v>
      </c>
      <c r="F276" s="37" t="n">
        <f aca="false">IF(COUNTA(D276:E276)=0,"",SUM(D276:E276))</f>
        <v>97</v>
      </c>
      <c r="G276" s="52" t="n">
        <f aca="false">IF(OR(F276="",F276=0),"",D276/F276)</f>
        <v>0.360824742268041</v>
      </c>
      <c r="H276" s="52" t="n">
        <f aca="false">IF(OR(F276="",F276=0),"",E276/F276)</f>
        <v>0.639175257731959</v>
      </c>
      <c r="I276" s="21" t="s">
        <v>122</v>
      </c>
      <c r="J276" s="53" t="n">
        <v>2.87918965002339</v>
      </c>
      <c r="K276" s="52" t="n">
        <f aca="false">IF(G276="","",MAX(0,G276-J276/100))</f>
        <v>0.332032845767807</v>
      </c>
      <c r="L276" s="52" t="n">
        <f aca="false">IF(G276="","",MIN(1,G276+J276/100))</f>
        <v>0.389616638768275</v>
      </c>
      <c r="M276" s="37" t="n">
        <f aca="false">IF(F276="","",ROUND(F276*J276/100,0))</f>
        <v>3</v>
      </c>
      <c r="P276" s="54" t="n">
        <v>-14.4569686399679</v>
      </c>
      <c r="Q276" s="55" t="n">
        <f aca="false">T276*$H$5</f>
        <v>97.2992700729927</v>
      </c>
      <c r="R276" s="56" t="n">
        <f aca="false">MAX(0,MIN(1,P276/100+$D$5))</f>
        <v>0.358080786737539</v>
      </c>
      <c r="S276" s="57" t="s">
        <v>123</v>
      </c>
      <c r="T276" s="55" t="n">
        <v>97.2992700729927</v>
      </c>
    </row>
    <row r="277" customFormat="false" ht="15" hidden="false" customHeight="false" outlineLevel="0" collapsed="false">
      <c r="A277" s="21" t="s">
        <v>377</v>
      </c>
      <c r="B277" s="21" t="s">
        <v>433</v>
      </c>
      <c r="C277" s="21" t="s">
        <v>434</v>
      </c>
      <c r="D277" s="37" t="n">
        <f aca="false">ROUND(Q277*R277,0)</f>
        <v>594</v>
      </c>
      <c r="E277" s="37" t="n">
        <f aca="false">ROUND(Q277,0)-D277</f>
        <v>823</v>
      </c>
      <c r="F277" s="37" t="n">
        <f aca="false">IF(COUNTA(D277:E277)=0,"",SUM(D277:E277))</f>
        <v>1417</v>
      </c>
      <c r="G277" s="52" t="n">
        <f aca="false">IF(OR(F277="",F277=0),"",D277/F277)</f>
        <v>0.419195483415667</v>
      </c>
      <c r="H277" s="52" t="n">
        <f aca="false">IF(OR(F277="",F277=0),"",E277/F277)</f>
        <v>0.580804516584333</v>
      </c>
      <c r="I277" s="21" t="s">
        <v>122</v>
      </c>
      <c r="J277" s="53" t="n">
        <v>1.86991787188303</v>
      </c>
      <c r="K277" s="52" t="n">
        <f aca="false">IF(G277="","",MAX(0,G277-J277/100))</f>
        <v>0.400496304696837</v>
      </c>
      <c r="L277" s="52" t="n">
        <f aca="false">IF(G277="","",MIN(1,G277+J277/100))</f>
        <v>0.437894662134497</v>
      </c>
      <c r="M277" s="37" t="n">
        <f aca="false">IF(F277="","",ROUND(F277*J277/100,0))</f>
        <v>26</v>
      </c>
      <c r="P277" s="54" t="n">
        <v>-8.32256449489621</v>
      </c>
      <c r="Q277" s="55" t="n">
        <f aca="false">T277*$H$5</f>
        <v>1417.27954319762</v>
      </c>
      <c r="R277" s="56" t="n">
        <f aca="false">MAX(0,MIN(1,P277/100+$D$5))</f>
        <v>0.419424828188256</v>
      </c>
      <c r="S277" s="57" t="s">
        <v>225</v>
      </c>
      <c r="T277" s="55" t="n">
        <v>1417.27954319762</v>
      </c>
    </row>
    <row r="278" customFormat="false" ht="15" hidden="false" customHeight="false" outlineLevel="0" collapsed="false">
      <c r="A278" s="21" t="s">
        <v>377</v>
      </c>
      <c r="B278" s="21" t="s">
        <v>433</v>
      </c>
      <c r="C278" s="21" t="s">
        <v>435</v>
      </c>
      <c r="D278" s="37" t="n">
        <f aca="false">ROUND(Q278*R278,0)</f>
        <v>558</v>
      </c>
      <c r="E278" s="37" t="n">
        <f aca="false">ROUND(Q278,0)-D278</f>
        <v>667</v>
      </c>
      <c r="F278" s="37" t="n">
        <f aca="false">IF(COUNTA(D278:E278)=0,"",SUM(D278:E278))</f>
        <v>1225</v>
      </c>
      <c r="G278" s="52" t="n">
        <f aca="false">IF(OR(F278="",F278=0),"",D278/F278)</f>
        <v>0.455510204081633</v>
      </c>
      <c r="H278" s="52" t="n">
        <f aca="false">IF(OR(F278="",F278=0),"",E278/F278)</f>
        <v>0.544489795918367</v>
      </c>
      <c r="I278" s="21" t="s">
        <v>122</v>
      </c>
      <c r="J278" s="53" t="n">
        <v>1.86991787188303</v>
      </c>
      <c r="K278" s="52" t="n">
        <f aca="false">IF(G278="","",MAX(0,G278-J278/100))</f>
        <v>0.436811025362802</v>
      </c>
      <c r="L278" s="52" t="n">
        <f aca="false">IF(G278="","",MIN(1,G278+J278/100))</f>
        <v>0.474209382800463</v>
      </c>
      <c r="M278" s="37" t="n">
        <f aca="false">IF(F278="","",ROUND(F278*J278/100,0))</f>
        <v>23</v>
      </c>
      <c r="P278" s="54" t="n">
        <v>-4.66424061718463</v>
      </c>
      <c r="Q278" s="55" t="n">
        <f aca="false">T278*$H$5</f>
        <v>1224.74062660503</v>
      </c>
      <c r="R278" s="56" t="n">
        <f aca="false">MAX(0,MIN(1,P278/100+$D$5))</f>
        <v>0.456008066965371</v>
      </c>
      <c r="S278" s="57" t="s">
        <v>225</v>
      </c>
      <c r="T278" s="55" t="n">
        <v>1224.74062660503</v>
      </c>
    </row>
    <row r="279" customFormat="false" ht="15" hidden="false" customHeight="false" outlineLevel="0" collapsed="false">
      <c r="A279" s="21" t="s">
        <v>377</v>
      </c>
      <c r="B279" s="21" t="s">
        <v>436</v>
      </c>
      <c r="C279" s="21" t="s">
        <v>436</v>
      </c>
      <c r="D279" s="37" t="n">
        <f aca="false">ROUND(Q279*R279,0)</f>
        <v>147</v>
      </c>
      <c r="E279" s="37" t="n">
        <f aca="false">ROUND(Q279,0)-D279</f>
        <v>213</v>
      </c>
      <c r="F279" s="37" t="n">
        <f aca="false">IF(COUNTA(D279:E279)=0,"",SUM(D279:E279))</f>
        <v>360</v>
      </c>
      <c r="G279" s="52" t="n">
        <f aca="false">IF(OR(F279="",F279=0),"",D279/F279)</f>
        <v>0.408333333333333</v>
      </c>
      <c r="H279" s="52" t="n">
        <f aca="false">IF(OR(F279="",F279=0),"",E279/F279)</f>
        <v>0.591666666666667</v>
      </c>
      <c r="I279" s="21" t="s">
        <v>122</v>
      </c>
      <c r="J279" s="53" t="n">
        <v>2.87918965002339</v>
      </c>
      <c r="K279" s="52" t="n">
        <f aca="false">IF(G279="","",MAX(0,G279-J279/100))</f>
        <v>0.3795414368331</v>
      </c>
      <c r="L279" s="52" t="n">
        <f aca="false">IF(G279="","",MIN(1,G279+J279/100))</f>
        <v>0.437125229833567</v>
      </c>
      <c r="M279" s="37" t="n">
        <f aca="false">IF(F279="","",ROUND(F279*J279/100,0))</f>
        <v>10</v>
      </c>
      <c r="P279" s="54" t="n">
        <v>-9.4365500736625</v>
      </c>
      <c r="Q279" s="55" t="n">
        <f aca="false">T279*$H$5</f>
        <v>360.236842105263</v>
      </c>
      <c r="R279" s="56" t="n">
        <f aca="false">MAX(0,MIN(1,P279/100+$D$5))</f>
        <v>0.408284972400593</v>
      </c>
      <c r="S279" s="57" t="s">
        <v>123</v>
      </c>
      <c r="T279" s="55" t="n">
        <v>360.236842105263</v>
      </c>
    </row>
    <row r="280" customFormat="false" ht="15" hidden="false" customHeight="false" outlineLevel="0" collapsed="false">
      <c r="A280" s="21" t="s">
        <v>377</v>
      </c>
      <c r="B280" s="21" t="s">
        <v>437</v>
      </c>
      <c r="C280" s="21" t="s">
        <v>438</v>
      </c>
      <c r="D280" s="37" t="n">
        <f aca="false">ROUND(Q280*R280,0)</f>
        <v>1183</v>
      </c>
      <c r="E280" s="37" t="n">
        <f aca="false">ROUND(Q280,0)-D280</f>
        <v>682</v>
      </c>
      <c r="F280" s="37" t="n">
        <f aca="false">IF(COUNTA(D280:E280)=0,"",SUM(D280:E280))</f>
        <v>1865</v>
      </c>
      <c r="G280" s="52" t="n">
        <f aca="false">IF(OR(F280="",F280=0),"",D280/F280)</f>
        <v>0.6343163538874</v>
      </c>
      <c r="H280" s="52" t="n">
        <f aca="false">IF(OR(F280="",F280=0),"",E280/F280)</f>
        <v>0.365683646112601</v>
      </c>
      <c r="I280" s="21" t="s">
        <v>223</v>
      </c>
      <c r="J280" s="53" t="n">
        <v>1.86991787188303</v>
      </c>
      <c r="K280" s="52" t="n">
        <f aca="false">IF(G280="","",MAX(0,G280-J280/100))</f>
        <v>0.615617175168569</v>
      </c>
      <c r="L280" s="52" t="n">
        <f aca="false">IF(G280="","",MIN(1,G280+J280/100))</f>
        <v>0.65301553260623</v>
      </c>
      <c r="M280" s="37" t="n">
        <f aca="false">IF(F280="","",ROUND(F280*J280/100,0))</f>
        <v>35</v>
      </c>
      <c r="P280" s="54" t="n">
        <v>13.1649628234547</v>
      </c>
      <c r="Q280" s="55" t="n">
        <f aca="false">T280*$H$5</f>
        <v>1864.58361114764</v>
      </c>
      <c r="R280" s="56" t="n">
        <f aca="false">MAX(0,MIN(1,P280/100+$D$5))</f>
        <v>0.634300101371765</v>
      </c>
      <c r="S280" s="57" t="s">
        <v>225</v>
      </c>
      <c r="T280" s="55" t="n">
        <v>1864.58361114764</v>
      </c>
    </row>
    <row r="281" customFormat="false" ht="15" hidden="false" customHeight="false" outlineLevel="0" collapsed="false">
      <c r="A281" s="21" t="s">
        <v>377</v>
      </c>
      <c r="B281" s="21" t="s">
        <v>437</v>
      </c>
      <c r="C281" s="21" t="s">
        <v>439</v>
      </c>
      <c r="D281" s="37" t="n">
        <f aca="false">ROUND(Q281*R281,0)</f>
        <v>515</v>
      </c>
      <c r="E281" s="37" t="n">
        <f aca="false">ROUND(Q281,0)-D281</f>
        <v>265</v>
      </c>
      <c r="F281" s="37" t="n">
        <f aca="false">IF(COUNTA(D281:E281)=0,"",SUM(D281:E281))</f>
        <v>780</v>
      </c>
      <c r="G281" s="52" t="n">
        <f aca="false">IF(OR(F281="",F281=0),"",D281/F281)</f>
        <v>0.66025641025641</v>
      </c>
      <c r="H281" s="52" t="n">
        <f aca="false">IF(OR(F281="",F281=0),"",E281/F281)</f>
        <v>0.33974358974359</v>
      </c>
      <c r="I281" s="21" t="s">
        <v>122</v>
      </c>
      <c r="J281" s="53" t="n">
        <v>1.9254971424187</v>
      </c>
      <c r="K281" s="52" t="n">
        <f aca="false">IF(G281="","",MAX(0,G281-J281/100))</f>
        <v>0.641001438832223</v>
      </c>
      <c r="L281" s="52" t="n">
        <f aca="false">IF(G281="","",MIN(1,G281+J281/100))</f>
        <v>0.679511381680597</v>
      </c>
      <c r="M281" s="37" t="n">
        <f aca="false">IF(F281="","",ROUND(F281*J281/100,0))</f>
        <v>15</v>
      </c>
      <c r="P281" s="54" t="n">
        <v>15.830555658681</v>
      </c>
      <c r="Q281" s="55" t="n">
        <f aca="false">T281*$H$5</f>
        <v>779.911439114391</v>
      </c>
      <c r="R281" s="56" t="n">
        <f aca="false">MAX(0,MIN(1,P281/100+$D$5))</f>
        <v>0.660956029724028</v>
      </c>
      <c r="S281" s="57" t="s">
        <v>132</v>
      </c>
      <c r="T281" s="55" t="n">
        <v>779.911439114391</v>
      </c>
    </row>
    <row r="282" customFormat="false" ht="15" hidden="false" customHeight="false" outlineLevel="0" collapsed="false">
      <c r="A282" s="21" t="s">
        <v>377</v>
      </c>
      <c r="B282" s="21" t="s">
        <v>437</v>
      </c>
      <c r="C282" s="21" t="s">
        <v>440</v>
      </c>
      <c r="D282" s="37" t="n">
        <f aca="false">ROUND(Q282*R282,0)</f>
        <v>419</v>
      </c>
      <c r="E282" s="37" t="n">
        <f aca="false">ROUND(Q282,0)-D282</f>
        <v>184</v>
      </c>
      <c r="F282" s="37" t="n">
        <f aca="false">IF(COUNTA(D282:E282)=0,"",SUM(D282:E282))</f>
        <v>603</v>
      </c>
      <c r="G282" s="52" t="n">
        <f aca="false">IF(OR(F282="",F282=0),"",D282/F282)</f>
        <v>0.69485903814262</v>
      </c>
      <c r="H282" s="52" t="n">
        <f aca="false">IF(OR(F282="",F282=0),"",E282/F282)</f>
        <v>0.30514096185738</v>
      </c>
      <c r="I282" s="21" t="s">
        <v>122</v>
      </c>
      <c r="J282" s="53" t="n">
        <v>2.87918965002339</v>
      </c>
      <c r="K282" s="52" t="n">
        <f aca="false">IF(G282="","",MAX(0,G282-J282/100))</f>
        <v>0.666067141642386</v>
      </c>
      <c r="L282" s="52" t="n">
        <f aca="false">IF(G282="","",MIN(1,G282+J282/100))</f>
        <v>0.723650934642854</v>
      </c>
      <c r="M282" s="37" t="n">
        <f aca="false">IF(F282="","",ROUND(F282*J282/100,0))</f>
        <v>17</v>
      </c>
      <c r="P282" s="54" t="n">
        <v>19.2344967561707</v>
      </c>
      <c r="Q282" s="55" t="n">
        <f aca="false">T282*$H$5</f>
        <v>602.870201096892</v>
      </c>
      <c r="R282" s="56" t="n">
        <f aca="false">MAX(0,MIN(1,P282/100+$D$5))</f>
        <v>0.694995440698924</v>
      </c>
      <c r="S282" s="57" t="s">
        <v>123</v>
      </c>
      <c r="T282" s="55" t="n">
        <v>602.870201096892</v>
      </c>
    </row>
    <row r="283" customFormat="false" ht="15" hidden="false" customHeight="false" outlineLevel="0" collapsed="false">
      <c r="A283" s="21" t="s">
        <v>377</v>
      </c>
      <c r="B283" s="21" t="s">
        <v>437</v>
      </c>
      <c r="C283" s="21" t="s">
        <v>441</v>
      </c>
      <c r="D283" s="37" t="n">
        <f aca="false">ROUND(Q283*R283,0)</f>
        <v>591</v>
      </c>
      <c r="E283" s="37" t="n">
        <f aca="false">ROUND(Q283,0)-D283</f>
        <v>230</v>
      </c>
      <c r="F283" s="37" t="n">
        <f aca="false">IF(COUNTA(D283:E283)=0,"",SUM(D283:E283))</f>
        <v>821</v>
      </c>
      <c r="G283" s="52" t="n">
        <f aca="false">IF(OR(F283="",F283=0),"",D283/F283)</f>
        <v>0.719853836784409</v>
      </c>
      <c r="H283" s="52" t="n">
        <f aca="false">IF(OR(F283="",F283=0),"",E283/F283)</f>
        <v>0.280146163215591</v>
      </c>
      <c r="I283" s="21" t="s">
        <v>122</v>
      </c>
      <c r="J283" s="53" t="n">
        <v>1.9254971424187</v>
      </c>
      <c r="K283" s="52" t="n">
        <f aca="false">IF(G283="","",MAX(0,G283-J283/100))</f>
        <v>0.700598865360222</v>
      </c>
      <c r="L283" s="52" t="n">
        <f aca="false">IF(G283="","",MIN(1,G283+J283/100))</f>
        <v>0.739108808208596</v>
      </c>
      <c r="M283" s="37" t="n">
        <f aca="false">IF(F283="","",ROUND(F283*J283/100,0))</f>
        <v>16</v>
      </c>
      <c r="P283" s="54" t="n">
        <v>21.757708067566</v>
      </c>
      <c r="Q283" s="55" t="n">
        <f aca="false">T283*$H$5</f>
        <v>820.6703125</v>
      </c>
      <c r="R283" s="56" t="n">
        <f aca="false">MAX(0,MIN(1,P283/100+$D$5))</f>
        <v>0.720227553812878</v>
      </c>
      <c r="S283" s="57" t="s">
        <v>132</v>
      </c>
      <c r="T283" s="55" t="n">
        <v>820.6703125</v>
      </c>
    </row>
    <row r="284" customFormat="false" ht="15" hidden="false" customHeight="false" outlineLevel="0" collapsed="false">
      <c r="A284" s="21" t="s">
        <v>377</v>
      </c>
      <c r="B284" s="21" t="s">
        <v>437</v>
      </c>
      <c r="C284" s="21" t="s">
        <v>442</v>
      </c>
      <c r="D284" s="37" t="n">
        <f aca="false">ROUND(Q284*R284,0)</f>
        <v>448</v>
      </c>
      <c r="E284" s="37" t="n">
        <f aca="false">ROUND(Q284,0)-D284</f>
        <v>143</v>
      </c>
      <c r="F284" s="37" t="n">
        <f aca="false">IF(COUNTA(D284:E284)=0,"",SUM(D284:E284))</f>
        <v>591</v>
      </c>
      <c r="G284" s="52" t="n">
        <f aca="false">IF(OR(F284="",F284=0),"",D284/F284)</f>
        <v>0.758037225042301</v>
      </c>
      <c r="H284" s="52" t="n">
        <f aca="false">IF(OR(F284="",F284=0),"",E284/F284)</f>
        <v>0.241962774957699</v>
      </c>
      <c r="I284" s="21" t="s">
        <v>122</v>
      </c>
      <c r="J284" s="53" t="n">
        <v>2.87918965002339</v>
      </c>
      <c r="K284" s="52" t="n">
        <f aca="false">IF(G284="","",MAX(0,G284-J284/100))</f>
        <v>0.729245328542067</v>
      </c>
      <c r="L284" s="52" t="n">
        <f aca="false">IF(G284="","",MIN(1,G284+J284/100))</f>
        <v>0.786829121542535</v>
      </c>
      <c r="M284" s="37" t="n">
        <f aca="false">IF(F284="","",ROUND(F284*J284/100,0))</f>
        <v>17</v>
      </c>
      <c r="P284" s="54" t="n">
        <v>25.5519221015498</v>
      </c>
      <c r="Q284" s="55" t="n">
        <f aca="false">T284*$H$5</f>
        <v>590.669623059868</v>
      </c>
      <c r="R284" s="56" t="n">
        <f aca="false">MAX(0,MIN(1,P284/100+$D$5))</f>
        <v>0.758169694152716</v>
      </c>
      <c r="S284" s="57" t="s">
        <v>123</v>
      </c>
      <c r="T284" s="55" t="n">
        <v>590.669623059868</v>
      </c>
    </row>
    <row r="285" customFormat="false" ht="15" hidden="false" customHeight="false" outlineLevel="0" collapsed="false">
      <c r="A285" s="21" t="s">
        <v>377</v>
      </c>
      <c r="B285" s="21" t="s">
        <v>437</v>
      </c>
      <c r="C285" s="21" t="s">
        <v>443</v>
      </c>
      <c r="D285" s="37" t="n">
        <f aca="false">ROUND(Q285*R285,0)</f>
        <v>468</v>
      </c>
      <c r="E285" s="37" t="n">
        <f aca="false">ROUND(Q285,0)-D285</f>
        <v>223</v>
      </c>
      <c r="F285" s="37" t="n">
        <f aca="false">IF(COUNTA(D285:E285)=0,"",SUM(D285:E285))</f>
        <v>691</v>
      </c>
      <c r="G285" s="52" t="n">
        <f aca="false">IF(OR(F285="",F285=0),"",D285/F285)</f>
        <v>0.677279305354559</v>
      </c>
      <c r="H285" s="52" t="n">
        <f aca="false">IF(OR(F285="",F285=0),"",E285/F285)</f>
        <v>0.322720694645441</v>
      </c>
      <c r="I285" s="21" t="s">
        <v>122</v>
      </c>
      <c r="J285" s="53" t="n">
        <v>2.87918965002339</v>
      </c>
      <c r="K285" s="52" t="n">
        <f aca="false">IF(G285="","",MAX(0,G285-J285/100))</f>
        <v>0.648487408854325</v>
      </c>
      <c r="L285" s="52" t="n">
        <f aca="false">IF(G285="","",MIN(1,G285+J285/100))</f>
        <v>0.706071201854792</v>
      </c>
      <c r="M285" s="37" t="n">
        <f aca="false">IF(F285="","",ROUND(F285*J285/100,0))</f>
        <v>20</v>
      </c>
      <c r="P285" s="54" t="n">
        <v>17.387166102868</v>
      </c>
      <c r="Q285" s="55" t="n">
        <f aca="false">T285*$H$5</f>
        <v>691.24526600541</v>
      </c>
      <c r="R285" s="56" t="n">
        <f aca="false">MAX(0,MIN(1,P285/100+$D$5))</f>
        <v>0.676522134165898</v>
      </c>
      <c r="S285" s="57" t="s">
        <v>123</v>
      </c>
      <c r="T285" s="55" t="n">
        <v>691.24526600541</v>
      </c>
    </row>
    <row r="286" customFormat="false" ht="15" hidden="false" customHeight="false" outlineLevel="0" collapsed="false">
      <c r="A286" s="21" t="s">
        <v>377</v>
      </c>
      <c r="B286" s="21" t="s">
        <v>437</v>
      </c>
      <c r="C286" s="21" t="s">
        <v>444</v>
      </c>
      <c r="D286" s="37" t="n">
        <f aca="false">ROUND(Q286*R286,0)</f>
        <v>341</v>
      </c>
      <c r="E286" s="37" t="n">
        <f aca="false">ROUND(Q286,0)-D286</f>
        <v>169</v>
      </c>
      <c r="F286" s="37" t="n">
        <f aca="false">IF(COUNTA(D286:E286)=0,"",SUM(D286:E286))</f>
        <v>510</v>
      </c>
      <c r="G286" s="52" t="n">
        <f aca="false">IF(OR(F286="",F286=0),"",D286/F286)</f>
        <v>0.668627450980392</v>
      </c>
      <c r="H286" s="52" t="n">
        <f aca="false">IF(OR(F286="",F286=0),"",E286/F286)</f>
        <v>0.331372549019608</v>
      </c>
      <c r="I286" s="21" t="s">
        <v>122</v>
      </c>
      <c r="J286" s="53" t="n">
        <v>2.87918965002339</v>
      </c>
      <c r="K286" s="52" t="n">
        <f aca="false">IF(G286="","",MAX(0,G286-J286/100))</f>
        <v>0.639835554480158</v>
      </c>
      <c r="L286" s="52" t="n">
        <f aca="false">IF(G286="","",MIN(1,G286+J286/100))</f>
        <v>0.697419347480626</v>
      </c>
      <c r="M286" s="37" t="n">
        <f aca="false">IF(F286="","",ROUND(F286*J286/100,0))</f>
        <v>15</v>
      </c>
      <c r="P286" s="54" t="n">
        <v>16.5585769458355</v>
      </c>
      <c r="Q286" s="55" t="n">
        <f aca="false">T286*$H$5</f>
        <v>510.153409090909</v>
      </c>
      <c r="R286" s="56" t="n">
        <f aca="false">MAX(0,MIN(1,P286/100+$D$5))</f>
        <v>0.668236242595572</v>
      </c>
      <c r="S286" s="57" t="s">
        <v>123</v>
      </c>
      <c r="T286" s="55" t="n">
        <v>510.153409090909</v>
      </c>
    </row>
    <row r="287" customFormat="false" ht="15" hidden="false" customHeight="false" outlineLevel="0" collapsed="false">
      <c r="A287" s="21" t="s">
        <v>377</v>
      </c>
      <c r="B287" s="21" t="s">
        <v>437</v>
      </c>
      <c r="C287" s="21" t="s">
        <v>445</v>
      </c>
      <c r="D287" s="37" t="n">
        <f aca="false">ROUND(Q287*R287,0)</f>
        <v>145</v>
      </c>
      <c r="E287" s="37" t="n">
        <f aca="false">ROUND(Q287,0)-D287</f>
        <v>58</v>
      </c>
      <c r="F287" s="37" t="n">
        <f aca="false">IF(COUNTA(D287:E287)=0,"",SUM(D287:E287))</f>
        <v>203</v>
      </c>
      <c r="G287" s="52" t="n">
        <f aca="false">IF(OR(F287="",F287=0),"",D287/F287)</f>
        <v>0.714285714285714</v>
      </c>
      <c r="H287" s="52" t="n">
        <f aca="false">IF(OR(F287="",F287=0),"",E287/F287)</f>
        <v>0.285714285714286</v>
      </c>
      <c r="I287" s="21" t="s">
        <v>122</v>
      </c>
      <c r="J287" s="53" t="n">
        <v>2.87918965002339</v>
      </c>
      <c r="K287" s="52" t="n">
        <f aca="false">IF(G287="","",MAX(0,G287-J287/100))</f>
        <v>0.685493817785481</v>
      </c>
      <c r="L287" s="52" t="n">
        <f aca="false">IF(G287="","",MIN(1,G287+J287/100))</f>
        <v>0.743077610785948</v>
      </c>
      <c r="M287" s="37" t="n">
        <f aca="false">IF(F287="","",ROUND(F287*J287/100,0))</f>
        <v>6</v>
      </c>
      <c r="P287" s="54" t="n">
        <v>21.2286726176066</v>
      </c>
      <c r="Q287" s="55" t="n">
        <f aca="false">T287*$H$5</f>
        <v>202.766550522648</v>
      </c>
      <c r="R287" s="56" t="n">
        <f aca="false">MAX(0,MIN(1,P287/100+$D$5))</f>
        <v>0.714937199313284</v>
      </c>
      <c r="S287" s="57" t="s">
        <v>123</v>
      </c>
      <c r="T287" s="55" t="n">
        <v>202.766550522648</v>
      </c>
    </row>
    <row r="288" customFormat="false" ht="15" hidden="false" customHeight="false" outlineLevel="0" collapsed="false">
      <c r="A288" s="21" t="s">
        <v>377</v>
      </c>
      <c r="B288" s="21" t="s">
        <v>437</v>
      </c>
      <c r="C288" s="21" t="s">
        <v>446</v>
      </c>
      <c r="D288" s="37" t="n">
        <f aca="false">ROUND(Q288*R288,0)</f>
        <v>224</v>
      </c>
      <c r="E288" s="37" t="n">
        <f aca="false">ROUND(Q288,0)-D288</f>
        <v>94</v>
      </c>
      <c r="F288" s="37" t="n">
        <f aca="false">IF(COUNTA(D288:E288)=0,"",SUM(D288:E288))</f>
        <v>318</v>
      </c>
      <c r="G288" s="52" t="n">
        <f aca="false">IF(OR(F288="",F288=0),"",D288/F288)</f>
        <v>0.70440251572327</v>
      </c>
      <c r="H288" s="52" t="n">
        <f aca="false">IF(OR(F288="",F288=0),"",E288/F288)</f>
        <v>0.29559748427673</v>
      </c>
      <c r="I288" s="21" t="s">
        <v>122</v>
      </c>
      <c r="J288" s="53" t="n">
        <v>2.87918965002339</v>
      </c>
      <c r="K288" s="52" t="n">
        <f aca="false">IF(G288="","",MAX(0,G288-J288/100))</f>
        <v>0.675610619223037</v>
      </c>
      <c r="L288" s="52" t="n">
        <f aca="false">IF(G288="","",MIN(1,G288+J288/100))</f>
        <v>0.733194412223504</v>
      </c>
      <c r="M288" s="37" t="n">
        <f aca="false">IF(F288="","",ROUND(F288*J288/100,0))</f>
        <v>9</v>
      </c>
      <c r="P288" s="54" t="n">
        <v>20.0628975131357</v>
      </c>
      <c r="Q288" s="55" t="n">
        <f aca="false">T288*$H$5</f>
        <v>318.271119842829</v>
      </c>
      <c r="R288" s="56" t="n">
        <f aca="false">MAX(0,MIN(1,P288/100+$D$5))</f>
        <v>0.703279448268574</v>
      </c>
      <c r="S288" s="57" t="s">
        <v>123</v>
      </c>
      <c r="T288" s="55" t="n">
        <v>318.271119842829</v>
      </c>
    </row>
    <row r="289" customFormat="false" ht="15" hidden="false" customHeight="false" outlineLevel="0" collapsed="false">
      <c r="A289" s="21" t="s">
        <v>377</v>
      </c>
      <c r="B289" s="21" t="s">
        <v>437</v>
      </c>
      <c r="C289" s="21" t="s">
        <v>447</v>
      </c>
      <c r="D289" s="37" t="n">
        <f aca="false">ROUND(Q289*R289,0)</f>
        <v>237</v>
      </c>
      <c r="E289" s="37" t="n">
        <f aca="false">ROUND(Q289,0)-D289</f>
        <v>114</v>
      </c>
      <c r="F289" s="37" t="n">
        <f aca="false">IF(COUNTA(D289:E289)=0,"",SUM(D289:E289))</f>
        <v>351</v>
      </c>
      <c r="G289" s="52" t="n">
        <f aca="false">IF(OR(F289="",F289=0),"",D289/F289)</f>
        <v>0.675213675213675</v>
      </c>
      <c r="H289" s="52" t="n">
        <f aca="false">IF(OR(F289="",F289=0),"",E289/F289)</f>
        <v>0.324786324786325</v>
      </c>
      <c r="I289" s="21" t="s">
        <v>122</v>
      </c>
      <c r="J289" s="53" t="n">
        <v>2.87918965002339</v>
      </c>
      <c r="K289" s="52" t="n">
        <f aca="false">IF(G289="","",MAX(0,G289-J289/100))</f>
        <v>0.646421778713441</v>
      </c>
      <c r="L289" s="52" t="n">
        <f aca="false">IF(G289="","",MIN(1,G289+J289/100))</f>
        <v>0.704005571713909</v>
      </c>
      <c r="M289" s="37" t="n">
        <f aca="false">IF(F289="","",ROUND(F289*J289/100,0))</f>
        <v>10</v>
      </c>
      <c r="P289" s="54" t="n">
        <v>17.2160333623652</v>
      </c>
      <c r="Q289" s="55" t="n">
        <f aca="false">T289*$H$5</f>
        <v>350.591240875912</v>
      </c>
      <c r="R289" s="56" t="n">
        <f aca="false">MAX(0,MIN(1,P289/100+$D$5))</f>
        <v>0.67481080676087</v>
      </c>
      <c r="S289" s="57" t="s">
        <v>123</v>
      </c>
      <c r="T289" s="55" t="n">
        <v>350.591240875912</v>
      </c>
    </row>
    <row r="290" customFormat="false" ht="15" hidden="false" customHeight="false" outlineLevel="0" collapsed="false">
      <c r="A290" s="21" t="s">
        <v>377</v>
      </c>
      <c r="B290" s="21" t="s">
        <v>437</v>
      </c>
      <c r="C290" s="21" t="s">
        <v>448</v>
      </c>
      <c r="D290" s="37" t="n">
        <f aca="false">ROUND(Q290*R290,0)</f>
        <v>1031</v>
      </c>
      <c r="E290" s="37" t="n">
        <f aca="false">ROUND(Q290,0)-D290</f>
        <v>610</v>
      </c>
      <c r="F290" s="37" t="n">
        <f aca="false">IF(COUNTA(D290:E290)=0,"",SUM(D290:E290))</f>
        <v>1641</v>
      </c>
      <c r="G290" s="52" t="n">
        <f aca="false">IF(OR(F290="",F290=0),"",D290/F290)</f>
        <v>0.628275441803778</v>
      </c>
      <c r="H290" s="52" t="n">
        <f aca="false">IF(OR(F290="",F290=0),"",E290/F290)</f>
        <v>0.371724558196222</v>
      </c>
      <c r="I290" s="21" t="s">
        <v>223</v>
      </c>
      <c r="J290" s="53" t="n">
        <v>1.86991787188303</v>
      </c>
      <c r="K290" s="52" t="n">
        <f aca="false">IF(G290="","",MAX(0,G290-J290/100))</f>
        <v>0.609576263084948</v>
      </c>
      <c r="L290" s="52" t="n">
        <f aca="false">IF(G290="","",MIN(1,G290+J290/100))</f>
        <v>0.646974620522609</v>
      </c>
      <c r="M290" s="37" t="n">
        <f aca="false">IF(F290="","",ROUND(F290*J290/100,0))</f>
        <v>31</v>
      </c>
      <c r="P290" s="54" t="n">
        <v>12.5573946171588</v>
      </c>
      <c r="Q290" s="55" t="n">
        <f aca="false">T290*$H$5</f>
        <v>1641.003487384</v>
      </c>
      <c r="R290" s="56" t="n">
        <f aca="false">MAX(0,MIN(1,P290/100+$D$5))</f>
        <v>0.628224419308806</v>
      </c>
      <c r="S290" s="57" t="s">
        <v>225</v>
      </c>
      <c r="T290" s="55" t="n">
        <v>1641.003487384</v>
      </c>
    </row>
    <row r="291" customFormat="false" ht="15" hidden="false" customHeight="false" outlineLevel="0" collapsed="false">
      <c r="A291" s="21" t="s">
        <v>377</v>
      </c>
      <c r="B291" s="21" t="s">
        <v>437</v>
      </c>
      <c r="C291" s="21" t="s">
        <v>449</v>
      </c>
      <c r="D291" s="37" t="n">
        <f aca="false">ROUND(Q291*R291,0)</f>
        <v>644</v>
      </c>
      <c r="E291" s="37" t="n">
        <f aca="false">ROUND(Q291,0)-D291</f>
        <v>282</v>
      </c>
      <c r="F291" s="37" t="n">
        <f aca="false">IF(COUNTA(D291:E291)=0,"",SUM(D291:E291))</f>
        <v>926</v>
      </c>
      <c r="G291" s="52" t="n">
        <f aca="false">IF(OR(F291="",F291=0),"",D291/F291)</f>
        <v>0.695464362850972</v>
      </c>
      <c r="H291" s="52" t="n">
        <f aca="false">IF(OR(F291="",F291=0),"",E291/F291)</f>
        <v>0.304535637149028</v>
      </c>
      <c r="I291" s="21" t="s">
        <v>122</v>
      </c>
      <c r="J291" s="53" t="n">
        <v>1.9254971424187</v>
      </c>
      <c r="K291" s="52" t="n">
        <f aca="false">IF(G291="","",MAX(0,G291-J291/100))</f>
        <v>0.676209391426785</v>
      </c>
      <c r="L291" s="52" t="n">
        <f aca="false">IF(G291="","",MIN(1,G291+J291/100))</f>
        <v>0.714719334275159</v>
      </c>
      <c r="M291" s="37" t="n">
        <f aca="false">IF(F291="","",ROUND(F291*J291/100,0))</f>
        <v>18</v>
      </c>
      <c r="P291" s="54" t="n">
        <v>19.3196660165835</v>
      </c>
      <c r="Q291" s="55" t="n">
        <f aca="false">T291*$H$5</f>
        <v>925.647509578545</v>
      </c>
      <c r="R291" s="56" t="n">
        <f aca="false">MAX(0,MIN(1,P291/100+$D$5))</f>
        <v>0.695847133303053</v>
      </c>
      <c r="S291" s="57" t="s">
        <v>132</v>
      </c>
      <c r="T291" s="55" t="n">
        <v>925.647509578545</v>
      </c>
    </row>
    <row r="292" customFormat="false" ht="15" hidden="false" customHeight="false" outlineLevel="0" collapsed="false">
      <c r="A292" s="21" t="s">
        <v>377</v>
      </c>
      <c r="B292" s="21" t="s">
        <v>450</v>
      </c>
      <c r="C292" s="21" t="s">
        <v>451</v>
      </c>
      <c r="D292" s="37" t="n">
        <f aca="false">ROUND(Q292*R292,0)</f>
        <v>693</v>
      </c>
      <c r="E292" s="37" t="n">
        <f aca="false">ROUND(Q292,0)-D292</f>
        <v>669</v>
      </c>
      <c r="F292" s="37" t="n">
        <f aca="false">IF(COUNTA(D292:E292)=0,"",SUM(D292:E292))</f>
        <v>1362</v>
      </c>
      <c r="G292" s="52" t="n">
        <f aca="false">IF(OR(F292="",F292=0),"",D292/F292)</f>
        <v>0.508810572687225</v>
      </c>
      <c r="H292" s="52" t="n">
        <f aca="false">IF(OR(F292="",F292=0),"",E292/F292)</f>
        <v>0.491189427312775</v>
      </c>
      <c r="I292" s="21" t="s">
        <v>122</v>
      </c>
      <c r="J292" s="53" t="n">
        <v>1.86991787188303</v>
      </c>
      <c r="K292" s="52" t="n">
        <f aca="false">IF(G292="","",MAX(0,G292-J292/100))</f>
        <v>0.490111393968394</v>
      </c>
      <c r="L292" s="52" t="n">
        <f aca="false">IF(G292="","",MIN(1,G292+J292/100))</f>
        <v>0.527509751406055</v>
      </c>
      <c r="M292" s="37" t="n">
        <f aca="false">IF(F292="","",ROUND(F292*J292/100,0))</f>
        <v>25</v>
      </c>
      <c r="P292" s="54" t="n">
        <v>0.622907682764887</v>
      </c>
      <c r="Q292" s="55" t="n">
        <f aca="false">T292*$H$5</f>
        <v>1362.48372781065</v>
      </c>
      <c r="R292" s="56" t="n">
        <f aca="false">MAX(0,MIN(1,P292/100+$D$5))</f>
        <v>0.508879549964867</v>
      </c>
      <c r="S292" s="57" t="s">
        <v>225</v>
      </c>
      <c r="T292" s="55" t="n">
        <v>1362.48372781065</v>
      </c>
    </row>
    <row r="293" customFormat="false" ht="15" hidden="false" customHeight="false" outlineLevel="0" collapsed="false">
      <c r="A293" s="21" t="s">
        <v>377</v>
      </c>
      <c r="B293" s="21" t="s">
        <v>450</v>
      </c>
      <c r="C293" s="21" t="s">
        <v>452</v>
      </c>
      <c r="D293" s="37" t="n">
        <f aca="false">ROUND(Q293*R293,0)</f>
        <v>538</v>
      </c>
      <c r="E293" s="37" t="n">
        <f aca="false">ROUND(Q293,0)-D293</f>
        <v>545</v>
      </c>
      <c r="F293" s="37" t="n">
        <f aca="false">IF(COUNTA(D293:E293)=0,"",SUM(D293:E293))</f>
        <v>1083</v>
      </c>
      <c r="G293" s="52" t="n">
        <f aca="false">IF(OR(F293="",F293=0),"",D293/F293)</f>
        <v>0.496768236380425</v>
      </c>
      <c r="H293" s="52" t="n">
        <f aca="false">IF(OR(F293="",F293=0),"",E293/F293)</f>
        <v>0.503231763619575</v>
      </c>
      <c r="I293" s="21" t="s">
        <v>223</v>
      </c>
      <c r="J293" s="53" t="n">
        <v>1.9254971424187</v>
      </c>
      <c r="K293" s="52" t="n">
        <f aca="false">IF(G293="","",MAX(0,G293-J293/100))</f>
        <v>0.477513264956238</v>
      </c>
      <c r="L293" s="52" t="n">
        <f aca="false">IF(G293="","",MIN(1,G293+J293/100))</f>
        <v>0.516023207804612</v>
      </c>
      <c r="M293" s="37" t="n">
        <f aca="false">IF(F293="","",ROUND(F293*J293/100,0))</f>
        <v>21</v>
      </c>
      <c r="P293" s="54" t="n">
        <v>-0.61584048006452</v>
      </c>
      <c r="Q293" s="55" t="n">
        <f aca="false">T293*$H$5</f>
        <v>1083.11654558275</v>
      </c>
      <c r="R293" s="56" t="n">
        <f aca="false">MAX(0,MIN(1,P293/100+$D$5))</f>
        <v>0.496492068336572</v>
      </c>
      <c r="S293" s="57" t="s">
        <v>132</v>
      </c>
      <c r="T293" s="55" t="n">
        <v>1083.11654558275</v>
      </c>
    </row>
    <row r="294" customFormat="false" ht="15" hidden="false" customHeight="false" outlineLevel="0" collapsed="false">
      <c r="A294" s="21" t="s">
        <v>377</v>
      </c>
      <c r="B294" s="21" t="s">
        <v>450</v>
      </c>
      <c r="C294" s="21" t="s">
        <v>453</v>
      </c>
      <c r="D294" s="37" t="n">
        <f aca="false">ROUND(Q294*R294,0)</f>
        <v>308</v>
      </c>
      <c r="E294" s="37" t="n">
        <f aca="false">ROUND(Q294,0)-D294</f>
        <v>273</v>
      </c>
      <c r="F294" s="37" t="n">
        <f aca="false">IF(COUNTA(D294:E294)=0,"",SUM(D294:E294))</f>
        <v>581</v>
      </c>
      <c r="G294" s="52" t="n">
        <f aca="false">IF(OR(F294="",F294=0),"",D294/F294)</f>
        <v>0.530120481927711</v>
      </c>
      <c r="H294" s="52" t="n">
        <f aca="false">IF(OR(F294="",F294=0),"",E294/F294)</f>
        <v>0.469879518072289</v>
      </c>
      <c r="I294" s="21" t="s">
        <v>223</v>
      </c>
      <c r="J294" s="53" t="n">
        <v>2.87918965002339</v>
      </c>
      <c r="K294" s="52" t="n">
        <f aca="false">IF(G294="","",MAX(0,G294-J294/100))</f>
        <v>0.501328585427477</v>
      </c>
      <c r="L294" s="52" t="n">
        <f aca="false">IF(G294="","",MIN(1,G294+J294/100))</f>
        <v>0.558912378427945</v>
      </c>
      <c r="M294" s="37" t="n">
        <f aca="false">IF(F294="","",ROUND(F294*J294/100,0))</f>
        <v>17</v>
      </c>
      <c r="P294" s="54" t="n">
        <v>2.78261911651287</v>
      </c>
      <c r="Q294" s="55" t="n">
        <f aca="false">T294*$H$5</f>
        <v>581.03515541366</v>
      </c>
      <c r="R294" s="56" t="n">
        <f aca="false">MAX(0,MIN(1,P294/100+$D$5))</f>
        <v>0.530476664302346</v>
      </c>
      <c r="S294" s="57" t="s">
        <v>123</v>
      </c>
      <c r="T294" s="55" t="n">
        <v>581.03515541366</v>
      </c>
    </row>
    <row r="295" customFormat="false" ht="15" hidden="false" customHeight="false" outlineLevel="0" collapsed="false">
      <c r="A295" s="21" t="s">
        <v>377</v>
      </c>
      <c r="B295" s="21" t="s">
        <v>450</v>
      </c>
      <c r="C295" s="21" t="s">
        <v>454</v>
      </c>
      <c r="D295" s="37" t="n">
        <f aca="false">ROUND(Q295*R295,0)</f>
        <v>570</v>
      </c>
      <c r="E295" s="37" t="n">
        <f aca="false">ROUND(Q295,0)-D295</f>
        <v>547</v>
      </c>
      <c r="F295" s="37" t="n">
        <f aca="false">IF(COUNTA(D295:E295)=0,"",SUM(D295:E295))</f>
        <v>1117</v>
      </c>
      <c r="G295" s="52" t="n">
        <f aca="false">IF(OR(F295="",F295=0),"",D295/F295)</f>
        <v>0.510295434198747</v>
      </c>
      <c r="H295" s="52" t="n">
        <f aca="false">IF(OR(F295="",F295=0),"",E295/F295)</f>
        <v>0.489704565801253</v>
      </c>
      <c r="I295" s="21" t="s">
        <v>223</v>
      </c>
      <c r="J295" s="53" t="n">
        <v>1.9254971424187</v>
      </c>
      <c r="K295" s="52" t="n">
        <f aca="false">IF(G295="","",MAX(0,G295-J295/100))</f>
        <v>0.49104046277456</v>
      </c>
      <c r="L295" s="52" t="n">
        <f aca="false">IF(G295="","",MIN(1,G295+J295/100))</f>
        <v>0.529550405622934</v>
      </c>
      <c r="M295" s="37" t="n">
        <f aca="false">IF(F295="","",ROUND(F295*J295/100,0))</f>
        <v>22</v>
      </c>
      <c r="P295" s="54" t="n">
        <v>0.787878898574458</v>
      </c>
      <c r="Q295" s="55" t="n">
        <f aca="false">T295*$H$5</f>
        <v>1117.10097160812</v>
      </c>
      <c r="R295" s="56" t="n">
        <f aca="false">MAX(0,MIN(1,P295/100+$D$5))</f>
        <v>0.510529262122962</v>
      </c>
      <c r="S295" s="57" t="s">
        <v>132</v>
      </c>
      <c r="T295" s="55" t="n">
        <v>1117.10097160812</v>
      </c>
    </row>
    <row r="296" customFormat="false" ht="15" hidden="false" customHeight="false" outlineLevel="0" collapsed="false">
      <c r="A296" s="21" t="s">
        <v>377</v>
      </c>
      <c r="B296" s="21" t="s">
        <v>450</v>
      </c>
      <c r="C296" s="21" t="s">
        <v>455</v>
      </c>
      <c r="D296" s="37" t="n">
        <f aca="false">ROUND(Q296*R296,0)</f>
        <v>531</v>
      </c>
      <c r="E296" s="37" t="n">
        <f aca="false">ROUND(Q296,0)-D296</f>
        <v>482</v>
      </c>
      <c r="F296" s="37" t="n">
        <f aca="false">IF(COUNTA(D296:E296)=0,"",SUM(D296:E296))</f>
        <v>1013</v>
      </c>
      <c r="G296" s="52" t="n">
        <f aca="false">IF(OR(F296="",F296=0),"",D296/F296)</f>
        <v>0.524185587364265</v>
      </c>
      <c r="H296" s="52" t="n">
        <f aca="false">IF(OR(F296="",F296=0),"",E296/F296)</f>
        <v>0.475814412635735</v>
      </c>
      <c r="I296" s="21" t="s">
        <v>122</v>
      </c>
      <c r="J296" s="53" t="n">
        <v>1.9254971424187</v>
      </c>
      <c r="K296" s="52" t="n">
        <f aca="false">IF(G296="","",MAX(0,G296-J296/100))</f>
        <v>0.504930615940078</v>
      </c>
      <c r="L296" s="52" t="n">
        <f aca="false">IF(G296="","",MIN(1,G296+J296/100))</f>
        <v>0.543440558788452</v>
      </c>
      <c r="M296" s="37" t="n">
        <f aca="false">IF(F296="","",ROUND(F296*J296/100,0))</f>
        <v>20</v>
      </c>
      <c r="P296" s="54" t="n">
        <v>2.18141896435066</v>
      </c>
      <c r="Q296" s="55" t="n">
        <f aca="false">T296*$H$5</f>
        <v>1012.91514143095</v>
      </c>
      <c r="R296" s="56" t="n">
        <f aca="false">MAX(0,MIN(1,P296/100+$D$5))</f>
        <v>0.524464662780724</v>
      </c>
      <c r="S296" s="57" t="s">
        <v>132</v>
      </c>
      <c r="T296" s="55" t="n">
        <v>1012.91514143095</v>
      </c>
    </row>
    <row r="297" customFormat="false" ht="15" hidden="false" customHeight="false" outlineLevel="0" collapsed="false">
      <c r="A297" s="21" t="s">
        <v>377</v>
      </c>
      <c r="B297" s="21" t="s">
        <v>450</v>
      </c>
      <c r="C297" s="21" t="s">
        <v>456</v>
      </c>
      <c r="D297" s="37" t="n">
        <f aca="false">ROUND(Q297*R297,0)</f>
        <v>610</v>
      </c>
      <c r="E297" s="37" t="n">
        <f aca="false">ROUND(Q297,0)-D297</f>
        <v>609</v>
      </c>
      <c r="F297" s="37" t="n">
        <f aca="false">IF(COUNTA(D297:E297)=0,"",SUM(D297:E297))</f>
        <v>1219</v>
      </c>
      <c r="G297" s="52" t="n">
        <f aca="false">IF(OR(F297="",F297=0),"",D297/F297)</f>
        <v>0.500410172272354</v>
      </c>
      <c r="H297" s="52" t="n">
        <f aca="false">IF(OR(F297="",F297=0),"",E297/F297)</f>
        <v>0.499589827727646</v>
      </c>
      <c r="I297" s="21" t="s">
        <v>223</v>
      </c>
      <c r="J297" s="53" t="n">
        <v>1.86991787188303</v>
      </c>
      <c r="K297" s="52" t="n">
        <f aca="false">IF(G297="","",MAX(0,G297-J297/100))</f>
        <v>0.481710993553524</v>
      </c>
      <c r="L297" s="52" t="n">
        <f aca="false">IF(G297="","",MIN(1,G297+J297/100))</f>
        <v>0.519109350991185</v>
      </c>
      <c r="M297" s="37" t="n">
        <f aca="false">IF(F297="","",ROUND(F297*J297/100,0))</f>
        <v>23</v>
      </c>
      <c r="P297" s="54" t="n">
        <v>-0.240715347458413</v>
      </c>
      <c r="Q297" s="55" t="n">
        <f aca="false">T297*$H$5</f>
        <v>1219.05424968423</v>
      </c>
      <c r="R297" s="56" t="n">
        <f aca="false">MAX(0,MIN(1,P297/100+$D$5))</f>
        <v>0.500243319662634</v>
      </c>
      <c r="S297" s="57" t="s">
        <v>225</v>
      </c>
      <c r="T297" s="55" t="n">
        <v>1219.05424968423</v>
      </c>
    </row>
    <row r="298" customFormat="false" ht="15" hidden="false" customHeight="false" outlineLevel="0" collapsed="false">
      <c r="A298" s="21" t="s">
        <v>377</v>
      </c>
      <c r="B298" s="21" t="s">
        <v>450</v>
      </c>
      <c r="C298" s="21" t="s">
        <v>457</v>
      </c>
      <c r="D298" s="37" t="n">
        <f aca="false">ROUND(Q298*R298,0)</f>
        <v>281</v>
      </c>
      <c r="E298" s="37" t="n">
        <f aca="false">ROUND(Q298,0)-D298</f>
        <v>328</v>
      </c>
      <c r="F298" s="37" t="n">
        <f aca="false">IF(COUNTA(D298:E298)=0,"",SUM(D298:E298))</f>
        <v>609</v>
      </c>
      <c r="G298" s="52" t="n">
        <f aca="false">IF(OR(F298="",F298=0),"",D298/F298)</f>
        <v>0.461412151067324</v>
      </c>
      <c r="H298" s="52" t="n">
        <f aca="false">IF(OR(F298="",F298=0),"",E298/F298)</f>
        <v>0.538587848932677</v>
      </c>
      <c r="I298" s="21" t="s">
        <v>223</v>
      </c>
      <c r="J298" s="53" t="n">
        <v>2.87918965002339</v>
      </c>
      <c r="K298" s="52" t="n">
        <f aca="false">IF(G298="","",MAX(0,G298-J298/100))</f>
        <v>0.43262025456709</v>
      </c>
      <c r="L298" s="52" t="n">
        <f aca="false">IF(G298="","",MIN(1,G298+J298/100))</f>
        <v>0.490204047567557</v>
      </c>
      <c r="M298" s="37" t="n">
        <f aca="false">IF(F298="","",ROUND(F298*J298/100,0))</f>
        <v>18</v>
      </c>
      <c r="P298" s="54" t="n">
        <v>-4.13680692545878</v>
      </c>
      <c r="Q298" s="55" t="n">
        <f aca="false">T298*$H$5</f>
        <v>609.080306436487</v>
      </c>
      <c r="R298" s="56" t="n">
        <f aca="false">MAX(0,MIN(1,P298/100+$D$5))</f>
        <v>0.46128240388263</v>
      </c>
      <c r="S298" s="57" t="s">
        <v>123</v>
      </c>
      <c r="T298" s="55" t="n">
        <v>609.080306436487</v>
      </c>
    </row>
    <row r="299" customFormat="false" ht="15" hidden="false" customHeight="false" outlineLevel="0" collapsed="false">
      <c r="A299" s="21" t="s">
        <v>377</v>
      </c>
      <c r="B299" s="21" t="s">
        <v>458</v>
      </c>
      <c r="C299" s="21" t="s">
        <v>458</v>
      </c>
      <c r="D299" s="37" t="n">
        <f aca="false">ROUND(Q299*R299,0)</f>
        <v>490</v>
      </c>
      <c r="E299" s="37" t="n">
        <f aca="false">ROUND(Q299,0)-D299</f>
        <v>321</v>
      </c>
      <c r="F299" s="37" t="n">
        <f aca="false">IF(COUNTA(D299:E299)=0,"",SUM(D299:E299))</f>
        <v>811</v>
      </c>
      <c r="G299" s="52" t="n">
        <f aca="false">IF(OR(F299="",F299=0),"",D299/F299)</f>
        <v>0.604192355117139</v>
      </c>
      <c r="H299" s="52" t="n">
        <f aca="false">IF(OR(F299="",F299=0),"",E299/F299)</f>
        <v>0.395807644882861</v>
      </c>
      <c r="I299" s="21" t="s">
        <v>122</v>
      </c>
      <c r="J299" s="53" t="n">
        <v>1.9254971424187</v>
      </c>
      <c r="K299" s="52" t="n">
        <f aca="false">IF(G299="","",MAX(0,G299-J299/100))</f>
        <v>0.584937383692952</v>
      </c>
      <c r="L299" s="52" t="n">
        <f aca="false">IF(G299="","",MIN(1,G299+J299/100))</f>
        <v>0.623447326541326</v>
      </c>
      <c r="M299" s="37" t="n">
        <f aca="false">IF(F299="","",ROUND(F299*J299/100,0))</f>
        <v>16</v>
      </c>
      <c r="P299" s="54" t="n">
        <v>10.1731118459281</v>
      </c>
      <c r="Q299" s="55" t="n">
        <f aca="false">T299*$H$5</f>
        <v>811.2722513089</v>
      </c>
      <c r="R299" s="56" t="n">
        <f aca="false">MAX(0,MIN(1,P299/100+$D$5))</f>
        <v>0.604381591596499</v>
      </c>
      <c r="S299" s="57" t="s">
        <v>132</v>
      </c>
      <c r="T299" s="55" t="n">
        <v>811.2722513089</v>
      </c>
    </row>
    <row r="300" customFormat="false" ht="15" hidden="false" customHeight="false" outlineLevel="0" collapsed="false">
      <c r="A300" s="21" t="s">
        <v>377</v>
      </c>
      <c r="B300" s="21" t="s">
        <v>459</v>
      </c>
      <c r="C300" s="21" t="s">
        <v>459</v>
      </c>
      <c r="D300" s="37" t="n">
        <f aca="false">ROUND(Q300*R300,0)</f>
        <v>75</v>
      </c>
      <c r="E300" s="37" t="n">
        <f aca="false">ROUND(Q300,0)-D300</f>
        <v>69</v>
      </c>
      <c r="F300" s="37" t="n">
        <f aca="false">IF(COUNTA(D300:E300)=0,"",SUM(D300:E300))</f>
        <v>144</v>
      </c>
      <c r="G300" s="52" t="n">
        <f aca="false">IF(OR(F300="",F300=0),"",D300/F300)</f>
        <v>0.520833333333333</v>
      </c>
      <c r="H300" s="52" t="n">
        <f aca="false">IF(OR(F300="",F300=0),"",E300/F300)</f>
        <v>0.479166666666667</v>
      </c>
      <c r="I300" s="21" t="s">
        <v>122</v>
      </c>
      <c r="J300" s="53" t="n">
        <v>2.87918965002339</v>
      </c>
      <c r="K300" s="52" t="n">
        <f aca="false">IF(G300="","",MAX(0,G300-J300/100))</f>
        <v>0.4920414368331</v>
      </c>
      <c r="L300" s="52" t="n">
        <f aca="false">IF(G300="","",MIN(1,G300+J300/100))</f>
        <v>0.549625229833567</v>
      </c>
      <c r="M300" s="37" t="n">
        <f aca="false">IF(F300="","",ROUND(F300*J300/100,0))</f>
        <v>4</v>
      </c>
      <c r="P300" s="54" t="n">
        <v>1.87958098194543</v>
      </c>
      <c r="Q300" s="55" t="n">
        <f aca="false">T300*$H$5</f>
        <v>143.630597014925</v>
      </c>
      <c r="R300" s="56" t="n">
        <f aca="false">MAX(0,MIN(1,P300/100+$D$5))</f>
        <v>0.521446282956672</v>
      </c>
      <c r="S300" s="57" t="s">
        <v>123</v>
      </c>
      <c r="T300" s="55" t="n">
        <v>143.630597014925</v>
      </c>
    </row>
    <row r="301" customFormat="false" ht="15" hidden="false" customHeight="false" outlineLevel="0" collapsed="false">
      <c r="A301" s="21" t="s">
        <v>377</v>
      </c>
      <c r="B301" s="21" t="s">
        <v>284</v>
      </c>
      <c r="C301" s="21" t="s">
        <v>460</v>
      </c>
      <c r="D301" s="37" t="n">
        <f aca="false">ROUND(Q301*R301,0)</f>
        <v>752</v>
      </c>
      <c r="E301" s="37" t="n">
        <f aca="false">ROUND(Q301,0)-D301</f>
        <v>544</v>
      </c>
      <c r="F301" s="37" t="n">
        <f aca="false">IF(COUNTA(D301:E301)=0,"",SUM(D301:E301))</f>
        <v>1296</v>
      </c>
      <c r="G301" s="52" t="n">
        <f aca="false">IF(OR(F301="",F301=0),"",D301/F301)</f>
        <v>0.580246913580247</v>
      </c>
      <c r="H301" s="52" t="n">
        <f aca="false">IF(OR(F301="",F301=0),"",E301/F301)</f>
        <v>0.419753086419753</v>
      </c>
      <c r="I301" s="21" t="s">
        <v>122</v>
      </c>
      <c r="J301" s="53" t="n">
        <v>1.86991787188303</v>
      </c>
      <c r="K301" s="52" t="n">
        <f aca="false">IF(G301="","",MAX(0,G301-J301/100))</f>
        <v>0.561547734861417</v>
      </c>
      <c r="L301" s="52" t="n">
        <f aca="false">IF(G301="","",MIN(1,G301+J301/100))</f>
        <v>0.598946092299077</v>
      </c>
      <c r="M301" s="37" t="n">
        <f aca="false">IF(F301="","",ROUND(F301*J301/100,0))</f>
        <v>24</v>
      </c>
      <c r="P301" s="54" t="n">
        <v>7.74627773818336</v>
      </c>
      <c r="Q301" s="55" t="n">
        <f aca="false">T301*$H$5</f>
        <v>1296.13085052843</v>
      </c>
      <c r="R301" s="56" t="n">
        <f aca="false">MAX(0,MIN(1,P301/100+$D$5))</f>
        <v>0.580113250519051</v>
      </c>
      <c r="S301" s="57" t="s">
        <v>225</v>
      </c>
      <c r="T301" s="55" t="n">
        <v>1296.13085052843</v>
      </c>
    </row>
    <row r="302" customFormat="false" ht="15" hidden="false" customHeight="false" outlineLevel="0" collapsed="false">
      <c r="A302" s="21" t="s">
        <v>377</v>
      </c>
      <c r="B302" s="21" t="s">
        <v>284</v>
      </c>
      <c r="C302" s="21" t="s">
        <v>461</v>
      </c>
      <c r="D302" s="37" t="n">
        <f aca="false">ROUND(Q302*R302,0)</f>
        <v>733</v>
      </c>
      <c r="E302" s="37" t="n">
        <f aca="false">ROUND(Q302,0)-D302</f>
        <v>581</v>
      </c>
      <c r="F302" s="37" t="n">
        <f aca="false">IF(COUNTA(D302:E302)=0,"",SUM(D302:E302))</f>
        <v>1314</v>
      </c>
      <c r="G302" s="52" t="n">
        <f aca="false">IF(OR(F302="",F302=0),"",D302/F302)</f>
        <v>0.557838660578387</v>
      </c>
      <c r="H302" s="52" t="n">
        <f aca="false">IF(OR(F302="",F302=0),"",E302/F302)</f>
        <v>0.442161339421613</v>
      </c>
      <c r="I302" s="21" t="s">
        <v>122</v>
      </c>
      <c r="J302" s="53" t="n">
        <v>1.86991787188303</v>
      </c>
      <c r="K302" s="52" t="n">
        <f aca="false">IF(G302="","",MAX(0,G302-J302/100))</f>
        <v>0.539139481859556</v>
      </c>
      <c r="L302" s="52" t="n">
        <f aca="false">IF(G302="","",MIN(1,G302+J302/100))</f>
        <v>0.576537839297217</v>
      </c>
      <c r="M302" s="37" t="n">
        <f aca="false">IF(F302="","",ROUND(F302*J302/100,0))</f>
        <v>25</v>
      </c>
      <c r="P302" s="54" t="n">
        <v>5.54364634218321</v>
      </c>
      <c r="Q302" s="55" t="n">
        <f aca="false">T302*$H$5</f>
        <v>1313.559</v>
      </c>
      <c r="R302" s="56" t="n">
        <f aca="false">MAX(0,MIN(1,P302/100+$D$5))</f>
        <v>0.55808693655905</v>
      </c>
      <c r="S302" s="57" t="s">
        <v>225</v>
      </c>
      <c r="T302" s="55" t="n">
        <v>1313.559</v>
      </c>
    </row>
    <row r="303" customFormat="false" ht="15" hidden="false" customHeight="false" outlineLevel="0" collapsed="false">
      <c r="A303" s="21" t="s">
        <v>377</v>
      </c>
      <c r="B303" s="21" t="s">
        <v>284</v>
      </c>
      <c r="C303" s="21" t="s">
        <v>462</v>
      </c>
      <c r="D303" s="37" t="n">
        <f aca="false">ROUND(Q303*R303,0)</f>
        <v>380</v>
      </c>
      <c r="E303" s="37" t="n">
        <f aca="false">ROUND(Q303,0)-D303</f>
        <v>350</v>
      </c>
      <c r="F303" s="37" t="n">
        <f aca="false">IF(COUNTA(D303:E303)=0,"",SUM(D303:E303))</f>
        <v>730</v>
      </c>
      <c r="G303" s="52" t="n">
        <f aca="false">IF(OR(F303="",F303=0),"",D303/F303)</f>
        <v>0.520547945205479</v>
      </c>
      <c r="H303" s="52" t="n">
        <f aca="false">IF(OR(F303="",F303=0),"",E303/F303)</f>
        <v>0.479452054794521</v>
      </c>
      <c r="I303" s="21" t="s">
        <v>122</v>
      </c>
      <c r="J303" s="53" t="n">
        <v>2.87918965002339</v>
      </c>
      <c r="K303" s="52" t="n">
        <f aca="false">IF(G303="","",MAX(0,G303-J303/100))</f>
        <v>0.491756048705246</v>
      </c>
      <c r="L303" s="52" t="n">
        <f aca="false">IF(G303="","",MIN(1,G303+J303/100))</f>
        <v>0.549339841705713</v>
      </c>
      <c r="M303" s="37" t="n">
        <f aca="false">IF(F303="","",ROUND(F303*J303/100,0))</f>
        <v>21</v>
      </c>
      <c r="P303" s="54" t="n">
        <v>1.79923479844101</v>
      </c>
      <c r="Q303" s="55" t="n">
        <f aca="false">T303*$H$5</f>
        <v>730.386706948641</v>
      </c>
      <c r="R303" s="56" t="n">
        <f aca="false">MAX(0,MIN(1,P303/100+$D$5))</f>
        <v>0.520642821121628</v>
      </c>
      <c r="S303" s="57" t="s">
        <v>123</v>
      </c>
      <c r="T303" s="55" t="n">
        <v>730.386706948641</v>
      </c>
    </row>
    <row r="304" customFormat="false" ht="15" hidden="false" customHeight="false" outlineLevel="0" collapsed="false">
      <c r="A304" s="21" t="s">
        <v>377</v>
      </c>
      <c r="B304" s="21" t="s">
        <v>284</v>
      </c>
      <c r="C304" s="21" t="s">
        <v>463</v>
      </c>
      <c r="D304" s="37" t="n">
        <f aca="false">ROUND(Q304*R304,0)</f>
        <v>602</v>
      </c>
      <c r="E304" s="37" t="n">
        <f aca="false">ROUND(Q304,0)-D304</f>
        <v>553</v>
      </c>
      <c r="F304" s="37" t="n">
        <f aca="false">IF(COUNTA(D304:E304)=0,"",SUM(D304:E304))</f>
        <v>1155</v>
      </c>
      <c r="G304" s="52" t="n">
        <f aca="false">IF(OR(F304="",F304=0),"",D304/F304)</f>
        <v>0.521212121212121</v>
      </c>
      <c r="H304" s="52" t="n">
        <f aca="false">IF(OR(F304="",F304=0),"",E304/F304)</f>
        <v>0.478787878787879</v>
      </c>
      <c r="I304" s="21" t="s">
        <v>122</v>
      </c>
      <c r="J304" s="53" t="n">
        <v>1.9254971424187</v>
      </c>
      <c r="K304" s="52" t="n">
        <f aca="false">IF(G304="","",MAX(0,G304-J304/100))</f>
        <v>0.501957149787934</v>
      </c>
      <c r="L304" s="52" t="n">
        <f aca="false">IF(G304="","",MIN(1,G304+J304/100))</f>
        <v>0.540467092636308</v>
      </c>
      <c r="M304" s="37" t="n">
        <f aca="false">IF(F304="","",ROUND(F304*J304/100,0))</f>
        <v>22</v>
      </c>
      <c r="P304" s="54" t="n">
        <v>1.9088528081274</v>
      </c>
      <c r="Q304" s="55" t="n">
        <f aca="false">T304*$H$5</f>
        <v>1154.58674351585</v>
      </c>
      <c r="R304" s="56" t="n">
        <f aca="false">MAX(0,MIN(1,P304/100+$D$5))</f>
        <v>0.521739001218492</v>
      </c>
      <c r="S304" s="57" t="s">
        <v>132</v>
      </c>
      <c r="T304" s="55" t="n">
        <v>1154.58674351585</v>
      </c>
    </row>
    <row r="305" customFormat="false" ht="15" hidden="false" customHeight="false" outlineLevel="0" collapsed="false">
      <c r="A305" s="21" t="s">
        <v>377</v>
      </c>
      <c r="B305" s="21" t="s">
        <v>284</v>
      </c>
      <c r="C305" s="21" t="s">
        <v>464</v>
      </c>
      <c r="D305" s="37" t="n">
        <f aca="false">ROUND(Q305*R305,0)</f>
        <v>666</v>
      </c>
      <c r="E305" s="37" t="n">
        <f aca="false">ROUND(Q305,0)-D305</f>
        <v>535</v>
      </c>
      <c r="F305" s="37" t="n">
        <f aca="false">IF(COUNTA(D305:E305)=0,"",SUM(D305:E305))</f>
        <v>1201</v>
      </c>
      <c r="G305" s="52" t="n">
        <f aca="false">IF(OR(F305="",F305=0),"",D305/F305)</f>
        <v>0.554537885095754</v>
      </c>
      <c r="H305" s="52" t="n">
        <f aca="false">IF(OR(F305="",F305=0),"",E305/F305)</f>
        <v>0.445462114904247</v>
      </c>
      <c r="I305" s="21" t="s">
        <v>122</v>
      </c>
      <c r="J305" s="53" t="n">
        <v>1.86991787188303</v>
      </c>
      <c r="K305" s="52" t="n">
        <f aca="false">IF(G305="","",MAX(0,G305-J305/100))</f>
        <v>0.535838706376923</v>
      </c>
      <c r="L305" s="52" t="n">
        <f aca="false">IF(G305="","",MIN(1,G305+J305/100))</f>
        <v>0.573237063814584</v>
      </c>
      <c r="M305" s="37" t="n">
        <f aca="false">IF(F305="","",ROUND(F305*J305/100,0))</f>
        <v>22</v>
      </c>
      <c r="P305" s="54" t="n">
        <v>5.21846781191142</v>
      </c>
      <c r="Q305" s="55" t="n">
        <f aca="false">T305*$H$5</f>
        <v>1201.08993448481</v>
      </c>
      <c r="R305" s="56" t="n">
        <f aca="false">MAX(0,MIN(1,P305/100+$D$5))</f>
        <v>0.554835151256332</v>
      </c>
      <c r="S305" s="57" t="s">
        <v>225</v>
      </c>
      <c r="T305" s="55" t="n">
        <v>1201.08993448481</v>
      </c>
    </row>
    <row r="306" customFormat="false" ht="15" hidden="false" customHeight="false" outlineLevel="0" collapsed="false">
      <c r="A306" s="21" t="s">
        <v>377</v>
      </c>
      <c r="B306" s="21" t="s">
        <v>284</v>
      </c>
      <c r="C306" s="21" t="s">
        <v>465</v>
      </c>
      <c r="D306" s="37" t="n">
        <f aca="false">ROUND(Q306*R306,0)</f>
        <v>387</v>
      </c>
      <c r="E306" s="37" t="n">
        <f aca="false">ROUND(Q306,0)-D306</f>
        <v>343</v>
      </c>
      <c r="F306" s="37" t="n">
        <f aca="false">IF(COUNTA(D306:E306)=0,"",SUM(D306:E306))</f>
        <v>730</v>
      </c>
      <c r="G306" s="52" t="n">
        <f aca="false">IF(OR(F306="",F306=0),"",D306/F306)</f>
        <v>0.53013698630137</v>
      </c>
      <c r="H306" s="52" t="n">
        <f aca="false">IF(OR(F306="",F306=0),"",E306/F306)</f>
        <v>0.46986301369863</v>
      </c>
      <c r="I306" s="21" t="s">
        <v>122</v>
      </c>
      <c r="J306" s="53" t="n">
        <v>2.87918965002339</v>
      </c>
      <c r="K306" s="52" t="n">
        <f aca="false">IF(G306="","",MAX(0,G306-J306/100))</f>
        <v>0.501345089801136</v>
      </c>
      <c r="L306" s="52" t="n">
        <f aca="false">IF(G306="","",MIN(1,G306+J306/100))</f>
        <v>0.558928882801604</v>
      </c>
      <c r="M306" s="37" t="n">
        <f aca="false">IF(F306="","",ROUND(F306*J306/100,0))</f>
        <v>21</v>
      </c>
      <c r="P306" s="54" t="n">
        <v>2.79147596056002</v>
      </c>
      <c r="Q306" s="55" t="n">
        <f aca="false">T306*$H$5</f>
        <v>730.182352941177</v>
      </c>
      <c r="R306" s="56" t="n">
        <f aca="false">MAX(0,MIN(1,P306/100+$D$5))</f>
        <v>0.530565232742818</v>
      </c>
      <c r="S306" s="57" t="s">
        <v>123</v>
      </c>
      <c r="T306" s="55" t="n">
        <v>730.182352941177</v>
      </c>
    </row>
    <row r="307" customFormat="false" ht="15" hidden="false" customHeight="false" outlineLevel="0" collapsed="false">
      <c r="A307" s="21" t="s">
        <v>377</v>
      </c>
      <c r="B307" s="21" t="s">
        <v>466</v>
      </c>
      <c r="C307" s="21" t="s">
        <v>467</v>
      </c>
      <c r="D307" s="37" t="n">
        <f aca="false">ROUND(Q307*R307,0)</f>
        <v>465</v>
      </c>
      <c r="E307" s="37" t="n">
        <f aca="false">ROUND(Q307,0)-D307</f>
        <v>445</v>
      </c>
      <c r="F307" s="37" t="n">
        <f aca="false">IF(COUNTA(D307:E307)=0,"",SUM(D307:E307))</f>
        <v>910</v>
      </c>
      <c r="G307" s="52" t="n">
        <f aca="false">IF(OR(F307="",F307=0),"",D307/F307)</f>
        <v>0.510989010989011</v>
      </c>
      <c r="H307" s="52" t="n">
        <f aca="false">IF(OR(F307="",F307=0),"",E307/F307)</f>
        <v>0.489010989010989</v>
      </c>
      <c r="I307" s="21" t="s">
        <v>122</v>
      </c>
      <c r="J307" s="53" t="n">
        <v>1.9254971424187</v>
      </c>
      <c r="K307" s="52" t="n">
        <f aca="false">IF(G307="","",MAX(0,G307-J307/100))</f>
        <v>0.491734039564824</v>
      </c>
      <c r="L307" s="52" t="n">
        <f aca="false">IF(G307="","",MIN(1,G307+J307/100))</f>
        <v>0.530243982413198</v>
      </c>
      <c r="M307" s="37" t="n">
        <f aca="false">IF(F307="","",ROUND(F307*J307/100,0))</f>
        <v>18</v>
      </c>
      <c r="P307" s="54" t="n">
        <v>0.836817655205815</v>
      </c>
      <c r="Q307" s="55" t="n">
        <f aca="false">T307*$H$5</f>
        <v>910.483425414365</v>
      </c>
      <c r="R307" s="56" t="n">
        <f aca="false">MAX(0,MIN(1,P307/100+$D$5))</f>
        <v>0.511018649689276</v>
      </c>
      <c r="S307" s="57" t="s">
        <v>132</v>
      </c>
      <c r="T307" s="55" t="n">
        <v>910.483425414365</v>
      </c>
    </row>
    <row r="308" customFormat="false" ht="15" hidden="false" customHeight="false" outlineLevel="0" collapsed="false">
      <c r="A308" s="21" t="s">
        <v>377</v>
      </c>
      <c r="B308" s="21" t="s">
        <v>466</v>
      </c>
      <c r="C308" s="21" t="s">
        <v>468</v>
      </c>
      <c r="D308" s="37" t="n">
        <f aca="false">ROUND(Q308*R308,0)</f>
        <v>367</v>
      </c>
      <c r="E308" s="37" t="n">
        <f aca="false">ROUND(Q308,0)-D308</f>
        <v>334</v>
      </c>
      <c r="F308" s="37" t="n">
        <f aca="false">IF(COUNTA(D308:E308)=0,"",SUM(D308:E308))</f>
        <v>701</v>
      </c>
      <c r="G308" s="52" t="n">
        <f aca="false">IF(OR(F308="",F308=0),"",D308/F308)</f>
        <v>0.523537803138374</v>
      </c>
      <c r="H308" s="52" t="n">
        <f aca="false">IF(OR(F308="",F308=0),"",E308/F308)</f>
        <v>0.476462196861626</v>
      </c>
      <c r="I308" s="21" t="s">
        <v>122</v>
      </c>
      <c r="J308" s="53" t="n">
        <v>2.87918965002339</v>
      </c>
      <c r="K308" s="52" t="n">
        <f aca="false">IF(G308="","",MAX(0,G308-J308/100))</f>
        <v>0.49474590663814</v>
      </c>
      <c r="L308" s="52" t="n">
        <f aca="false">IF(G308="","",MIN(1,G308+J308/100))</f>
        <v>0.552329699638608</v>
      </c>
      <c r="M308" s="37" t="n">
        <f aca="false">IF(F308="","",ROUND(F308*J308/100,0))</f>
        <v>20</v>
      </c>
      <c r="P308" s="54" t="n">
        <v>2.08407361870348</v>
      </c>
      <c r="Q308" s="55" t="n">
        <f aca="false">T308*$H$5</f>
        <v>700.622033898305</v>
      </c>
      <c r="R308" s="56" t="n">
        <f aca="false">MAX(0,MIN(1,P308/100+$D$5))</f>
        <v>0.523491209324252</v>
      </c>
      <c r="S308" s="57" t="s">
        <v>123</v>
      </c>
      <c r="T308" s="55" t="n">
        <v>700.622033898305</v>
      </c>
    </row>
    <row r="309" customFormat="false" ht="15" hidden="false" customHeight="false" outlineLevel="0" collapsed="false">
      <c r="A309" s="21" t="s">
        <v>377</v>
      </c>
      <c r="B309" s="21" t="s">
        <v>466</v>
      </c>
      <c r="C309" s="21" t="s">
        <v>469</v>
      </c>
      <c r="D309" s="37" t="n">
        <f aca="false">ROUND(Q309*R309,0)</f>
        <v>542</v>
      </c>
      <c r="E309" s="37" t="n">
        <f aca="false">ROUND(Q309,0)-D309</f>
        <v>475</v>
      </c>
      <c r="F309" s="37" t="n">
        <f aca="false">IF(COUNTA(D309:E309)=0,"",SUM(D309:E309))</f>
        <v>1017</v>
      </c>
      <c r="G309" s="52" t="n">
        <f aca="false">IF(OR(F309="",F309=0),"",D309/F309)</f>
        <v>0.532940019665683</v>
      </c>
      <c r="H309" s="52" t="n">
        <f aca="false">IF(OR(F309="",F309=0),"",E309/F309)</f>
        <v>0.467059980334317</v>
      </c>
      <c r="I309" s="21" t="s">
        <v>122</v>
      </c>
      <c r="J309" s="53" t="n">
        <v>1.9254971424187</v>
      </c>
      <c r="K309" s="52" t="n">
        <f aca="false">IF(G309="","",MAX(0,G309-J309/100))</f>
        <v>0.513685048241496</v>
      </c>
      <c r="L309" s="52" t="n">
        <f aca="false">IF(G309="","",MIN(1,G309+J309/100))</f>
        <v>0.552194991089871</v>
      </c>
      <c r="M309" s="37" t="n">
        <f aca="false">IF(F309="","",ROUND(F309*J309/100,0))</f>
        <v>20</v>
      </c>
      <c r="P309" s="54" t="n">
        <v>3.09693968604205</v>
      </c>
      <c r="Q309" s="55" t="n">
        <f aca="false">T309*$H$5</f>
        <v>1016.60692951016</v>
      </c>
      <c r="R309" s="56" t="n">
        <f aca="false">MAX(0,MIN(1,P309/100+$D$5))</f>
        <v>0.533619869997638</v>
      </c>
      <c r="S309" s="57" t="s">
        <v>132</v>
      </c>
      <c r="T309" s="55" t="n">
        <v>1016.60692951016</v>
      </c>
    </row>
    <row r="310" customFormat="false" ht="15" hidden="false" customHeight="false" outlineLevel="0" collapsed="false">
      <c r="A310" s="21" t="s">
        <v>377</v>
      </c>
      <c r="B310" s="21" t="s">
        <v>470</v>
      </c>
      <c r="C310" s="21" t="s">
        <v>471</v>
      </c>
      <c r="D310" s="37" t="n">
        <f aca="false">ROUND(Q310*R310,0)</f>
        <v>473</v>
      </c>
      <c r="E310" s="37" t="n">
        <f aca="false">ROUND(Q310,0)-D310</f>
        <v>866</v>
      </c>
      <c r="F310" s="37" t="n">
        <f aca="false">IF(COUNTA(D310:E310)=0,"",SUM(D310:E310))</f>
        <v>1339</v>
      </c>
      <c r="G310" s="52" t="n">
        <f aca="false">IF(OR(F310="",F310=0),"",D310/F310)</f>
        <v>0.353248693054518</v>
      </c>
      <c r="H310" s="52" t="n">
        <f aca="false">IF(OR(F310="",F310=0),"",E310/F310)</f>
        <v>0.646751306945482</v>
      </c>
      <c r="I310" s="21" t="s">
        <v>122</v>
      </c>
      <c r="J310" s="53" t="n">
        <v>1.86991787188303</v>
      </c>
      <c r="K310" s="52" t="n">
        <f aca="false">IF(G310="","",MAX(0,G310-J310/100))</f>
        <v>0.334549514335688</v>
      </c>
      <c r="L310" s="52" t="n">
        <f aca="false">IF(G310="","",MIN(1,G310+J310/100))</f>
        <v>0.371947871773349</v>
      </c>
      <c r="M310" s="37" t="n">
        <f aca="false">IF(F310="","",ROUND(F310*J310/100,0))</f>
        <v>25</v>
      </c>
      <c r="P310" s="54" t="n">
        <v>-14.9159782117664</v>
      </c>
      <c r="Q310" s="55" t="n">
        <f aca="false">T310*$H$5</f>
        <v>1338.7974025974</v>
      </c>
      <c r="R310" s="56" t="n">
        <f aca="false">MAX(0,MIN(1,P310/100+$D$5))</f>
        <v>0.353490691019554</v>
      </c>
      <c r="S310" s="57" t="s">
        <v>225</v>
      </c>
      <c r="T310" s="55" t="n">
        <v>1338.7974025974</v>
      </c>
    </row>
    <row r="311" customFormat="false" ht="15" hidden="false" customHeight="false" outlineLevel="0" collapsed="false">
      <c r="A311" s="21" t="s">
        <v>377</v>
      </c>
      <c r="B311" s="21" t="s">
        <v>470</v>
      </c>
      <c r="C311" s="21" t="s">
        <v>472</v>
      </c>
      <c r="D311" s="37" t="n">
        <f aca="false">ROUND(Q311*R311,0)</f>
        <v>530</v>
      </c>
      <c r="E311" s="37" t="n">
        <f aca="false">ROUND(Q311,0)-D311</f>
        <v>965</v>
      </c>
      <c r="F311" s="37" t="n">
        <f aca="false">IF(COUNTA(D311:E311)=0,"",SUM(D311:E311))</f>
        <v>1495</v>
      </c>
      <c r="G311" s="52" t="n">
        <f aca="false">IF(OR(F311="",F311=0),"",D311/F311)</f>
        <v>0.354515050167224</v>
      </c>
      <c r="H311" s="52" t="n">
        <f aca="false">IF(OR(F311="",F311=0),"",E311/F311)</f>
        <v>0.645484949832776</v>
      </c>
      <c r="I311" s="21" t="s">
        <v>122</v>
      </c>
      <c r="J311" s="53" t="n">
        <v>1.86991787188303</v>
      </c>
      <c r="K311" s="52" t="n">
        <f aca="false">IF(G311="","",MAX(0,G311-J311/100))</f>
        <v>0.335815871448394</v>
      </c>
      <c r="L311" s="52" t="n">
        <f aca="false">IF(G311="","",MIN(1,G311+J311/100))</f>
        <v>0.373214228886054</v>
      </c>
      <c r="M311" s="37" t="n">
        <f aca="false">IF(F311="","",ROUND(F311*J311/100,0))</f>
        <v>28</v>
      </c>
      <c r="P311" s="54" t="n">
        <v>-14.8100522721084</v>
      </c>
      <c r="Q311" s="55" t="n">
        <f aca="false">T311*$H$5</f>
        <v>1495.44556729444</v>
      </c>
      <c r="R311" s="56" t="n">
        <f aca="false">MAX(0,MIN(1,P311/100+$D$5))</f>
        <v>0.354549950416134</v>
      </c>
      <c r="S311" s="57" t="s">
        <v>225</v>
      </c>
      <c r="T311" s="55" t="n">
        <v>1495.44556729444</v>
      </c>
    </row>
    <row r="312" customFormat="false" ht="15" hidden="false" customHeight="false" outlineLevel="0" collapsed="false">
      <c r="A312" s="21" t="s">
        <v>377</v>
      </c>
      <c r="B312" s="21" t="s">
        <v>470</v>
      </c>
      <c r="C312" s="21" t="s">
        <v>473</v>
      </c>
      <c r="D312" s="37" t="n">
        <f aca="false">ROUND(Q312*R312,0)</f>
        <v>166</v>
      </c>
      <c r="E312" s="37" t="n">
        <f aca="false">ROUND(Q312,0)-D312</f>
        <v>344</v>
      </c>
      <c r="F312" s="37" t="n">
        <f aca="false">IF(COUNTA(D312:E312)=0,"",SUM(D312:E312))</f>
        <v>510</v>
      </c>
      <c r="G312" s="52" t="n">
        <f aca="false">IF(OR(F312="",F312=0),"",D312/F312)</f>
        <v>0.325490196078431</v>
      </c>
      <c r="H312" s="52" t="n">
        <f aca="false">IF(OR(F312="",F312=0),"",E312/F312)</f>
        <v>0.674509803921569</v>
      </c>
      <c r="I312" s="21" t="s">
        <v>122</v>
      </c>
      <c r="J312" s="53" t="n">
        <v>2.87918965002339</v>
      </c>
      <c r="K312" s="52" t="n">
        <f aca="false">IF(G312="","",MAX(0,G312-J312/100))</f>
        <v>0.296698299578198</v>
      </c>
      <c r="L312" s="52" t="n">
        <f aca="false">IF(G312="","",MIN(1,G312+J312/100))</f>
        <v>0.354282092578665</v>
      </c>
      <c r="M312" s="37" t="n">
        <f aca="false">IF(F312="","",ROUND(F312*J312/100,0))</f>
        <v>15</v>
      </c>
      <c r="P312" s="54" t="n">
        <v>-17.7750231840138</v>
      </c>
      <c r="Q312" s="55" t="n">
        <f aca="false">T312*$H$5</f>
        <v>509.948921679909</v>
      </c>
      <c r="R312" s="56" t="n">
        <f aca="false">MAX(0,MIN(1,P312/100+$D$5))</f>
        <v>0.32490024129708</v>
      </c>
      <c r="S312" s="57" t="s">
        <v>123</v>
      </c>
      <c r="T312" s="55" t="n">
        <v>509.948921679909</v>
      </c>
    </row>
    <row r="313" customFormat="false" ht="15" hidden="false" customHeight="false" outlineLevel="0" collapsed="false">
      <c r="A313" s="21" t="s">
        <v>377</v>
      </c>
      <c r="B313" s="21" t="s">
        <v>470</v>
      </c>
      <c r="C313" s="21" t="s">
        <v>474</v>
      </c>
      <c r="D313" s="37" t="n">
        <f aca="false">ROUND(Q313*R313,0)</f>
        <v>418</v>
      </c>
      <c r="E313" s="37" t="n">
        <f aca="false">ROUND(Q313,0)-D313</f>
        <v>743</v>
      </c>
      <c r="F313" s="37" t="n">
        <f aca="false">IF(COUNTA(D313:E313)=0,"",SUM(D313:E313))</f>
        <v>1161</v>
      </c>
      <c r="G313" s="52" t="n">
        <f aca="false">IF(OR(F313="",F313=0),"",D313/F313)</f>
        <v>0.360034453057709</v>
      </c>
      <c r="H313" s="52" t="n">
        <f aca="false">IF(OR(F313="",F313=0),"",E313/F313)</f>
        <v>0.639965546942291</v>
      </c>
      <c r="I313" s="21" t="s">
        <v>122</v>
      </c>
      <c r="J313" s="53" t="n">
        <v>1.9254971424187</v>
      </c>
      <c r="K313" s="52" t="n">
        <f aca="false">IF(G313="","",MAX(0,G313-J313/100))</f>
        <v>0.340779481633522</v>
      </c>
      <c r="L313" s="52" t="n">
        <f aca="false">IF(G313="","",MIN(1,G313+J313/100))</f>
        <v>0.379289424481896</v>
      </c>
      <c r="M313" s="37" t="n">
        <f aca="false">IF(F313="","",ROUND(F313*J313/100,0))</f>
        <v>22</v>
      </c>
      <c r="P313" s="54" t="n">
        <v>-14.2862712542595</v>
      </c>
      <c r="Q313" s="55" t="n">
        <f aca="false">T313*$H$5</f>
        <v>1161.2700729927</v>
      </c>
      <c r="R313" s="56" t="n">
        <f aca="false">MAX(0,MIN(1,P313/100+$D$5))</f>
        <v>0.359787760594622</v>
      </c>
      <c r="S313" s="57" t="s">
        <v>132</v>
      </c>
      <c r="T313" s="55" t="n">
        <v>1161.2700729927</v>
      </c>
    </row>
    <row r="314" customFormat="false" ht="15" hidden="false" customHeight="false" outlineLevel="0" collapsed="false">
      <c r="A314" s="21" t="s">
        <v>377</v>
      </c>
      <c r="B314" s="21" t="s">
        <v>470</v>
      </c>
      <c r="C314" s="21" t="s">
        <v>475</v>
      </c>
      <c r="D314" s="37" t="n">
        <f aca="false">ROUND(Q314*R314,0)</f>
        <v>302</v>
      </c>
      <c r="E314" s="37" t="n">
        <f aca="false">ROUND(Q314,0)-D314</f>
        <v>531</v>
      </c>
      <c r="F314" s="37" t="n">
        <f aca="false">IF(COUNTA(D314:E314)=0,"",SUM(D314:E314))</f>
        <v>833</v>
      </c>
      <c r="G314" s="52" t="n">
        <f aca="false">IF(OR(F314="",F314=0),"",D314/F314)</f>
        <v>0.362545018007203</v>
      </c>
      <c r="H314" s="52" t="n">
        <f aca="false">IF(OR(F314="",F314=0),"",E314/F314)</f>
        <v>0.637454981992797</v>
      </c>
      <c r="I314" s="21" t="s">
        <v>122</v>
      </c>
      <c r="J314" s="53" t="n">
        <v>1.9254971424187</v>
      </c>
      <c r="K314" s="52" t="n">
        <f aca="false">IF(G314="","",MAX(0,G314-J314/100))</f>
        <v>0.343290046583016</v>
      </c>
      <c r="L314" s="52" t="n">
        <f aca="false">IF(G314="","",MIN(1,G314+J314/100))</f>
        <v>0.38179998943139</v>
      </c>
      <c r="M314" s="37" t="n">
        <f aca="false">IF(F314="","",ROUND(F314*J314/100,0))</f>
        <v>16</v>
      </c>
      <c r="P314" s="54" t="n">
        <v>-14.0171563808503</v>
      </c>
      <c r="Q314" s="55" t="n">
        <f aca="false">T314*$H$5</f>
        <v>833.484320557492</v>
      </c>
      <c r="R314" s="56" t="n">
        <f aca="false">MAX(0,MIN(1,P314/100+$D$5))</f>
        <v>0.362478909328715</v>
      </c>
      <c r="S314" s="57" t="s">
        <v>132</v>
      </c>
      <c r="T314" s="55" t="n">
        <v>833.484320557492</v>
      </c>
    </row>
    <row r="315" customFormat="false" ht="15" hidden="false" customHeight="false" outlineLevel="0" collapsed="false">
      <c r="A315" s="21" t="s">
        <v>377</v>
      </c>
      <c r="B315" s="21" t="s">
        <v>476</v>
      </c>
      <c r="C315" s="21" t="s">
        <v>477</v>
      </c>
      <c r="D315" s="37" t="n">
        <f aca="false">ROUND(Q315*R315,0)</f>
        <v>171</v>
      </c>
      <c r="E315" s="37" t="n">
        <f aca="false">ROUND(Q315,0)-D315</f>
        <v>304</v>
      </c>
      <c r="F315" s="37" t="n">
        <f aca="false">IF(COUNTA(D315:E315)=0,"",SUM(D315:E315))</f>
        <v>475</v>
      </c>
      <c r="G315" s="52" t="n">
        <f aca="false">IF(OR(F315="",F315=0),"",D315/F315)</f>
        <v>0.36</v>
      </c>
      <c r="H315" s="52" t="n">
        <f aca="false">IF(OR(F315="",F315=0),"",E315/F315)</f>
        <v>0.64</v>
      </c>
      <c r="I315" s="21" t="s">
        <v>122</v>
      </c>
      <c r="J315" s="53" t="n">
        <v>2.87918965002339</v>
      </c>
      <c r="K315" s="52" t="n">
        <f aca="false">IF(G315="","",MAX(0,G315-J315/100))</f>
        <v>0.331208103499766</v>
      </c>
      <c r="L315" s="52" t="n">
        <f aca="false">IF(G315="","",MIN(1,G315+J315/100))</f>
        <v>0.388791896500234</v>
      </c>
      <c r="M315" s="37" t="n">
        <f aca="false">IF(F315="","",ROUND(F315*J315/100,0))</f>
        <v>14</v>
      </c>
      <c r="P315" s="54" t="n">
        <v>-14.1663345008177</v>
      </c>
      <c r="Q315" s="55" t="n">
        <f aca="false">T315*$H$5</f>
        <v>474.666666666667</v>
      </c>
      <c r="R315" s="56" t="n">
        <f aca="false">MAX(0,MIN(1,P315/100+$D$5))</f>
        <v>0.360987128129041</v>
      </c>
      <c r="S315" s="57" t="s">
        <v>123</v>
      </c>
      <c r="T315" s="55" t="n">
        <v>474.666666666667</v>
      </c>
    </row>
    <row r="316" customFormat="false" ht="15" hidden="false" customHeight="false" outlineLevel="0" collapsed="false">
      <c r="A316" s="21" t="s">
        <v>377</v>
      </c>
      <c r="B316" s="21" t="s">
        <v>476</v>
      </c>
      <c r="C316" s="21" t="s">
        <v>478</v>
      </c>
      <c r="D316" s="37" t="n">
        <f aca="false">ROUND(Q316*R316,0)</f>
        <v>299</v>
      </c>
      <c r="E316" s="37" t="n">
        <f aca="false">ROUND(Q316,0)-D316</f>
        <v>585</v>
      </c>
      <c r="F316" s="37" t="n">
        <f aca="false">IF(COUNTA(D316:E316)=0,"",SUM(D316:E316))</f>
        <v>884</v>
      </c>
      <c r="G316" s="52" t="n">
        <f aca="false">IF(OR(F316="",F316=0),"",D316/F316)</f>
        <v>0.338235294117647</v>
      </c>
      <c r="H316" s="52" t="n">
        <f aca="false">IF(OR(F316="",F316=0),"",E316/F316)</f>
        <v>0.661764705882353</v>
      </c>
      <c r="I316" s="21" t="s">
        <v>122</v>
      </c>
      <c r="J316" s="53" t="n">
        <v>1.9254971424187</v>
      </c>
      <c r="K316" s="52" t="n">
        <f aca="false">IF(G316="","",MAX(0,G316-J316/100))</f>
        <v>0.31898032269346</v>
      </c>
      <c r="L316" s="52" t="n">
        <f aca="false">IF(G316="","",MIN(1,G316+J316/100))</f>
        <v>0.357490265541834</v>
      </c>
      <c r="M316" s="37" t="n">
        <f aca="false">IF(F316="","",ROUND(F316*J316/100,0))</f>
        <v>17</v>
      </c>
      <c r="P316" s="54" t="n">
        <v>-16.4122395400296</v>
      </c>
      <c r="Q316" s="55" t="n">
        <f aca="false">T316*$H$5</f>
        <v>884.185372918175</v>
      </c>
      <c r="R316" s="56" t="n">
        <f aca="false">MAX(0,MIN(1,P316/100+$D$5))</f>
        <v>0.338528077736922</v>
      </c>
      <c r="S316" s="57" t="s">
        <v>132</v>
      </c>
      <c r="T316" s="55" t="n">
        <v>884.185372918175</v>
      </c>
    </row>
    <row r="317" customFormat="false" ht="15" hidden="false" customHeight="false" outlineLevel="0" collapsed="false">
      <c r="A317" s="21" t="s">
        <v>377</v>
      </c>
      <c r="B317" s="21" t="s">
        <v>479</v>
      </c>
      <c r="C317" s="21" t="s">
        <v>480</v>
      </c>
      <c r="D317" s="37" t="n">
        <f aca="false">ROUND(Q317*R317,0)</f>
        <v>37</v>
      </c>
      <c r="E317" s="37" t="n">
        <f aca="false">ROUND(Q317,0)-D317</f>
        <v>51</v>
      </c>
      <c r="F317" s="37" t="n">
        <f aca="false">IF(COUNTA(D317:E317)=0,"",SUM(D317:E317))</f>
        <v>88</v>
      </c>
      <c r="G317" s="52" t="n">
        <f aca="false">IF(OR(F317="",F317=0),"",D317/F317)</f>
        <v>0.420454545454545</v>
      </c>
      <c r="H317" s="52" t="n">
        <f aca="false">IF(OR(F317="",F317=0),"",E317/F317)</f>
        <v>0.579545454545455</v>
      </c>
      <c r="I317" s="21" t="s">
        <v>223</v>
      </c>
      <c r="J317" s="53" t="n">
        <v>2.87918965002339</v>
      </c>
      <c r="K317" s="52" t="n">
        <f aca="false">IF(G317="","",MAX(0,G317-J317/100))</f>
        <v>0.391662648954312</v>
      </c>
      <c r="L317" s="52" t="n">
        <f aca="false">IF(G317="","",MIN(1,G317+J317/100))</f>
        <v>0.449246441954779</v>
      </c>
      <c r="M317" s="37" t="n">
        <f aca="false">IF(F317="","",ROUND(F317*J317/100,0))</f>
        <v>3</v>
      </c>
      <c r="P317" s="54" t="n">
        <v>-8.43053322570035</v>
      </c>
      <c r="Q317" s="55" t="n">
        <f aca="false">T317*$H$5</f>
        <v>87.7428325123506</v>
      </c>
      <c r="R317" s="56" t="n">
        <f aca="false">MAX(0,MIN(1,P317/100+$D$5))</f>
        <v>0.418345140880214</v>
      </c>
      <c r="S317" s="57" t="s">
        <v>123</v>
      </c>
      <c r="T317" s="55" t="n">
        <v>87.7428325123506</v>
      </c>
    </row>
    <row r="318" customFormat="false" ht="15" hidden="false" customHeight="false" outlineLevel="0" collapsed="false">
      <c r="A318" s="21" t="s">
        <v>377</v>
      </c>
      <c r="B318" s="21" t="s">
        <v>479</v>
      </c>
      <c r="C318" s="21" t="s">
        <v>481</v>
      </c>
      <c r="D318" s="37" t="n">
        <f aca="false">ROUND(Q318*R318,0)</f>
        <v>555</v>
      </c>
      <c r="E318" s="37" t="n">
        <f aca="false">ROUND(Q318,0)-D318</f>
        <v>592</v>
      </c>
      <c r="F318" s="37" t="n">
        <f aca="false">IF(COUNTA(D318:E318)=0,"",SUM(D318:E318))</f>
        <v>1147</v>
      </c>
      <c r="G318" s="52" t="n">
        <f aca="false">IF(OR(F318="",F318=0),"",D318/F318)</f>
        <v>0.483870967741936</v>
      </c>
      <c r="H318" s="52" t="n">
        <f aca="false">IF(OR(F318="",F318=0),"",E318/F318)</f>
        <v>0.516129032258065</v>
      </c>
      <c r="I318" s="21" t="s">
        <v>223</v>
      </c>
      <c r="J318" s="53" t="n">
        <v>1.9254971424187</v>
      </c>
      <c r="K318" s="52" t="n">
        <f aca="false">IF(G318="","",MAX(0,G318-J318/100))</f>
        <v>0.464615996317748</v>
      </c>
      <c r="L318" s="52" t="n">
        <f aca="false">IF(G318="","",MIN(1,G318+J318/100))</f>
        <v>0.503125939166123</v>
      </c>
      <c r="M318" s="37" t="n">
        <f aca="false">IF(F318="","",ROUND(F318*J318/100,0))</f>
        <v>22</v>
      </c>
      <c r="P318" s="54" t="n">
        <v>-1.82836100051709</v>
      </c>
      <c r="Q318" s="55" t="n">
        <f aca="false">T318*$H$5</f>
        <v>1146.70056333032</v>
      </c>
      <c r="R318" s="56" t="n">
        <f aca="false">MAX(0,MIN(1,P318/100+$D$5))</f>
        <v>0.484366863132047</v>
      </c>
      <c r="S318" s="57" t="s">
        <v>132</v>
      </c>
      <c r="T318" s="55" t="n">
        <v>1146.70056333032</v>
      </c>
    </row>
    <row r="319" customFormat="false" ht="15" hidden="false" customHeight="false" outlineLevel="0" collapsed="false">
      <c r="A319" s="21" t="s">
        <v>377</v>
      </c>
      <c r="B319" s="21" t="s">
        <v>479</v>
      </c>
      <c r="C319" s="21" t="s">
        <v>482</v>
      </c>
      <c r="D319" s="37" t="n">
        <f aca="false">ROUND(Q319*R319,0)</f>
        <v>432</v>
      </c>
      <c r="E319" s="37" t="n">
        <f aca="false">ROUND(Q319,0)-D319</f>
        <v>542</v>
      </c>
      <c r="F319" s="37" t="n">
        <f aca="false">IF(COUNTA(D319:E319)=0,"",SUM(D319:E319))</f>
        <v>974</v>
      </c>
      <c r="G319" s="52" t="n">
        <f aca="false">IF(OR(F319="",F319=0),"",D319/F319)</f>
        <v>0.4435318275154</v>
      </c>
      <c r="H319" s="52" t="n">
        <f aca="false">IF(OR(F319="",F319=0),"",E319/F319)</f>
        <v>0.5564681724846</v>
      </c>
      <c r="I319" s="21" t="s">
        <v>122</v>
      </c>
      <c r="J319" s="53" t="n">
        <v>1.9254971424187</v>
      </c>
      <c r="K319" s="52" t="n">
        <f aca="false">IF(G319="","",MAX(0,G319-J319/100))</f>
        <v>0.424276856091213</v>
      </c>
      <c r="L319" s="52" t="n">
        <f aca="false">IF(G319="","",MIN(1,G319+J319/100))</f>
        <v>0.462786798939587</v>
      </c>
      <c r="M319" s="37" t="n">
        <f aca="false">IF(F319="","",ROUND(F319*J319/100,0))</f>
        <v>19</v>
      </c>
      <c r="P319" s="54" t="n">
        <v>-5.88972575149868</v>
      </c>
      <c r="Q319" s="55" t="n">
        <f aca="false">T319*$H$5</f>
        <v>973.779572994807</v>
      </c>
      <c r="R319" s="56" t="n">
        <f aca="false">MAX(0,MIN(1,P319/100+$D$5))</f>
        <v>0.443753215622231</v>
      </c>
      <c r="S319" s="57" t="s">
        <v>132</v>
      </c>
      <c r="T319" s="55" t="n">
        <v>973.779572994807</v>
      </c>
    </row>
    <row r="320" customFormat="false" ht="15" hidden="false" customHeight="false" outlineLevel="0" collapsed="false">
      <c r="A320" s="21" t="s">
        <v>377</v>
      </c>
      <c r="B320" s="21" t="s">
        <v>479</v>
      </c>
      <c r="C320" s="21" t="s">
        <v>483</v>
      </c>
      <c r="D320" s="37" t="n">
        <f aca="false">ROUND(Q320*R320,0)</f>
        <v>520</v>
      </c>
      <c r="E320" s="37" t="n">
        <f aca="false">ROUND(Q320,0)-D320</f>
        <v>614</v>
      </c>
      <c r="F320" s="37" t="n">
        <f aca="false">IF(COUNTA(D320:E320)=0,"",SUM(D320:E320))</f>
        <v>1134</v>
      </c>
      <c r="G320" s="52" t="n">
        <f aca="false">IF(OR(F320="",F320=0),"",D320/F320)</f>
        <v>0.458553791887125</v>
      </c>
      <c r="H320" s="52" t="n">
        <f aca="false">IF(OR(F320="",F320=0),"",E320/F320)</f>
        <v>0.541446208112875</v>
      </c>
      <c r="I320" s="21" t="s">
        <v>223</v>
      </c>
      <c r="J320" s="53" t="n">
        <v>1.9254971424187</v>
      </c>
      <c r="K320" s="52" t="n">
        <f aca="false">IF(G320="","",MAX(0,G320-J320/100))</f>
        <v>0.439298820462938</v>
      </c>
      <c r="L320" s="52" t="n">
        <f aca="false">IF(G320="","",MIN(1,G320+J320/100))</f>
        <v>0.477808763311312</v>
      </c>
      <c r="M320" s="37" t="n">
        <f aca="false">IF(F320="","",ROUND(F320*J320/100,0))</f>
        <v>22</v>
      </c>
      <c r="P320" s="54" t="n">
        <v>-4.3864733854449</v>
      </c>
      <c r="Q320" s="55" t="n">
        <f aca="false">T320*$H$5</f>
        <v>1133.54529874144</v>
      </c>
      <c r="R320" s="56" t="n">
        <f aca="false">MAX(0,MIN(1,P320/100+$D$5))</f>
        <v>0.458785739282769</v>
      </c>
      <c r="S320" s="57" t="s">
        <v>132</v>
      </c>
      <c r="T320" s="55" t="n">
        <v>1133.54529874144</v>
      </c>
    </row>
    <row r="321" customFormat="false" ht="15" hidden="false" customHeight="false" outlineLevel="0" collapsed="false">
      <c r="A321" s="21" t="s">
        <v>377</v>
      </c>
      <c r="B321" s="21" t="s">
        <v>484</v>
      </c>
      <c r="C321" s="21" t="s">
        <v>485</v>
      </c>
      <c r="D321" s="37" t="n">
        <f aca="false">ROUND(Q321*R321,0)</f>
        <v>481</v>
      </c>
      <c r="E321" s="37" t="n">
        <f aca="false">ROUND(Q321,0)-D321</f>
        <v>459</v>
      </c>
      <c r="F321" s="37" t="n">
        <f aca="false">IF(COUNTA(D321:E321)=0,"",SUM(D321:E321))</f>
        <v>940</v>
      </c>
      <c r="G321" s="52" t="n">
        <f aca="false">IF(OR(F321="",F321=0),"",D321/F321)</f>
        <v>0.511702127659575</v>
      </c>
      <c r="H321" s="52" t="n">
        <f aca="false">IF(OR(F321="",F321=0),"",E321/F321)</f>
        <v>0.488297872340426</v>
      </c>
      <c r="I321" s="21" t="s">
        <v>122</v>
      </c>
      <c r="J321" s="53" t="n">
        <v>1.9254971424187</v>
      </c>
      <c r="K321" s="52" t="n">
        <f aca="false">IF(G321="","",MAX(0,G321-J321/100))</f>
        <v>0.492447156235387</v>
      </c>
      <c r="L321" s="52" t="n">
        <f aca="false">IF(G321="","",MIN(1,G321+J321/100))</f>
        <v>0.530957099083762</v>
      </c>
      <c r="M321" s="37" t="n">
        <f aca="false">IF(F321="","",ROUND(F321*J321/100,0))</f>
        <v>18</v>
      </c>
      <c r="P321" s="54" t="n">
        <v>0.973902100855307</v>
      </c>
      <c r="Q321" s="55" t="n">
        <f aca="false">T321*$H$5</f>
        <v>939.568965517241</v>
      </c>
      <c r="R321" s="56" t="n">
        <f aca="false">MAX(0,MIN(1,P321/100+$D$5))</f>
        <v>0.512389494145771</v>
      </c>
      <c r="S321" s="57" t="s">
        <v>132</v>
      </c>
      <c r="T321" s="55" t="n">
        <v>939.568965517241</v>
      </c>
    </row>
    <row r="322" customFormat="false" ht="15" hidden="false" customHeight="false" outlineLevel="0" collapsed="false">
      <c r="A322" s="21" t="s">
        <v>377</v>
      </c>
      <c r="B322" s="21" t="s">
        <v>484</v>
      </c>
      <c r="C322" s="21" t="s">
        <v>486</v>
      </c>
      <c r="D322" s="37" t="n">
        <f aca="false">ROUND(Q322*R322,0)</f>
        <v>533</v>
      </c>
      <c r="E322" s="37" t="n">
        <f aca="false">ROUND(Q322,0)-D322</f>
        <v>670</v>
      </c>
      <c r="F322" s="37" t="n">
        <f aca="false">IF(COUNTA(D322:E322)=0,"",SUM(D322:E322))</f>
        <v>1203</v>
      </c>
      <c r="G322" s="52" t="n">
        <f aca="false">IF(OR(F322="",F322=0),"",D322/F322)</f>
        <v>0.443059019118869</v>
      </c>
      <c r="H322" s="52" t="n">
        <f aca="false">IF(OR(F322="",F322=0),"",E322/F322)</f>
        <v>0.556940980881131</v>
      </c>
      <c r="I322" s="21" t="s">
        <v>122</v>
      </c>
      <c r="J322" s="53" t="n">
        <v>1.86991787188303</v>
      </c>
      <c r="K322" s="52" t="n">
        <f aca="false">IF(G322="","",MAX(0,G322-J322/100))</f>
        <v>0.424359840400039</v>
      </c>
      <c r="L322" s="52" t="n">
        <f aca="false">IF(G322="","",MIN(1,G322+J322/100))</f>
        <v>0.4617581978377</v>
      </c>
      <c r="M322" s="37" t="n">
        <f aca="false">IF(F322="","",ROUND(F322*J322/100,0))</f>
        <v>22</v>
      </c>
      <c r="P322" s="54" t="n">
        <v>-5.92649742006227</v>
      </c>
      <c r="Q322" s="55" t="n">
        <f aca="false">T322*$H$5</f>
        <v>1202.75915948276</v>
      </c>
      <c r="R322" s="56" t="n">
        <f aca="false">MAX(0,MIN(1,P322/100+$D$5))</f>
        <v>0.443385498936595</v>
      </c>
      <c r="S322" s="57" t="s">
        <v>225</v>
      </c>
      <c r="T322" s="55" t="n">
        <v>1202.75915948276</v>
      </c>
    </row>
    <row r="323" customFormat="false" ht="15" hidden="false" customHeight="false" outlineLevel="0" collapsed="false">
      <c r="A323" s="21" t="s">
        <v>377</v>
      </c>
      <c r="B323" s="21" t="s">
        <v>484</v>
      </c>
      <c r="C323" s="21" t="s">
        <v>487</v>
      </c>
      <c r="D323" s="37" t="n">
        <f aca="false">ROUND(Q323*R323,0)</f>
        <v>563</v>
      </c>
      <c r="E323" s="37" t="n">
        <f aca="false">ROUND(Q323,0)-D323</f>
        <v>822</v>
      </c>
      <c r="F323" s="37" t="n">
        <f aca="false">IF(COUNTA(D323:E323)=0,"",SUM(D323:E323))</f>
        <v>1385</v>
      </c>
      <c r="G323" s="52" t="n">
        <f aca="false">IF(OR(F323="",F323=0),"",D323/F323)</f>
        <v>0.406498194945848</v>
      </c>
      <c r="H323" s="52" t="n">
        <f aca="false">IF(OR(F323="",F323=0),"",E323/F323)</f>
        <v>0.593501805054152</v>
      </c>
      <c r="I323" s="21" t="s">
        <v>223</v>
      </c>
      <c r="J323" s="53" t="n">
        <v>1.86991787188303</v>
      </c>
      <c r="K323" s="52" t="n">
        <f aca="false">IF(G323="","",MAX(0,G323-J323/100))</f>
        <v>0.387799016227018</v>
      </c>
      <c r="L323" s="52" t="n">
        <f aca="false">IF(G323="","",MIN(1,G323+J323/100))</f>
        <v>0.425197373664679</v>
      </c>
      <c r="M323" s="37" t="n">
        <f aca="false">IF(F323="","",ROUND(F323*J323/100,0))</f>
        <v>26</v>
      </c>
      <c r="P323" s="54" t="n">
        <v>-9.61144468014463</v>
      </c>
      <c r="Q323" s="55" t="n">
        <f aca="false">T323*$H$5</f>
        <v>1385.41170521152</v>
      </c>
      <c r="R323" s="56" t="n">
        <f aca="false">MAX(0,MIN(1,P323/100+$D$5))</f>
        <v>0.406536026335771</v>
      </c>
      <c r="S323" s="57" t="s">
        <v>225</v>
      </c>
      <c r="T323" s="55" t="n">
        <v>1385.41170521152</v>
      </c>
    </row>
    <row r="324" customFormat="false" ht="15" hidden="false" customHeight="false" outlineLevel="0" collapsed="false">
      <c r="A324" s="21" t="s">
        <v>377</v>
      </c>
      <c r="B324" s="21" t="s">
        <v>484</v>
      </c>
      <c r="C324" s="21" t="s">
        <v>488</v>
      </c>
      <c r="D324" s="37" t="n">
        <f aca="false">ROUND(Q324*R324,0)</f>
        <v>378</v>
      </c>
      <c r="E324" s="37" t="n">
        <f aca="false">ROUND(Q324,0)-D324</f>
        <v>349</v>
      </c>
      <c r="F324" s="37" t="n">
        <f aca="false">IF(COUNTA(D324:E324)=0,"",SUM(D324:E324))</f>
        <v>727</v>
      </c>
      <c r="G324" s="52" t="n">
        <f aca="false">IF(OR(F324="",F324=0),"",D324/F324)</f>
        <v>0.519944979367263</v>
      </c>
      <c r="H324" s="52" t="n">
        <f aca="false">IF(OR(F324="",F324=0),"",E324/F324)</f>
        <v>0.480055020632737</v>
      </c>
      <c r="I324" s="21" t="s">
        <v>122</v>
      </c>
      <c r="J324" s="53" t="n">
        <v>2.87918965002339</v>
      </c>
      <c r="K324" s="52" t="n">
        <f aca="false">IF(G324="","",MAX(0,G324-J324/100))</f>
        <v>0.491153082867029</v>
      </c>
      <c r="L324" s="52" t="n">
        <f aca="false">IF(G324="","",MIN(1,G324+J324/100))</f>
        <v>0.548736875867497</v>
      </c>
      <c r="M324" s="37" t="n">
        <f aca="false">IF(F324="","",ROUND(F324*J324/100,0))</f>
        <v>21</v>
      </c>
      <c r="P324" s="54" t="n">
        <v>1.68301183758935</v>
      </c>
      <c r="Q324" s="55" t="n">
        <f aca="false">T324*$H$5</f>
        <v>727.410579345088</v>
      </c>
      <c r="R324" s="56" t="n">
        <f aca="false">MAX(0,MIN(1,P324/100+$D$5))</f>
        <v>0.519480591513111</v>
      </c>
      <c r="S324" s="57" t="s">
        <v>123</v>
      </c>
      <c r="T324" s="55" t="n">
        <v>727.410579345088</v>
      </c>
    </row>
    <row r="325" customFormat="false" ht="15" hidden="false" customHeight="false" outlineLevel="0" collapsed="false">
      <c r="A325" s="21" t="s">
        <v>377</v>
      </c>
      <c r="B325" s="21" t="s">
        <v>484</v>
      </c>
      <c r="C325" s="21" t="s">
        <v>489</v>
      </c>
      <c r="D325" s="37" t="n">
        <f aca="false">ROUND(Q325*R325,0)</f>
        <v>356</v>
      </c>
      <c r="E325" s="37" t="n">
        <f aca="false">ROUND(Q325,0)-D325</f>
        <v>490</v>
      </c>
      <c r="F325" s="37" t="n">
        <f aca="false">IF(COUNTA(D325:E325)=0,"",SUM(D325:E325))</f>
        <v>846</v>
      </c>
      <c r="G325" s="52" t="n">
        <f aca="false">IF(OR(F325="",F325=0),"",D325/F325)</f>
        <v>0.42080378250591</v>
      </c>
      <c r="H325" s="52" t="n">
        <f aca="false">IF(OR(F325="",F325=0),"",E325/F325)</f>
        <v>0.57919621749409</v>
      </c>
      <c r="I325" s="21" t="s">
        <v>122</v>
      </c>
      <c r="J325" s="53" t="n">
        <v>1.9254971424187</v>
      </c>
      <c r="K325" s="52" t="n">
        <f aca="false">IF(G325="","",MAX(0,G325-J325/100))</f>
        <v>0.401548811081723</v>
      </c>
      <c r="L325" s="52" t="n">
        <f aca="false">IF(G325="","",MIN(1,G325+J325/100))</f>
        <v>0.440058753930097</v>
      </c>
      <c r="M325" s="37" t="n">
        <f aca="false">IF(F325="","",ROUND(F325*J325/100,0))</f>
        <v>16</v>
      </c>
      <c r="P325" s="54" t="n">
        <v>-8.13444482759967</v>
      </c>
      <c r="Q325" s="55" t="n">
        <f aca="false">T325*$H$5</f>
        <v>845.732235701906</v>
      </c>
      <c r="R325" s="56" t="n">
        <f aca="false">MAX(0,MIN(1,P325/100+$D$5))</f>
        <v>0.421306024861221</v>
      </c>
      <c r="S325" s="57" t="s">
        <v>132</v>
      </c>
      <c r="T325" s="55" t="n">
        <v>845.732235701906</v>
      </c>
    </row>
    <row r="326" customFormat="false" ht="15" hidden="false" customHeight="false" outlineLevel="0" collapsed="false">
      <c r="A326" s="21" t="s">
        <v>377</v>
      </c>
      <c r="B326" s="21" t="s">
        <v>484</v>
      </c>
      <c r="C326" s="21" t="s">
        <v>490</v>
      </c>
      <c r="D326" s="37" t="n">
        <f aca="false">ROUND(Q326*R326,0)</f>
        <v>1611</v>
      </c>
      <c r="E326" s="37" t="n">
        <f aca="false">ROUND(Q326,0)-D326</f>
        <v>1883</v>
      </c>
      <c r="F326" s="37" t="n">
        <f aca="false">IF(COUNTA(D326:E326)=0,"",SUM(D326:E326))</f>
        <v>3494</v>
      </c>
      <c r="G326" s="52" t="n">
        <f aca="false">IF(OR(F326="",F326=0),"",D326/F326)</f>
        <v>0.461076130509445</v>
      </c>
      <c r="H326" s="52" t="n">
        <f aca="false">IF(OR(F326="",F326=0),"",E326/F326)</f>
        <v>0.538923869490555</v>
      </c>
      <c r="I326" s="21" t="s">
        <v>223</v>
      </c>
      <c r="J326" s="53" t="n">
        <v>1.86991787188303</v>
      </c>
      <c r="K326" s="52" t="n">
        <f aca="false">IF(G326="","",MAX(0,G326-J326/100))</f>
        <v>0.442376951790614</v>
      </c>
      <c r="L326" s="52" t="n">
        <f aca="false">IF(G326="","",MIN(1,G326+J326/100))</f>
        <v>0.479775309228275</v>
      </c>
      <c r="M326" s="37" t="n">
        <f aca="false">IF(F326="","",ROUND(F326*J326/100,0))</f>
        <v>65</v>
      </c>
      <c r="P326" s="54" t="n">
        <v>-4.15703503935749</v>
      </c>
      <c r="Q326" s="55" t="n">
        <f aca="false">T326*$H$5</f>
        <v>3493.82614316946</v>
      </c>
      <c r="R326" s="56" t="n">
        <f aca="false">MAX(0,MIN(1,P326/100+$D$5))</f>
        <v>0.461080122743643</v>
      </c>
      <c r="S326" s="57" t="s">
        <v>225</v>
      </c>
      <c r="T326" s="55" t="n">
        <v>3493.82614316946</v>
      </c>
    </row>
    <row r="327" customFormat="false" ht="15" hidden="false" customHeight="false" outlineLevel="0" collapsed="false">
      <c r="A327" s="21" t="s">
        <v>377</v>
      </c>
      <c r="B327" s="21" t="s">
        <v>491</v>
      </c>
      <c r="C327" s="21" t="s">
        <v>492</v>
      </c>
      <c r="D327" s="37" t="n">
        <f aca="false">ROUND(Q327*R327,0)</f>
        <v>333</v>
      </c>
      <c r="E327" s="37" t="n">
        <f aca="false">ROUND(Q327,0)-D327</f>
        <v>619</v>
      </c>
      <c r="F327" s="37" t="n">
        <f aca="false">IF(COUNTA(D327:E327)=0,"",SUM(D327:E327))</f>
        <v>952</v>
      </c>
      <c r="G327" s="52" t="n">
        <f aca="false">IF(OR(F327="",F327=0),"",D327/F327)</f>
        <v>0.349789915966387</v>
      </c>
      <c r="H327" s="52" t="n">
        <f aca="false">IF(OR(F327="",F327=0),"",E327/F327)</f>
        <v>0.650210084033614</v>
      </c>
      <c r="I327" s="21" t="s">
        <v>122</v>
      </c>
      <c r="J327" s="53" t="n">
        <v>1.9254971424187</v>
      </c>
      <c r="K327" s="52" t="n">
        <f aca="false">IF(G327="","",MAX(0,G327-J327/100))</f>
        <v>0.3305349445422</v>
      </c>
      <c r="L327" s="52" t="n">
        <f aca="false">IF(G327="","",MIN(1,G327+J327/100))</f>
        <v>0.369044887390574</v>
      </c>
      <c r="M327" s="37" t="n">
        <f aca="false">IF(F327="","",ROUND(F327*J327/100,0))</f>
        <v>18</v>
      </c>
      <c r="P327" s="54" t="n">
        <v>-15.2980786255072</v>
      </c>
      <c r="Q327" s="55" t="n">
        <f aca="false">T327*$H$5</f>
        <v>951.894508670521</v>
      </c>
      <c r="R327" s="56" t="n">
        <f aca="false">MAX(0,MIN(1,P327/100+$D$5))</f>
        <v>0.349669686882146</v>
      </c>
      <c r="S327" s="57" t="s">
        <v>132</v>
      </c>
      <c r="T327" s="55" t="n">
        <v>951.894508670521</v>
      </c>
    </row>
    <row r="328" customFormat="false" ht="15" hidden="false" customHeight="false" outlineLevel="0" collapsed="false">
      <c r="A328" s="21" t="s">
        <v>377</v>
      </c>
      <c r="B328" s="21" t="s">
        <v>491</v>
      </c>
      <c r="C328" s="21" t="s">
        <v>493</v>
      </c>
      <c r="D328" s="37" t="n">
        <f aca="false">ROUND(Q328*R328,0)</f>
        <v>672</v>
      </c>
      <c r="E328" s="37" t="n">
        <f aca="false">ROUND(Q328,0)-D328</f>
        <v>1236</v>
      </c>
      <c r="F328" s="37" t="n">
        <f aca="false">IF(COUNTA(D328:E328)=0,"",SUM(D328:E328))</f>
        <v>1908</v>
      </c>
      <c r="G328" s="52" t="n">
        <f aca="false">IF(OR(F328="",F328=0),"",D328/F328)</f>
        <v>0.352201257861635</v>
      </c>
      <c r="H328" s="52" t="n">
        <f aca="false">IF(OR(F328="",F328=0),"",E328/F328)</f>
        <v>0.647798742138365</v>
      </c>
      <c r="I328" s="21" t="s">
        <v>122</v>
      </c>
      <c r="J328" s="53" t="n">
        <v>1.86991787188303</v>
      </c>
      <c r="K328" s="52" t="n">
        <f aca="false">IF(G328="","",MAX(0,G328-J328/100))</f>
        <v>0.333502079142805</v>
      </c>
      <c r="L328" s="52" t="n">
        <f aca="false">IF(G328="","",MIN(1,G328+J328/100))</f>
        <v>0.370900436580466</v>
      </c>
      <c r="M328" s="37" t="n">
        <f aca="false">IF(F328="","",ROUND(F328*J328/100,0))</f>
        <v>36</v>
      </c>
      <c r="P328" s="54" t="n">
        <v>-15.0432515425175</v>
      </c>
      <c r="Q328" s="55" t="n">
        <f aca="false">T328*$H$5</f>
        <v>1907.80833039181</v>
      </c>
      <c r="R328" s="56" t="n">
        <f aca="false">MAX(0,MIN(1,P328/100+$D$5))</f>
        <v>0.352217957712042</v>
      </c>
      <c r="S328" s="57" t="s">
        <v>225</v>
      </c>
      <c r="T328" s="55" t="n">
        <v>1907.80833039181</v>
      </c>
    </row>
    <row r="329" customFormat="false" ht="15" hidden="false" customHeight="false" outlineLevel="0" collapsed="false">
      <c r="A329" s="21" t="s">
        <v>377</v>
      </c>
      <c r="B329" s="21" t="s">
        <v>491</v>
      </c>
      <c r="C329" s="21" t="s">
        <v>494</v>
      </c>
      <c r="D329" s="37" t="n">
        <f aca="false">ROUND(Q329*R329,0)</f>
        <v>442</v>
      </c>
      <c r="E329" s="37" t="n">
        <f aca="false">ROUND(Q329,0)-D329</f>
        <v>905</v>
      </c>
      <c r="F329" s="37" t="n">
        <f aca="false">IF(COUNTA(D329:E329)=0,"",SUM(D329:E329))</f>
        <v>1347</v>
      </c>
      <c r="G329" s="52" t="n">
        <f aca="false">IF(OR(F329="",F329=0),"",D329/F329)</f>
        <v>0.328136599851522</v>
      </c>
      <c r="H329" s="52" t="n">
        <f aca="false">IF(OR(F329="",F329=0),"",E329/F329)</f>
        <v>0.671863400148478</v>
      </c>
      <c r="I329" s="21" t="s">
        <v>122</v>
      </c>
      <c r="J329" s="53" t="n">
        <v>1.86991787188303</v>
      </c>
      <c r="K329" s="52" t="n">
        <f aca="false">IF(G329="","",MAX(0,G329-J329/100))</f>
        <v>0.309437421132692</v>
      </c>
      <c r="L329" s="52" t="n">
        <f aca="false">IF(G329="","",MIN(1,G329+J329/100))</f>
        <v>0.346835778570352</v>
      </c>
      <c r="M329" s="37" t="n">
        <f aca="false">IF(F329="","",ROUND(F329*J329/100,0))</f>
        <v>25</v>
      </c>
      <c r="P329" s="54" t="n">
        <v>-17.4674515409862</v>
      </c>
      <c r="Q329" s="55" t="n">
        <f aca="false">T329*$H$5</f>
        <v>1347</v>
      </c>
      <c r="R329" s="56" t="n">
        <f aca="false">MAX(0,MIN(1,P329/100+$D$5))</f>
        <v>0.327975957727355</v>
      </c>
      <c r="S329" s="57" t="s">
        <v>225</v>
      </c>
      <c r="T329" s="55" t="n">
        <v>1347</v>
      </c>
    </row>
    <row r="330" customFormat="false" ht="15" hidden="false" customHeight="false" outlineLevel="0" collapsed="false">
      <c r="A330" s="21" t="s">
        <v>377</v>
      </c>
      <c r="B330" s="21" t="s">
        <v>491</v>
      </c>
      <c r="C330" s="21" t="s">
        <v>495</v>
      </c>
      <c r="D330" s="37" t="n">
        <f aca="false">ROUND(Q330*R330,0)</f>
        <v>216</v>
      </c>
      <c r="E330" s="37" t="n">
        <f aca="false">ROUND(Q330,0)-D330</f>
        <v>424</v>
      </c>
      <c r="F330" s="37" t="n">
        <f aca="false">IF(COUNTA(D330:E330)=0,"",SUM(D330:E330))</f>
        <v>640</v>
      </c>
      <c r="G330" s="52" t="n">
        <f aca="false">IF(OR(F330="",F330=0),"",D330/F330)</f>
        <v>0.3375</v>
      </c>
      <c r="H330" s="52" t="n">
        <f aca="false">IF(OR(F330="",F330=0),"",E330/F330)</f>
        <v>0.6625</v>
      </c>
      <c r="I330" s="21" t="s">
        <v>122</v>
      </c>
      <c r="J330" s="53" t="n">
        <v>2.87918965002339</v>
      </c>
      <c r="K330" s="52" t="n">
        <f aca="false">IF(G330="","",MAX(0,G330-J330/100))</f>
        <v>0.308708103499766</v>
      </c>
      <c r="L330" s="52" t="n">
        <f aca="false">IF(G330="","",MIN(1,G330+J330/100))</f>
        <v>0.366291896500234</v>
      </c>
      <c r="M330" s="37" t="n">
        <f aca="false">IF(F330="","",ROUND(F330*J330/100,0))</f>
        <v>18</v>
      </c>
      <c r="P330" s="54" t="n">
        <v>-16.5155245706091</v>
      </c>
      <c r="Q330" s="55" t="n">
        <f aca="false">T330*$H$5</f>
        <v>640.169811320755</v>
      </c>
      <c r="R330" s="56" t="n">
        <f aca="false">MAX(0,MIN(1,P330/100+$D$5))</f>
        <v>0.337495227431126</v>
      </c>
      <c r="S330" s="57" t="s">
        <v>123</v>
      </c>
      <c r="T330" s="55" t="n">
        <v>640.169811320755</v>
      </c>
    </row>
    <row r="331" customFormat="false" ht="15" hidden="false" customHeight="false" outlineLevel="0" collapsed="false">
      <c r="A331" s="21" t="s">
        <v>377</v>
      </c>
      <c r="B331" s="21" t="s">
        <v>496</v>
      </c>
      <c r="C331" s="21" t="s">
        <v>497</v>
      </c>
      <c r="D331" s="37" t="n">
        <f aca="false">ROUND(Q331*R331,0)</f>
        <v>494</v>
      </c>
      <c r="E331" s="37" t="n">
        <f aca="false">ROUND(Q331,0)-D331</f>
        <v>484</v>
      </c>
      <c r="F331" s="37" t="n">
        <f aca="false">IF(COUNTA(D331:E331)=0,"",SUM(D331:E331))</f>
        <v>978</v>
      </c>
      <c r="G331" s="52" t="n">
        <f aca="false">IF(OR(F331="",F331=0),"",D331/F331)</f>
        <v>0.505112474437628</v>
      </c>
      <c r="H331" s="52" t="n">
        <f aca="false">IF(OR(F331="",F331=0),"",E331/F331)</f>
        <v>0.494887525562372</v>
      </c>
      <c r="I331" s="21" t="s">
        <v>122</v>
      </c>
      <c r="J331" s="53" t="n">
        <v>1.9254971424187</v>
      </c>
      <c r="K331" s="52" t="n">
        <f aca="false">IF(G331="","",MAX(0,G331-J331/100))</f>
        <v>0.485857503013441</v>
      </c>
      <c r="L331" s="52" t="n">
        <f aca="false">IF(G331="","",MIN(1,G331+J331/100))</f>
        <v>0.524367445861815</v>
      </c>
      <c r="M331" s="37" t="n">
        <f aca="false">IF(F331="","",ROUND(F331*J331/100,0))</f>
        <v>19</v>
      </c>
      <c r="P331" s="54" t="n">
        <v>0.219139232979906</v>
      </c>
      <c r="Q331" s="55" t="n">
        <f aca="false">T331*$H$5</f>
        <v>978.044260027662</v>
      </c>
      <c r="R331" s="56" t="n">
        <f aca="false">MAX(0,MIN(1,P331/100+$D$5))</f>
        <v>0.504841865467017</v>
      </c>
      <c r="S331" s="57" t="s">
        <v>132</v>
      </c>
      <c r="T331" s="55" t="n">
        <v>978.044260027662</v>
      </c>
    </row>
    <row r="332" customFormat="false" ht="15" hidden="false" customHeight="false" outlineLevel="0" collapsed="false">
      <c r="A332" s="21" t="s">
        <v>377</v>
      </c>
      <c r="B332" s="21" t="s">
        <v>496</v>
      </c>
      <c r="C332" s="21" t="s">
        <v>498</v>
      </c>
      <c r="D332" s="37" t="n">
        <f aca="false">ROUND(Q332*R332,0)</f>
        <v>406</v>
      </c>
      <c r="E332" s="37" t="n">
        <f aca="false">ROUND(Q332,0)-D332</f>
        <v>375</v>
      </c>
      <c r="F332" s="37" t="n">
        <f aca="false">IF(COUNTA(D332:E332)=0,"",SUM(D332:E332))</f>
        <v>781</v>
      </c>
      <c r="G332" s="52" t="n">
        <f aca="false">IF(OR(F332="",F332=0),"",D332/F332)</f>
        <v>0.519846350832266</v>
      </c>
      <c r="H332" s="52" t="n">
        <f aca="false">IF(OR(F332="",F332=0),"",E332/F332)</f>
        <v>0.480153649167734</v>
      </c>
      <c r="I332" s="21" t="s">
        <v>122</v>
      </c>
      <c r="J332" s="53" t="n">
        <v>1.9254971424187</v>
      </c>
      <c r="K332" s="52" t="n">
        <f aca="false">IF(G332="","",MAX(0,G332-J332/100))</f>
        <v>0.500591379408079</v>
      </c>
      <c r="L332" s="52" t="n">
        <f aca="false">IF(G332="","",MIN(1,G332+J332/100))</f>
        <v>0.539101322256454</v>
      </c>
      <c r="M332" s="37" t="n">
        <f aca="false">IF(F332="","",ROUND(F332*J332/100,0))</f>
        <v>15</v>
      </c>
      <c r="P332" s="54" t="n">
        <v>1.77775752624774</v>
      </c>
      <c r="Q332" s="55" t="n">
        <f aca="false">T332*$H$5</f>
        <v>780.745236414961</v>
      </c>
      <c r="R332" s="56" t="n">
        <f aca="false">MAX(0,MIN(1,P332/100+$D$5))</f>
        <v>0.520428048399695</v>
      </c>
      <c r="S332" s="57" t="s">
        <v>132</v>
      </c>
      <c r="T332" s="55" t="n">
        <v>780.745236414961</v>
      </c>
    </row>
    <row r="333" customFormat="false" ht="15" hidden="false" customHeight="false" outlineLevel="0" collapsed="false">
      <c r="A333" s="21" t="s">
        <v>377</v>
      </c>
      <c r="B333" s="21" t="s">
        <v>496</v>
      </c>
      <c r="C333" s="21" t="s">
        <v>499</v>
      </c>
      <c r="D333" s="37" t="n">
        <f aca="false">ROUND(Q333*R333,0)</f>
        <v>380</v>
      </c>
      <c r="E333" s="37" t="n">
        <f aca="false">ROUND(Q333,0)-D333</f>
        <v>377</v>
      </c>
      <c r="F333" s="37" t="n">
        <f aca="false">IF(COUNTA(D333:E333)=0,"",SUM(D333:E333))</f>
        <v>757</v>
      </c>
      <c r="G333" s="52" t="n">
        <f aca="false">IF(OR(F333="",F333=0),"",D333/F333)</f>
        <v>0.501981505944518</v>
      </c>
      <c r="H333" s="52" t="n">
        <f aca="false">IF(OR(F333="",F333=0),"",E333/F333)</f>
        <v>0.498018494055482</v>
      </c>
      <c r="I333" s="21" t="s">
        <v>122</v>
      </c>
      <c r="J333" s="53" t="n">
        <v>2.87918965002339</v>
      </c>
      <c r="K333" s="52" t="n">
        <f aca="false">IF(G333="","",MAX(0,G333-J333/100))</f>
        <v>0.473189609444284</v>
      </c>
      <c r="L333" s="52" t="n">
        <f aca="false">IF(G333="","",MIN(1,G333+J333/100))</f>
        <v>0.530773402444752</v>
      </c>
      <c r="M333" s="37" t="n">
        <f aca="false">IF(F333="","",ROUND(F333*J333/100,0))</f>
        <v>22</v>
      </c>
      <c r="P333" s="54" t="n">
        <v>-0.0421399081857693</v>
      </c>
      <c r="Q333" s="55" t="n">
        <f aca="false">T333*$H$5</f>
        <v>757.126771653543</v>
      </c>
      <c r="R333" s="56" t="n">
        <f aca="false">MAX(0,MIN(1,P333/100+$D$5))</f>
        <v>0.50222907405536</v>
      </c>
      <c r="S333" s="57" t="s">
        <v>123</v>
      </c>
      <c r="T333" s="55" t="n">
        <v>757.126771653543</v>
      </c>
    </row>
    <row r="334" customFormat="false" ht="15" hidden="false" customHeight="false" outlineLevel="0" collapsed="false">
      <c r="A334" s="21" t="s">
        <v>377</v>
      </c>
      <c r="B334" s="21" t="s">
        <v>500</v>
      </c>
      <c r="C334" s="21" t="s">
        <v>501</v>
      </c>
      <c r="D334" s="37" t="n">
        <f aca="false">ROUND(Q334*R334,0)</f>
        <v>186</v>
      </c>
      <c r="E334" s="37" t="n">
        <f aca="false">ROUND(Q334,0)-D334</f>
        <v>197</v>
      </c>
      <c r="F334" s="37" t="n">
        <f aca="false">IF(COUNTA(D334:E334)=0,"",SUM(D334:E334))</f>
        <v>383</v>
      </c>
      <c r="G334" s="52" t="n">
        <f aca="false">IF(OR(F334="",F334=0),"",D334/F334)</f>
        <v>0.485639686684073</v>
      </c>
      <c r="H334" s="52" t="n">
        <f aca="false">IF(OR(F334="",F334=0),"",E334/F334)</f>
        <v>0.514360313315927</v>
      </c>
      <c r="I334" s="21" t="s">
        <v>122</v>
      </c>
      <c r="J334" s="53" t="n">
        <v>2.87918965002339</v>
      </c>
      <c r="K334" s="52" t="n">
        <f aca="false">IF(G334="","",MAX(0,G334-J334/100))</f>
        <v>0.456847790183839</v>
      </c>
      <c r="L334" s="52" t="n">
        <f aca="false">IF(G334="","",MIN(1,G334+J334/100))</f>
        <v>0.514431583184307</v>
      </c>
      <c r="M334" s="37" t="n">
        <f aca="false">IF(F334="","",ROUND(F334*J334/100,0))</f>
        <v>11</v>
      </c>
      <c r="P334" s="54" t="n">
        <v>-1.83324494916978</v>
      </c>
      <c r="Q334" s="55" t="n">
        <f aca="false">T334*$H$5</f>
        <v>383.103139013453</v>
      </c>
      <c r="R334" s="56" t="n">
        <f aca="false">MAX(0,MIN(1,P334/100+$D$5))</f>
        <v>0.48431802364552</v>
      </c>
      <c r="S334" s="57" t="s">
        <v>123</v>
      </c>
      <c r="T334" s="55" t="n">
        <v>383.103139013453</v>
      </c>
    </row>
    <row r="335" customFormat="false" ht="15" hidden="false" customHeight="false" outlineLevel="0" collapsed="false">
      <c r="A335" s="21" t="s">
        <v>377</v>
      </c>
      <c r="B335" s="21" t="s">
        <v>500</v>
      </c>
      <c r="C335" s="21" t="s">
        <v>502</v>
      </c>
      <c r="D335" s="37" t="n">
        <f aca="false">ROUND(Q335*R335,0)</f>
        <v>542</v>
      </c>
      <c r="E335" s="37" t="n">
        <f aca="false">ROUND(Q335,0)-D335</f>
        <v>507</v>
      </c>
      <c r="F335" s="37" t="n">
        <f aca="false">IF(COUNTA(D335:E335)=0,"",SUM(D335:E335))</f>
        <v>1049</v>
      </c>
      <c r="G335" s="52" t="n">
        <f aca="false">IF(OR(F335="",F335=0),"",D335/F335)</f>
        <v>0.516682554814109</v>
      </c>
      <c r="H335" s="52" t="n">
        <f aca="false">IF(OR(F335="",F335=0),"",E335/F335)</f>
        <v>0.483317445185891</v>
      </c>
      <c r="I335" s="21" t="s">
        <v>122</v>
      </c>
      <c r="J335" s="53" t="n">
        <v>1.9254971424187</v>
      </c>
      <c r="K335" s="52" t="n">
        <f aca="false">IF(G335="","",MAX(0,G335-J335/100))</f>
        <v>0.497427583389922</v>
      </c>
      <c r="L335" s="52" t="n">
        <f aca="false">IF(G335="","",MIN(1,G335+J335/100))</f>
        <v>0.535937526238296</v>
      </c>
      <c r="M335" s="37" t="n">
        <f aca="false">IF(F335="","",ROUND(F335*J335/100,0))</f>
        <v>20</v>
      </c>
      <c r="P335" s="54" t="n">
        <v>1.34935456291215</v>
      </c>
      <c r="Q335" s="55" t="n">
        <f aca="false">T335*$H$5</f>
        <v>1049.22431259045</v>
      </c>
      <c r="R335" s="56" t="n">
        <f aca="false">MAX(0,MIN(1,P335/100+$D$5))</f>
        <v>0.516144018766339</v>
      </c>
      <c r="S335" s="57" t="s">
        <v>132</v>
      </c>
      <c r="T335" s="55" t="n">
        <v>1049.22431259045</v>
      </c>
    </row>
    <row r="336" customFormat="false" ht="15" hidden="false" customHeight="false" outlineLevel="0" collapsed="false">
      <c r="A336" s="21" t="s">
        <v>377</v>
      </c>
      <c r="B336" s="21" t="s">
        <v>503</v>
      </c>
      <c r="C336" s="21" t="s">
        <v>504</v>
      </c>
      <c r="D336" s="37" t="n">
        <f aca="false">ROUND(Q336*R336,0)</f>
        <v>508</v>
      </c>
      <c r="E336" s="37" t="n">
        <f aca="false">ROUND(Q336,0)-D336</f>
        <v>520</v>
      </c>
      <c r="F336" s="37" t="n">
        <f aca="false">IF(COUNTA(D336:E336)=0,"",SUM(D336:E336))</f>
        <v>1028</v>
      </c>
      <c r="G336" s="52" t="n">
        <f aca="false">IF(OR(F336="",F336=0),"",D336/F336)</f>
        <v>0.494163424124514</v>
      </c>
      <c r="H336" s="52" t="n">
        <f aca="false">IF(OR(F336="",F336=0),"",E336/F336)</f>
        <v>0.505836575875486</v>
      </c>
      <c r="I336" s="21" t="s">
        <v>122</v>
      </c>
      <c r="J336" s="53" t="n">
        <v>1.9254971424187</v>
      </c>
      <c r="K336" s="52" t="n">
        <f aca="false">IF(G336="","",MAX(0,G336-J336/100))</f>
        <v>0.474908452700327</v>
      </c>
      <c r="L336" s="52" t="n">
        <f aca="false">IF(G336="","",MIN(1,G336+J336/100))</f>
        <v>0.513418395548701</v>
      </c>
      <c r="M336" s="37" t="n">
        <f aca="false">IF(F336="","",ROUND(F336*J336/100,0))</f>
        <v>20</v>
      </c>
      <c r="P336" s="54" t="n">
        <v>-0.782548953112303</v>
      </c>
      <c r="Q336" s="55" t="n">
        <f aca="false">T336*$H$5</f>
        <v>1027.55404570723</v>
      </c>
      <c r="R336" s="56" t="n">
        <f aca="false">MAX(0,MIN(1,P336/100+$D$5))</f>
        <v>0.494824983606095</v>
      </c>
      <c r="S336" s="57" t="s">
        <v>132</v>
      </c>
      <c r="T336" s="55" t="n">
        <v>1027.55404570723</v>
      </c>
    </row>
    <row r="337" customFormat="false" ht="15" hidden="false" customHeight="false" outlineLevel="0" collapsed="false">
      <c r="A337" s="21" t="s">
        <v>377</v>
      </c>
      <c r="B337" s="21" t="s">
        <v>503</v>
      </c>
      <c r="C337" s="21" t="s">
        <v>505</v>
      </c>
      <c r="D337" s="37" t="n">
        <f aca="false">ROUND(Q337*R337,0)</f>
        <v>443</v>
      </c>
      <c r="E337" s="37" t="n">
        <f aca="false">ROUND(Q337,0)-D337</f>
        <v>425</v>
      </c>
      <c r="F337" s="37" t="n">
        <f aca="false">IF(COUNTA(D337:E337)=0,"",SUM(D337:E337))</f>
        <v>868</v>
      </c>
      <c r="G337" s="52" t="n">
        <f aca="false">IF(OR(F337="",F337=0),"",D337/F337)</f>
        <v>0.51036866359447</v>
      </c>
      <c r="H337" s="52" t="n">
        <f aca="false">IF(OR(F337="",F337=0),"",E337/F337)</f>
        <v>0.48963133640553</v>
      </c>
      <c r="I337" s="21" t="s">
        <v>122</v>
      </c>
      <c r="J337" s="53" t="n">
        <v>1.9254971424187</v>
      </c>
      <c r="K337" s="52" t="n">
        <f aca="false">IF(G337="","",MAX(0,G337-J337/100))</f>
        <v>0.491113692170283</v>
      </c>
      <c r="L337" s="52" t="n">
        <f aca="false">IF(G337="","",MIN(1,G337+J337/100))</f>
        <v>0.529623635018657</v>
      </c>
      <c r="M337" s="37" t="n">
        <f aca="false">IF(F337="","",ROUND(F337*J337/100,0))</f>
        <v>17</v>
      </c>
      <c r="P337" s="54" t="n">
        <v>0.797808438259507</v>
      </c>
      <c r="Q337" s="55" t="n">
        <f aca="false">T337*$H$5</f>
        <v>867.502130249544</v>
      </c>
      <c r="R337" s="56" t="n">
        <f aca="false">MAX(0,MIN(1,P337/100+$D$5))</f>
        <v>0.510628557519813</v>
      </c>
      <c r="S337" s="57" t="s">
        <v>132</v>
      </c>
      <c r="T337" s="55" t="n">
        <v>867.502130249544</v>
      </c>
    </row>
    <row r="338" customFormat="false" ht="15" hidden="false" customHeight="false" outlineLevel="0" collapsed="false">
      <c r="A338" s="21" t="s">
        <v>377</v>
      </c>
      <c r="B338" s="21" t="s">
        <v>503</v>
      </c>
      <c r="C338" s="21" t="s">
        <v>506</v>
      </c>
      <c r="D338" s="37" t="n">
        <f aca="false">ROUND(Q338*R338,0)</f>
        <v>925</v>
      </c>
      <c r="E338" s="37" t="n">
        <f aca="false">ROUND(Q338,0)-D338</f>
        <v>949</v>
      </c>
      <c r="F338" s="37" t="n">
        <f aca="false">IF(COUNTA(D338:E338)=0,"",SUM(D338:E338))</f>
        <v>1874</v>
      </c>
      <c r="G338" s="52" t="n">
        <f aca="false">IF(OR(F338="",F338=0),"",D338/F338)</f>
        <v>0.493596584845251</v>
      </c>
      <c r="H338" s="52" t="n">
        <f aca="false">IF(OR(F338="",F338=0),"",E338/F338)</f>
        <v>0.506403415154749</v>
      </c>
      <c r="I338" s="21" t="s">
        <v>122</v>
      </c>
      <c r="J338" s="53" t="n">
        <v>1.86991787188303</v>
      </c>
      <c r="K338" s="52" t="n">
        <f aca="false">IF(G338="","",MAX(0,G338-J338/100))</f>
        <v>0.474897406126421</v>
      </c>
      <c r="L338" s="52" t="n">
        <f aca="false">IF(G338="","",MIN(1,G338+J338/100))</f>
        <v>0.512295763564081</v>
      </c>
      <c r="M338" s="37" t="n">
        <f aca="false">IF(F338="","",ROUND(F338*J338/100,0))</f>
        <v>35</v>
      </c>
      <c r="P338" s="54" t="n">
        <v>-0.89702732460598</v>
      </c>
      <c r="Q338" s="55" t="n">
        <f aca="false">T338*$H$5</f>
        <v>1873.94361294814</v>
      </c>
      <c r="R338" s="56" t="n">
        <f aca="false">MAX(0,MIN(1,P338/100+$D$5))</f>
        <v>0.493680199891158</v>
      </c>
      <c r="S338" s="57" t="s">
        <v>225</v>
      </c>
      <c r="T338" s="55" t="n">
        <v>1873.94361294814</v>
      </c>
    </row>
    <row r="339" customFormat="false" ht="15" hidden="false" customHeight="false" outlineLevel="0" collapsed="false">
      <c r="A339" s="21" t="s">
        <v>377</v>
      </c>
      <c r="B339" s="21" t="s">
        <v>503</v>
      </c>
      <c r="C339" s="21" t="s">
        <v>507</v>
      </c>
      <c r="D339" s="37" t="n">
        <f aca="false">ROUND(Q339*R339,0)</f>
        <v>190</v>
      </c>
      <c r="E339" s="37" t="n">
        <f aca="false">ROUND(Q339,0)-D339</f>
        <v>208</v>
      </c>
      <c r="F339" s="37" t="n">
        <f aca="false">IF(COUNTA(D339:E339)=0,"",SUM(D339:E339))</f>
        <v>398</v>
      </c>
      <c r="G339" s="52" t="n">
        <f aca="false">IF(OR(F339="",F339=0),"",D339/F339)</f>
        <v>0.477386934673367</v>
      </c>
      <c r="H339" s="52" t="n">
        <f aca="false">IF(OR(F339="",F339=0),"",E339/F339)</f>
        <v>0.522613065326633</v>
      </c>
      <c r="I339" s="21" t="s">
        <v>122</v>
      </c>
      <c r="J339" s="53" t="n">
        <v>2.87918965002339</v>
      </c>
      <c r="K339" s="52" t="n">
        <f aca="false">IF(G339="","",MAX(0,G339-J339/100))</f>
        <v>0.448595038173133</v>
      </c>
      <c r="L339" s="52" t="n">
        <f aca="false">IF(G339="","",MIN(1,G339+J339/100))</f>
        <v>0.506178831173601</v>
      </c>
      <c r="M339" s="37" t="n">
        <f aca="false">IF(F339="","",ROUND(F339*J339/100,0))</f>
        <v>11</v>
      </c>
      <c r="P339" s="54" t="n">
        <v>-2.64396904650007</v>
      </c>
      <c r="Q339" s="55" t="n">
        <f aca="false">T339*$H$5</f>
        <v>398.40616966581</v>
      </c>
      <c r="R339" s="56" t="n">
        <f aca="false">MAX(0,MIN(1,P339/100+$D$5))</f>
        <v>0.476210782672217</v>
      </c>
      <c r="S339" s="57" t="s">
        <v>123</v>
      </c>
      <c r="T339" s="55" t="n">
        <v>398.40616966581</v>
      </c>
    </row>
    <row r="340" customFormat="false" ht="15" hidden="false" customHeight="false" outlineLevel="0" collapsed="false">
      <c r="A340" s="21" t="s">
        <v>377</v>
      </c>
      <c r="B340" s="21" t="s">
        <v>508</v>
      </c>
      <c r="C340" s="21" t="s">
        <v>509</v>
      </c>
      <c r="D340" s="37" t="n">
        <f aca="false">ROUND(Q340*R340,0)</f>
        <v>692</v>
      </c>
      <c r="E340" s="37" t="n">
        <f aca="false">ROUND(Q340,0)-D340</f>
        <v>689</v>
      </c>
      <c r="F340" s="37" t="n">
        <f aca="false">IF(COUNTA(D340:E340)=0,"",SUM(D340:E340))</f>
        <v>1381</v>
      </c>
      <c r="G340" s="52" t="n">
        <f aca="false">IF(OR(F340="",F340=0),"",D340/F340)</f>
        <v>0.501086169442433</v>
      </c>
      <c r="H340" s="52" t="n">
        <f aca="false">IF(OR(F340="",F340=0),"",E340/F340)</f>
        <v>0.498913830557567</v>
      </c>
      <c r="I340" s="21" t="s">
        <v>122</v>
      </c>
      <c r="J340" s="53" t="n">
        <v>1.86991787188303</v>
      </c>
      <c r="K340" s="52" t="n">
        <f aca="false">IF(G340="","",MAX(0,G340-J340/100))</f>
        <v>0.482386990723603</v>
      </c>
      <c r="L340" s="52" t="n">
        <f aca="false">IF(G340="","",MIN(1,G340+J340/100))</f>
        <v>0.519785348161263</v>
      </c>
      <c r="M340" s="37" t="n">
        <f aca="false">IF(F340="","",ROUND(F340*J340/100,0))</f>
        <v>26</v>
      </c>
      <c r="P340" s="54" t="n">
        <v>-0.147442249065581</v>
      </c>
      <c r="Q340" s="55" t="n">
        <f aca="false">T340*$H$5</f>
        <v>1380.50534255185</v>
      </c>
      <c r="R340" s="56" t="n">
        <f aca="false">MAX(0,MIN(1,P340/100+$D$5))</f>
        <v>0.501176050646562</v>
      </c>
      <c r="S340" s="57" t="s">
        <v>225</v>
      </c>
      <c r="T340" s="55" t="n">
        <v>1380.50534255185</v>
      </c>
    </row>
    <row r="341" customFormat="false" ht="15" hidden="false" customHeight="false" outlineLevel="0" collapsed="false">
      <c r="A341" s="21" t="s">
        <v>377</v>
      </c>
      <c r="B341" s="21" t="s">
        <v>508</v>
      </c>
      <c r="C341" s="21" t="s">
        <v>510</v>
      </c>
      <c r="D341" s="37" t="n">
        <f aca="false">ROUND(Q341*R341,0)</f>
        <v>155</v>
      </c>
      <c r="E341" s="37" t="n">
        <f aca="false">ROUND(Q341,0)-D341</f>
        <v>147</v>
      </c>
      <c r="F341" s="37" t="n">
        <f aca="false">IF(COUNTA(D341:E341)=0,"",SUM(D341:E341))</f>
        <v>302</v>
      </c>
      <c r="G341" s="52" t="n">
        <f aca="false">IF(OR(F341="",F341=0),"",D341/F341)</f>
        <v>0.513245033112583</v>
      </c>
      <c r="H341" s="52" t="n">
        <f aca="false">IF(OR(F341="",F341=0),"",E341/F341)</f>
        <v>0.486754966887417</v>
      </c>
      <c r="I341" s="21" t="s">
        <v>223</v>
      </c>
      <c r="J341" s="53" t="n">
        <v>2.87918965002339</v>
      </c>
      <c r="K341" s="52" t="n">
        <f aca="false">IF(G341="","",MAX(0,G341-J341/100))</f>
        <v>0.484453136612349</v>
      </c>
      <c r="L341" s="52" t="n">
        <f aca="false">IF(G341="","",MIN(1,G341+J341/100))</f>
        <v>0.542036929612817</v>
      </c>
      <c r="M341" s="37" t="n">
        <f aca="false">IF(F341="","",ROUND(F341*J341/100,0))</f>
        <v>9</v>
      </c>
      <c r="P341" s="54" t="n">
        <v>0.969113847234698</v>
      </c>
      <c r="Q341" s="55" t="n">
        <f aca="false">T341*$H$5</f>
        <v>301.77107159879</v>
      </c>
      <c r="R341" s="56" t="n">
        <f aca="false">MAX(0,MIN(1,P341/100+$D$5))</f>
        <v>0.512341611609565</v>
      </c>
      <c r="S341" s="57" t="s">
        <v>123</v>
      </c>
      <c r="T341" s="55" t="n">
        <v>301.77107159879</v>
      </c>
    </row>
    <row r="342" customFormat="false" ht="15" hidden="false" customHeight="false" outlineLevel="0" collapsed="false">
      <c r="A342" s="21" t="s">
        <v>377</v>
      </c>
      <c r="B342" s="21" t="s">
        <v>508</v>
      </c>
      <c r="C342" s="21" t="s">
        <v>511</v>
      </c>
      <c r="D342" s="37" t="n">
        <f aca="false">ROUND(Q342*R342,0)</f>
        <v>577</v>
      </c>
      <c r="E342" s="37" t="n">
        <f aca="false">ROUND(Q342,0)-D342</f>
        <v>582</v>
      </c>
      <c r="F342" s="37" t="n">
        <f aca="false">IF(COUNTA(D342:E342)=0,"",SUM(D342:E342))</f>
        <v>1159</v>
      </c>
      <c r="G342" s="52" t="n">
        <f aca="false">IF(OR(F342="",F342=0),"",D342/F342)</f>
        <v>0.497842968075928</v>
      </c>
      <c r="H342" s="52" t="n">
        <f aca="false">IF(OR(F342="",F342=0),"",E342/F342)</f>
        <v>0.502157031924073</v>
      </c>
      <c r="I342" s="21" t="s">
        <v>223</v>
      </c>
      <c r="J342" s="53" t="n">
        <v>1.9254971424187</v>
      </c>
      <c r="K342" s="52" t="n">
        <f aca="false">IF(G342="","",MAX(0,G342-J342/100))</f>
        <v>0.478587996651741</v>
      </c>
      <c r="L342" s="52" t="n">
        <f aca="false">IF(G342="","",MIN(1,G342+J342/100))</f>
        <v>0.517097939500115</v>
      </c>
      <c r="M342" s="37" t="n">
        <f aca="false">IF(F342="","",ROUND(F342*J342/100,0))</f>
        <v>22</v>
      </c>
      <c r="P342" s="54" t="n">
        <v>-0.467164662562038</v>
      </c>
      <c r="Q342" s="55" t="n">
        <f aca="false">T342*$H$5</f>
        <v>1159.09858720511</v>
      </c>
      <c r="R342" s="56" t="n">
        <f aca="false">MAX(0,MIN(1,P342/100+$D$5))</f>
        <v>0.497978826511597</v>
      </c>
      <c r="S342" s="57" t="s">
        <v>132</v>
      </c>
      <c r="T342" s="55" t="n">
        <v>1159.09858720511</v>
      </c>
    </row>
    <row r="343" customFormat="false" ht="15" hidden="false" customHeight="false" outlineLevel="0" collapsed="false">
      <c r="A343" s="21" t="s">
        <v>377</v>
      </c>
      <c r="B343" s="21" t="s">
        <v>508</v>
      </c>
      <c r="C343" s="21" t="s">
        <v>512</v>
      </c>
      <c r="D343" s="37" t="n">
        <f aca="false">ROUND(Q343*R343,0)</f>
        <v>749</v>
      </c>
      <c r="E343" s="37" t="n">
        <f aca="false">ROUND(Q343,0)-D343</f>
        <v>654</v>
      </c>
      <c r="F343" s="37" t="n">
        <f aca="false">IF(COUNTA(D343:E343)=0,"",SUM(D343:E343))</f>
        <v>1403</v>
      </c>
      <c r="G343" s="52" t="n">
        <f aca="false">IF(OR(F343="",F343=0),"",D343/F343)</f>
        <v>0.533856022808268</v>
      </c>
      <c r="H343" s="52" t="n">
        <f aca="false">IF(OR(F343="",F343=0),"",E343/F343)</f>
        <v>0.466143977191732</v>
      </c>
      <c r="I343" s="21" t="s">
        <v>122</v>
      </c>
      <c r="J343" s="53" t="n">
        <v>1.86991787188303</v>
      </c>
      <c r="K343" s="52" t="n">
        <f aca="false">IF(G343="","",MAX(0,G343-J343/100))</f>
        <v>0.515156844089438</v>
      </c>
      <c r="L343" s="52" t="n">
        <f aca="false">IF(G343="","",MIN(1,G343+J343/100))</f>
        <v>0.552555201527098</v>
      </c>
      <c r="M343" s="37" t="n">
        <f aca="false">IF(F343="","",ROUND(F343*J343/100,0))</f>
        <v>26</v>
      </c>
      <c r="P343" s="54" t="n">
        <v>3.13558692280916</v>
      </c>
      <c r="Q343" s="55" t="n">
        <f aca="false">T343*$H$5</f>
        <v>1402.88532351394</v>
      </c>
      <c r="R343" s="56" t="n">
        <f aca="false">MAX(0,MIN(1,P343/100+$D$5))</f>
        <v>0.534006342365309</v>
      </c>
      <c r="S343" s="57" t="s">
        <v>225</v>
      </c>
      <c r="T343" s="55" t="n">
        <v>1402.88532351394</v>
      </c>
    </row>
    <row r="344" customFormat="false" ht="15" hidden="false" customHeight="false" outlineLevel="0" collapsed="false">
      <c r="A344" s="21" t="s">
        <v>377</v>
      </c>
      <c r="B344" s="21" t="s">
        <v>508</v>
      </c>
      <c r="C344" s="21" t="s">
        <v>513</v>
      </c>
      <c r="D344" s="37" t="n">
        <f aca="false">ROUND(Q344*R344,0)</f>
        <v>641</v>
      </c>
      <c r="E344" s="37" t="n">
        <f aca="false">ROUND(Q344,0)-D344</f>
        <v>629</v>
      </c>
      <c r="F344" s="37" t="n">
        <f aca="false">IF(COUNTA(D344:E344)=0,"",SUM(D344:E344))</f>
        <v>1270</v>
      </c>
      <c r="G344" s="52" t="n">
        <f aca="false">IF(OR(F344="",F344=0),"",D344/F344)</f>
        <v>0.504724409448819</v>
      </c>
      <c r="H344" s="52" t="n">
        <f aca="false">IF(OR(F344="",F344=0),"",E344/F344)</f>
        <v>0.495275590551181</v>
      </c>
      <c r="I344" s="21" t="s">
        <v>122</v>
      </c>
      <c r="J344" s="53" t="n">
        <v>1.86991787188303</v>
      </c>
      <c r="K344" s="52" t="n">
        <f aca="false">IF(G344="","",MAX(0,G344-J344/100))</f>
        <v>0.486025230729989</v>
      </c>
      <c r="L344" s="52" t="n">
        <f aca="false">IF(G344="","",MIN(1,G344+J344/100))</f>
        <v>0.523423588167649</v>
      </c>
      <c r="M344" s="37" t="n">
        <f aca="false">IF(F344="","",ROUND(F344*J344/100,0))</f>
        <v>24</v>
      </c>
      <c r="P344" s="54" t="n">
        <v>0.181947926551772</v>
      </c>
      <c r="Q344" s="55" t="n">
        <f aca="false">T344*$H$5</f>
        <v>1270.0390625</v>
      </c>
      <c r="R344" s="56" t="n">
        <f aca="false">MAX(0,MIN(1,P344/100+$D$5))</f>
        <v>0.504469952402735</v>
      </c>
      <c r="S344" s="57" t="s">
        <v>225</v>
      </c>
      <c r="T344" s="55" t="n">
        <v>1270.0390625</v>
      </c>
    </row>
    <row r="345" customFormat="false" ht="15" hidden="false" customHeight="false" outlineLevel="0" collapsed="false">
      <c r="A345" s="21" t="s">
        <v>377</v>
      </c>
      <c r="B345" s="21" t="s">
        <v>508</v>
      </c>
      <c r="C345" s="21" t="s">
        <v>514</v>
      </c>
      <c r="D345" s="37" t="n">
        <f aca="false">ROUND(Q345*R345,0)</f>
        <v>624</v>
      </c>
      <c r="E345" s="37" t="n">
        <f aca="false">ROUND(Q345,0)-D345</f>
        <v>618</v>
      </c>
      <c r="F345" s="37" t="n">
        <f aca="false">IF(COUNTA(D345:E345)=0,"",SUM(D345:E345))</f>
        <v>1242</v>
      </c>
      <c r="G345" s="52" t="n">
        <f aca="false">IF(OR(F345="",F345=0),"",D345/F345)</f>
        <v>0.502415458937198</v>
      </c>
      <c r="H345" s="52" t="n">
        <f aca="false">IF(OR(F345="",F345=0),"",E345/F345)</f>
        <v>0.497584541062802</v>
      </c>
      <c r="I345" s="21" t="s">
        <v>122</v>
      </c>
      <c r="J345" s="53" t="n">
        <v>1.86991787188303</v>
      </c>
      <c r="K345" s="52" t="n">
        <f aca="false">IF(G345="","",MAX(0,G345-J345/100))</f>
        <v>0.483716280218368</v>
      </c>
      <c r="L345" s="52" t="n">
        <f aca="false">IF(G345="","",MIN(1,G345+J345/100))</f>
        <v>0.521114637656028</v>
      </c>
      <c r="M345" s="37" t="n">
        <f aca="false">IF(F345="","",ROUND(F345*J345/100,0))</f>
        <v>23</v>
      </c>
      <c r="P345" s="54" t="n">
        <v>-0.0311193084846799</v>
      </c>
      <c r="Q345" s="55" t="n">
        <f aca="false">T345*$H$5</f>
        <v>1241.83236382866</v>
      </c>
      <c r="R345" s="56" t="n">
        <f aca="false">MAX(0,MIN(1,P345/100+$D$5))</f>
        <v>0.502339280052371</v>
      </c>
      <c r="S345" s="57" t="s">
        <v>225</v>
      </c>
      <c r="T345" s="55" t="n">
        <v>1241.83236382866</v>
      </c>
    </row>
    <row r="346" customFormat="false" ht="15" hidden="false" customHeight="false" outlineLevel="0" collapsed="false">
      <c r="A346" s="21" t="s">
        <v>377</v>
      </c>
      <c r="B346" s="21" t="s">
        <v>508</v>
      </c>
      <c r="C346" s="21" t="s">
        <v>515</v>
      </c>
      <c r="D346" s="37" t="n">
        <f aca="false">ROUND(Q346*R346,0)</f>
        <v>538</v>
      </c>
      <c r="E346" s="37" t="n">
        <f aca="false">ROUND(Q346,0)-D346</f>
        <v>486</v>
      </c>
      <c r="F346" s="37" t="n">
        <f aca="false">IF(COUNTA(D346:E346)=0,"",SUM(D346:E346))</f>
        <v>1024</v>
      </c>
      <c r="G346" s="52" t="n">
        <f aca="false">IF(OR(F346="",F346=0),"",D346/F346)</f>
        <v>0.525390625</v>
      </c>
      <c r="H346" s="52" t="n">
        <f aca="false">IF(OR(F346="",F346=0),"",E346/F346)</f>
        <v>0.474609375</v>
      </c>
      <c r="I346" s="21" t="s">
        <v>223</v>
      </c>
      <c r="J346" s="53" t="n">
        <v>1.9254971424187</v>
      </c>
      <c r="K346" s="52" t="n">
        <f aca="false">IF(G346="","",MAX(0,G346-J346/100))</f>
        <v>0.506135653575813</v>
      </c>
      <c r="L346" s="52" t="n">
        <f aca="false">IF(G346="","",MIN(1,G346+J346/100))</f>
        <v>0.544645596424187</v>
      </c>
      <c r="M346" s="37" t="n">
        <f aca="false">IF(F346="","",ROUND(F346*J346/100,0))</f>
        <v>20</v>
      </c>
      <c r="P346" s="54" t="n">
        <v>2.30013133897737</v>
      </c>
      <c r="Q346" s="55" t="n">
        <f aca="false">T346*$H$5</f>
        <v>1023.9619746684</v>
      </c>
      <c r="R346" s="56" t="n">
        <f aca="false">MAX(0,MIN(1,P346/100+$D$5))</f>
        <v>0.525651786526991</v>
      </c>
      <c r="S346" s="57" t="s">
        <v>132</v>
      </c>
      <c r="T346" s="55" t="n">
        <v>1023.9619746684</v>
      </c>
    </row>
    <row r="347" customFormat="false" ht="15" hidden="false" customHeight="false" outlineLevel="0" collapsed="false">
      <c r="A347" s="21" t="s">
        <v>377</v>
      </c>
      <c r="B347" s="21" t="s">
        <v>508</v>
      </c>
      <c r="C347" s="21" t="s">
        <v>516</v>
      </c>
      <c r="D347" s="37" t="n">
        <f aca="false">ROUND(Q347*R347,0)</f>
        <v>210</v>
      </c>
      <c r="E347" s="37" t="n">
        <f aca="false">ROUND(Q347,0)-D347</f>
        <v>235</v>
      </c>
      <c r="F347" s="37" t="n">
        <f aca="false">IF(COUNTA(D347:E347)=0,"",SUM(D347:E347))</f>
        <v>445</v>
      </c>
      <c r="G347" s="52" t="n">
        <f aca="false">IF(OR(F347="",F347=0),"",D347/F347)</f>
        <v>0.471910112359551</v>
      </c>
      <c r="H347" s="52" t="n">
        <f aca="false">IF(OR(F347="",F347=0),"",E347/F347)</f>
        <v>0.528089887640449</v>
      </c>
      <c r="I347" s="21" t="s">
        <v>223</v>
      </c>
      <c r="J347" s="53" t="n">
        <v>2.87918965002339</v>
      </c>
      <c r="K347" s="52" t="n">
        <f aca="false">IF(G347="","",MAX(0,G347-J347/100))</f>
        <v>0.443118215859317</v>
      </c>
      <c r="L347" s="52" t="n">
        <f aca="false">IF(G347="","",MIN(1,G347+J347/100))</f>
        <v>0.500702008859784</v>
      </c>
      <c r="M347" s="37" t="n">
        <f aca="false">IF(F347="","",ROUND(F347*J347/100,0))</f>
        <v>13</v>
      </c>
      <c r="P347" s="54" t="n">
        <v>-3.07879049051747</v>
      </c>
      <c r="Q347" s="55" t="n">
        <f aca="false">T347*$H$5</f>
        <v>444.793344999185</v>
      </c>
      <c r="R347" s="56" t="n">
        <f aca="false">MAX(0,MIN(1,P347/100+$D$5))</f>
        <v>0.471862568232043</v>
      </c>
      <c r="S347" s="57" t="s">
        <v>123</v>
      </c>
      <c r="T347" s="55" t="n">
        <v>444.793344999185</v>
      </c>
    </row>
    <row r="348" customFormat="false" ht="15" hidden="false" customHeight="false" outlineLevel="0" collapsed="false">
      <c r="A348" s="21" t="s">
        <v>377</v>
      </c>
      <c r="B348" s="21" t="s">
        <v>508</v>
      </c>
      <c r="C348" s="21" t="s">
        <v>517</v>
      </c>
      <c r="D348" s="37" t="n">
        <f aca="false">ROUND(Q348*R348,0)</f>
        <v>1193</v>
      </c>
      <c r="E348" s="37" t="n">
        <f aca="false">ROUND(Q348,0)-D348</f>
        <v>1374</v>
      </c>
      <c r="F348" s="37" t="n">
        <f aca="false">IF(COUNTA(D348:E348)=0,"",SUM(D348:E348))</f>
        <v>2567</v>
      </c>
      <c r="G348" s="52" t="n">
        <f aca="false">IF(OR(F348="",F348=0),"",D348/F348)</f>
        <v>0.464744838332684</v>
      </c>
      <c r="H348" s="52" t="n">
        <f aca="false">IF(OR(F348="",F348=0),"",E348/F348)</f>
        <v>0.535255161667316</v>
      </c>
      <c r="I348" s="21" t="s">
        <v>223</v>
      </c>
      <c r="J348" s="53" t="n">
        <v>1.86991787188303</v>
      </c>
      <c r="K348" s="52" t="n">
        <f aca="false">IF(G348="","",MAX(0,G348-J348/100))</f>
        <v>0.446045659613854</v>
      </c>
      <c r="L348" s="52" t="n">
        <f aca="false">IF(G348="","",MIN(1,G348+J348/100))</f>
        <v>0.483444017051514</v>
      </c>
      <c r="M348" s="37" t="n">
        <f aca="false">IF(F348="","",ROUND(F348*J348/100,0))</f>
        <v>48</v>
      </c>
      <c r="P348" s="54" t="n">
        <v>-3.78197488795173</v>
      </c>
      <c r="Q348" s="55" t="n">
        <f aca="false">T348*$H$5</f>
        <v>2567.14576004421</v>
      </c>
      <c r="R348" s="56" t="n">
        <f aca="false">MAX(0,MIN(1,P348/100+$D$5))</f>
        <v>0.4648307242577</v>
      </c>
      <c r="S348" s="57" t="s">
        <v>225</v>
      </c>
      <c r="T348" s="55" t="n">
        <v>2567.14576004421</v>
      </c>
    </row>
    <row r="349" customFormat="false" ht="15" hidden="false" customHeight="false" outlineLevel="0" collapsed="false">
      <c r="A349" s="21" t="s">
        <v>377</v>
      </c>
      <c r="B349" s="21" t="s">
        <v>518</v>
      </c>
      <c r="C349" s="21" t="s">
        <v>519</v>
      </c>
      <c r="D349" s="37" t="n">
        <f aca="false">ROUND(Q349*R349,0)</f>
        <v>83</v>
      </c>
      <c r="E349" s="37" t="n">
        <f aca="false">ROUND(Q349,0)-D349</f>
        <v>132</v>
      </c>
      <c r="F349" s="37" t="n">
        <f aca="false">IF(COUNTA(D349:E349)=0,"",SUM(D349:E349))</f>
        <v>215</v>
      </c>
      <c r="G349" s="52" t="n">
        <f aca="false">IF(OR(F349="",F349=0),"",D349/F349)</f>
        <v>0.386046511627907</v>
      </c>
      <c r="H349" s="52" t="n">
        <f aca="false">IF(OR(F349="",F349=0),"",E349/F349)</f>
        <v>0.613953488372093</v>
      </c>
      <c r="I349" s="21" t="s">
        <v>122</v>
      </c>
      <c r="J349" s="53" t="n">
        <v>2.87918965002339</v>
      </c>
      <c r="K349" s="52" t="n">
        <f aca="false">IF(G349="","",MAX(0,G349-J349/100))</f>
        <v>0.357254615127673</v>
      </c>
      <c r="L349" s="52" t="n">
        <f aca="false">IF(G349="","",MIN(1,G349+J349/100))</f>
        <v>0.414838408128141</v>
      </c>
      <c r="M349" s="37" t="n">
        <f aca="false">IF(F349="","",ROUND(F349*J349/100,0))</f>
        <v>6</v>
      </c>
      <c r="P349" s="54" t="n">
        <v>-11.3889386863541</v>
      </c>
      <c r="Q349" s="55" t="n">
        <f aca="false">T349*$H$5</f>
        <v>214.558510638298</v>
      </c>
      <c r="R349" s="56" t="n">
        <f aca="false">MAX(0,MIN(1,P349/100+$D$5))</f>
        <v>0.388761086273677</v>
      </c>
      <c r="S349" s="57" t="s">
        <v>123</v>
      </c>
      <c r="T349" s="55" t="n">
        <v>214.558510638298</v>
      </c>
    </row>
    <row r="350" customFormat="false" ht="15" hidden="false" customHeight="false" outlineLevel="0" collapsed="false">
      <c r="A350" s="21" t="s">
        <v>377</v>
      </c>
      <c r="B350" s="21" t="s">
        <v>518</v>
      </c>
      <c r="C350" s="21" t="s">
        <v>520</v>
      </c>
      <c r="D350" s="37" t="n">
        <f aca="false">ROUND(Q350*R350,0)</f>
        <v>209</v>
      </c>
      <c r="E350" s="37" t="n">
        <f aca="false">ROUND(Q350,0)-D350</f>
        <v>354</v>
      </c>
      <c r="F350" s="37" t="n">
        <f aca="false">IF(COUNTA(D350:E350)=0,"",SUM(D350:E350))</f>
        <v>563</v>
      </c>
      <c r="G350" s="52" t="n">
        <f aca="false">IF(OR(F350="",F350=0),"",D350/F350)</f>
        <v>0.371225577264654</v>
      </c>
      <c r="H350" s="52" t="n">
        <f aca="false">IF(OR(F350="",F350=0),"",E350/F350)</f>
        <v>0.628774422735346</v>
      </c>
      <c r="I350" s="21" t="s">
        <v>122</v>
      </c>
      <c r="J350" s="53" t="n">
        <v>2.87918965002339</v>
      </c>
      <c r="K350" s="52" t="n">
        <f aca="false">IF(G350="","",MAX(0,G350-J350/100))</f>
        <v>0.34243368076442</v>
      </c>
      <c r="L350" s="52" t="n">
        <f aca="false">IF(G350="","",MIN(1,G350+J350/100))</f>
        <v>0.400017473764888</v>
      </c>
      <c r="M350" s="37" t="n">
        <f aca="false">IF(F350="","",ROUND(F350*J350/100,0))</f>
        <v>16</v>
      </c>
      <c r="P350" s="54" t="n">
        <v>-13.2061633748861</v>
      </c>
      <c r="Q350" s="55" t="n">
        <f aca="false">T350*$H$5</f>
        <v>562.888888888889</v>
      </c>
      <c r="R350" s="56" t="n">
        <f aca="false">MAX(0,MIN(1,P350/100+$D$5))</f>
        <v>0.370588839388356</v>
      </c>
      <c r="S350" s="57" t="s">
        <v>123</v>
      </c>
      <c r="T350" s="55" t="n">
        <v>562.888888888889</v>
      </c>
    </row>
    <row r="351" customFormat="false" ht="15" hidden="false" customHeight="false" outlineLevel="0" collapsed="false">
      <c r="A351" s="21" t="s">
        <v>377</v>
      </c>
      <c r="B351" s="21" t="s">
        <v>518</v>
      </c>
      <c r="C351" s="21" t="s">
        <v>521</v>
      </c>
      <c r="D351" s="37" t="n">
        <f aca="false">ROUND(Q351*R351,0)</f>
        <v>148</v>
      </c>
      <c r="E351" s="37" t="n">
        <f aca="false">ROUND(Q351,0)-D351</f>
        <v>214</v>
      </c>
      <c r="F351" s="37" t="n">
        <f aca="false">IF(COUNTA(D351:E351)=0,"",SUM(D351:E351))</f>
        <v>362</v>
      </c>
      <c r="G351" s="52" t="n">
        <f aca="false">IF(OR(F351="",F351=0),"",D351/F351)</f>
        <v>0.408839779005525</v>
      </c>
      <c r="H351" s="52" t="n">
        <f aca="false">IF(OR(F351="",F351=0),"",E351/F351)</f>
        <v>0.591160220994475</v>
      </c>
      <c r="I351" s="21" t="s">
        <v>122</v>
      </c>
      <c r="J351" s="53" t="n">
        <v>2.87918965002339</v>
      </c>
      <c r="K351" s="52" t="n">
        <f aca="false">IF(G351="","",MAX(0,G351-J351/100))</f>
        <v>0.380047882505291</v>
      </c>
      <c r="L351" s="52" t="n">
        <f aca="false">IF(G351="","",MIN(1,G351+J351/100))</f>
        <v>0.437631675505759</v>
      </c>
      <c r="M351" s="37" t="n">
        <f aca="false">IF(F351="","",ROUND(F351*J351/100,0))</f>
        <v>10</v>
      </c>
      <c r="P351" s="54" t="n">
        <v>-9.29780905978275</v>
      </c>
      <c r="Q351" s="55" t="n">
        <f aca="false">T351*$H$5</f>
        <v>362.264705882353</v>
      </c>
      <c r="R351" s="56" t="n">
        <f aca="false">MAX(0,MIN(1,P351/100+$D$5))</f>
        <v>0.40967238253939</v>
      </c>
      <c r="S351" s="57" t="s">
        <v>123</v>
      </c>
      <c r="T351" s="55" t="n">
        <v>362.264705882353</v>
      </c>
    </row>
    <row r="352" customFormat="false" ht="15" hidden="false" customHeight="false" outlineLevel="0" collapsed="false">
      <c r="A352" s="21" t="s">
        <v>377</v>
      </c>
      <c r="B352" s="21" t="s">
        <v>518</v>
      </c>
      <c r="C352" s="21" t="s">
        <v>522</v>
      </c>
      <c r="D352" s="37" t="n">
        <f aca="false">ROUND(Q352*R352,0)</f>
        <v>89</v>
      </c>
      <c r="E352" s="37" t="n">
        <f aca="false">ROUND(Q352,0)-D352</f>
        <v>127</v>
      </c>
      <c r="F352" s="37" t="n">
        <f aca="false">IF(COUNTA(D352:E352)=0,"",SUM(D352:E352))</f>
        <v>216</v>
      </c>
      <c r="G352" s="52" t="n">
        <f aca="false">IF(OR(F352="",F352=0),"",D352/F352)</f>
        <v>0.412037037037037</v>
      </c>
      <c r="H352" s="52" t="n">
        <f aca="false">IF(OR(F352="",F352=0),"",E352/F352)</f>
        <v>0.587962962962963</v>
      </c>
      <c r="I352" s="21" t="s">
        <v>122</v>
      </c>
      <c r="J352" s="53" t="n">
        <v>2.87918965002339</v>
      </c>
      <c r="K352" s="52" t="n">
        <f aca="false">IF(G352="","",MAX(0,G352-J352/100))</f>
        <v>0.383245140536803</v>
      </c>
      <c r="L352" s="52" t="n">
        <f aca="false">IF(G352="","",MIN(1,G352+J352/100))</f>
        <v>0.440828933537271</v>
      </c>
      <c r="M352" s="37" t="n">
        <f aca="false">IF(F352="","",ROUND(F352*J352/100,0))</f>
        <v>6</v>
      </c>
      <c r="P352" s="54" t="n">
        <v>-8.94785534954753</v>
      </c>
      <c r="Q352" s="55" t="n">
        <f aca="false">T352*$H$5</f>
        <v>215.962962962963</v>
      </c>
      <c r="R352" s="56" t="n">
        <f aca="false">MAX(0,MIN(1,P352/100+$D$5))</f>
        <v>0.413171919641742</v>
      </c>
      <c r="S352" s="57" t="s">
        <v>123</v>
      </c>
      <c r="T352" s="55" t="n">
        <v>215.962962962963</v>
      </c>
    </row>
    <row r="353" customFormat="false" ht="15" hidden="false" customHeight="false" outlineLevel="0" collapsed="false">
      <c r="A353" s="21" t="s">
        <v>377</v>
      </c>
      <c r="B353" s="21" t="s">
        <v>523</v>
      </c>
      <c r="C353" s="21" t="s">
        <v>524</v>
      </c>
      <c r="D353" s="37" t="n">
        <f aca="false">ROUND(Q353*R353,0)</f>
        <v>342</v>
      </c>
      <c r="E353" s="37" t="n">
        <f aca="false">ROUND(Q353,0)-D353</f>
        <v>609</v>
      </c>
      <c r="F353" s="37" t="n">
        <f aca="false">IF(COUNTA(D353:E353)=0,"",SUM(D353:E353))</f>
        <v>951</v>
      </c>
      <c r="G353" s="52" t="n">
        <f aca="false">IF(OR(F353="",F353=0),"",D353/F353)</f>
        <v>0.359621451104101</v>
      </c>
      <c r="H353" s="52" t="n">
        <f aca="false">IF(OR(F353="",F353=0),"",E353/F353)</f>
        <v>0.640378548895899</v>
      </c>
      <c r="I353" s="21" t="s">
        <v>122</v>
      </c>
      <c r="J353" s="53" t="n">
        <v>1.9254971424187</v>
      </c>
      <c r="K353" s="52" t="n">
        <f aca="false">IF(G353="","",MAX(0,G353-J353/100))</f>
        <v>0.340366479679914</v>
      </c>
      <c r="L353" s="52" t="n">
        <f aca="false">IF(G353="","",MIN(1,G353+J353/100))</f>
        <v>0.378876422528288</v>
      </c>
      <c r="M353" s="37" t="n">
        <f aca="false">IF(F353="","",ROUND(F353*J353/100,0))</f>
        <v>18</v>
      </c>
      <c r="P353" s="54" t="n">
        <v>-14.2695548694548</v>
      </c>
      <c r="Q353" s="55" t="n">
        <f aca="false">T353*$H$5</f>
        <v>951.480446927374</v>
      </c>
      <c r="R353" s="56" t="n">
        <f aca="false">MAX(0,MIN(1,P353/100+$D$5))</f>
        <v>0.35995492444267</v>
      </c>
      <c r="S353" s="57" t="s">
        <v>132</v>
      </c>
      <c r="T353" s="55" t="n">
        <v>951.480446927374</v>
      </c>
    </row>
    <row r="354" customFormat="false" ht="15" hidden="false" customHeight="false" outlineLevel="0" collapsed="false">
      <c r="A354" s="21" t="s">
        <v>377</v>
      </c>
      <c r="B354" s="21" t="s">
        <v>523</v>
      </c>
      <c r="C354" s="21" t="s">
        <v>525</v>
      </c>
      <c r="D354" s="37" t="n">
        <f aca="false">ROUND(Q354*R354,0)</f>
        <v>274</v>
      </c>
      <c r="E354" s="37" t="n">
        <f aca="false">ROUND(Q354,0)-D354</f>
        <v>475</v>
      </c>
      <c r="F354" s="37" t="n">
        <f aca="false">IF(COUNTA(D354:E354)=0,"",SUM(D354:E354))</f>
        <v>749</v>
      </c>
      <c r="G354" s="52" t="n">
        <f aca="false">IF(OR(F354="",F354=0),"",D354/F354)</f>
        <v>0.365821094793057</v>
      </c>
      <c r="H354" s="52" t="n">
        <f aca="false">IF(OR(F354="",F354=0),"",E354/F354)</f>
        <v>0.634178905206943</v>
      </c>
      <c r="I354" s="21" t="s">
        <v>122</v>
      </c>
      <c r="J354" s="53" t="n">
        <v>2.87918965002339</v>
      </c>
      <c r="K354" s="52" t="n">
        <f aca="false">IF(G354="","",MAX(0,G354-J354/100))</f>
        <v>0.337029198292824</v>
      </c>
      <c r="L354" s="52" t="n">
        <f aca="false">IF(G354="","",MIN(1,G354+J354/100))</f>
        <v>0.394612991293291</v>
      </c>
      <c r="M354" s="37" t="n">
        <f aca="false">IF(F354="","",ROUND(F354*J354/100,0))</f>
        <v>22</v>
      </c>
      <c r="P354" s="54" t="n">
        <v>-13.66784812387</v>
      </c>
      <c r="Q354" s="55" t="n">
        <f aca="false">T354*$H$5</f>
        <v>748.801666666666</v>
      </c>
      <c r="R354" s="56" t="n">
        <f aca="false">MAX(0,MIN(1,P354/100+$D$5))</f>
        <v>0.365971991898518</v>
      </c>
      <c r="S354" s="57" t="s">
        <v>123</v>
      </c>
      <c r="T354" s="55" t="n">
        <v>748.801666666666</v>
      </c>
    </row>
    <row r="355" customFormat="false" ht="15" hidden="false" customHeight="false" outlineLevel="0" collapsed="false">
      <c r="A355" s="21" t="s">
        <v>377</v>
      </c>
      <c r="B355" s="21" t="s">
        <v>523</v>
      </c>
      <c r="C355" s="21" t="s">
        <v>526</v>
      </c>
      <c r="D355" s="37" t="n">
        <f aca="false">ROUND(Q355*R355,0)</f>
        <v>246</v>
      </c>
      <c r="E355" s="37" t="n">
        <f aca="false">ROUND(Q355,0)-D355</f>
        <v>461</v>
      </c>
      <c r="F355" s="37" t="n">
        <f aca="false">IF(COUNTA(D355:E355)=0,"",SUM(D355:E355))</f>
        <v>707</v>
      </c>
      <c r="G355" s="52" t="n">
        <f aca="false">IF(OR(F355="",F355=0),"",D355/F355)</f>
        <v>0.347949080622348</v>
      </c>
      <c r="H355" s="52" t="n">
        <f aca="false">IF(OR(F355="",F355=0),"",E355/F355)</f>
        <v>0.652050919377652</v>
      </c>
      <c r="I355" s="21" t="s">
        <v>122</v>
      </c>
      <c r="J355" s="53" t="n">
        <v>2.87918965002339</v>
      </c>
      <c r="K355" s="52" t="n">
        <f aca="false">IF(G355="","",MAX(0,G355-J355/100))</f>
        <v>0.319157184122114</v>
      </c>
      <c r="L355" s="52" t="n">
        <f aca="false">IF(G355="","",MIN(1,G355+J355/100))</f>
        <v>0.376740977122582</v>
      </c>
      <c r="M355" s="37" t="n">
        <f aca="false">IF(F355="","",ROUND(F355*J355/100,0))</f>
        <v>20</v>
      </c>
      <c r="P355" s="54" t="n">
        <v>-15.5037128140293</v>
      </c>
      <c r="Q355" s="55" t="n">
        <f aca="false">T355*$H$5</f>
        <v>707.096134786918</v>
      </c>
      <c r="R355" s="56" t="n">
        <f aca="false">MAX(0,MIN(1,P355/100+$D$5))</f>
        <v>0.347613344996925</v>
      </c>
      <c r="S355" s="57" t="s">
        <v>123</v>
      </c>
      <c r="T355" s="55" t="n">
        <v>707.096134786918</v>
      </c>
    </row>
    <row r="356" customFormat="false" ht="15" hidden="false" customHeight="false" outlineLevel="0" collapsed="false">
      <c r="A356" s="21" t="s">
        <v>377</v>
      </c>
      <c r="B356" s="21" t="s">
        <v>523</v>
      </c>
      <c r="C356" s="21" t="s">
        <v>527</v>
      </c>
      <c r="D356" s="37" t="n">
        <f aca="false">ROUND(Q356*R356,0)</f>
        <v>249</v>
      </c>
      <c r="E356" s="37" t="n">
        <f aca="false">ROUND(Q356,0)-D356</f>
        <v>464</v>
      </c>
      <c r="F356" s="37" t="n">
        <f aca="false">IF(COUNTA(D356:E356)=0,"",SUM(D356:E356))</f>
        <v>713</v>
      </c>
      <c r="G356" s="52" t="n">
        <f aca="false">IF(OR(F356="",F356=0),"",D356/F356)</f>
        <v>0.349228611500701</v>
      </c>
      <c r="H356" s="52" t="n">
        <f aca="false">IF(OR(F356="",F356=0),"",E356/F356)</f>
        <v>0.650771388499299</v>
      </c>
      <c r="I356" s="21" t="s">
        <v>122</v>
      </c>
      <c r="J356" s="53" t="n">
        <v>2.87918965002339</v>
      </c>
      <c r="K356" s="52" t="n">
        <f aca="false">IF(G356="","",MAX(0,G356-J356/100))</f>
        <v>0.320436715000467</v>
      </c>
      <c r="L356" s="52" t="n">
        <f aca="false">IF(G356="","",MIN(1,G356+J356/100))</f>
        <v>0.378020508000935</v>
      </c>
      <c r="M356" s="37" t="n">
        <f aca="false">IF(F356="","",ROUND(F356*J356/100,0))</f>
        <v>21</v>
      </c>
      <c r="P356" s="54" t="n">
        <v>-15.3307297860698</v>
      </c>
      <c r="Q356" s="55" t="n">
        <f aca="false">T356*$H$5</f>
        <v>713.433121019109</v>
      </c>
      <c r="R356" s="56" t="n">
        <f aca="false">MAX(0,MIN(1,P356/100+$D$5))</f>
        <v>0.349343175276519</v>
      </c>
      <c r="S356" s="57" t="s">
        <v>123</v>
      </c>
      <c r="T356" s="55" t="n">
        <v>713.433121019109</v>
      </c>
    </row>
    <row r="357" customFormat="false" ht="15" hidden="false" customHeight="false" outlineLevel="0" collapsed="false">
      <c r="A357" s="21" t="s">
        <v>377</v>
      </c>
      <c r="B357" s="21" t="s">
        <v>528</v>
      </c>
      <c r="C357" s="21" t="s">
        <v>529</v>
      </c>
      <c r="D357" s="37" t="n">
        <f aca="false">ROUND(Q357*R357,0)</f>
        <v>68</v>
      </c>
      <c r="E357" s="37" t="n">
        <f aca="false">ROUND(Q357,0)-D357</f>
        <v>128</v>
      </c>
      <c r="F357" s="37" t="n">
        <f aca="false">IF(COUNTA(D357:E357)=0,"",SUM(D357:E357))</f>
        <v>196</v>
      </c>
      <c r="G357" s="52" t="n">
        <f aca="false">IF(OR(F357="",F357=0),"",D357/F357)</f>
        <v>0.346938775510204</v>
      </c>
      <c r="H357" s="52" t="n">
        <f aca="false">IF(OR(F357="",F357=0),"",E357/F357)</f>
        <v>0.653061224489796</v>
      </c>
      <c r="I357" s="21" t="s">
        <v>122</v>
      </c>
      <c r="J357" s="53" t="n">
        <v>2.87918965002339</v>
      </c>
      <c r="K357" s="52" t="n">
        <f aca="false">IF(G357="","",MAX(0,G357-J357/100))</f>
        <v>0.31814687900997</v>
      </c>
      <c r="L357" s="52" t="n">
        <f aca="false">IF(G357="","",MIN(1,G357+J357/100))</f>
        <v>0.375730672010438</v>
      </c>
      <c r="M357" s="37" t="n">
        <f aca="false">IF(F357="","",ROUND(F357*J357/100,0))</f>
        <v>6</v>
      </c>
      <c r="P357" s="54" t="n">
        <v>-15.3844733295649</v>
      </c>
      <c r="Q357" s="55" t="n">
        <f aca="false">T357*$H$5</f>
        <v>196.102981029811</v>
      </c>
      <c r="R357" s="56" t="n">
        <f aca="false">MAX(0,MIN(1,P357/100+$D$5))</f>
        <v>0.348805739841569</v>
      </c>
      <c r="S357" s="57" t="s">
        <v>123</v>
      </c>
      <c r="T357" s="55" t="n">
        <v>196.102981029811</v>
      </c>
    </row>
    <row r="358" customFormat="false" ht="15" hidden="false" customHeight="false" outlineLevel="0" collapsed="false">
      <c r="A358" s="21" t="s">
        <v>377</v>
      </c>
      <c r="B358" s="21" t="s">
        <v>530</v>
      </c>
      <c r="C358" s="21" t="s">
        <v>531</v>
      </c>
      <c r="D358" s="37" t="n">
        <f aca="false">ROUND(Q358*R358,0)</f>
        <v>268</v>
      </c>
      <c r="E358" s="37" t="n">
        <f aca="false">ROUND(Q358,0)-D358</f>
        <v>416</v>
      </c>
      <c r="F358" s="37" t="n">
        <f aca="false">IF(COUNTA(D358:E358)=0,"",SUM(D358:E358))</f>
        <v>684</v>
      </c>
      <c r="G358" s="52" t="n">
        <f aca="false">IF(OR(F358="",F358=0),"",D358/F358)</f>
        <v>0.391812865497076</v>
      </c>
      <c r="H358" s="52" t="n">
        <f aca="false">IF(OR(F358="",F358=0),"",E358/F358)</f>
        <v>0.608187134502924</v>
      </c>
      <c r="I358" s="21" t="s">
        <v>122</v>
      </c>
      <c r="J358" s="53" t="n">
        <v>2.87918965002339</v>
      </c>
      <c r="K358" s="52" t="n">
        <f aca="false">IF(G358="","",MAX(0,G358-J358/100))</f>
        <v>0.363020968996842</v>
      </c>
      <c r="L358" s="52" t="n">
        <f aca="false">IF(G358="","",MIN(1,G358+J358/100))</f>
        <v>0.42060476199731</v>
      </c>
      <c r="M358" s="37" t="n">
        <f aca="false">IF(F358="","",ROUND(F358*J358/100,0))</f>
        <v>20</v>
      </c>
      <c r="P358" s="54" t="n">
        <v>-11.1005324634087</v>
      </c>
      <c r="Q358" s="55" t="n">
        <f aca="false">T358*$H$5</f>
        <v>683.952941176471</v>
      </c>
      <c r="R358" s="56" t="n">
        <f aca="false">MAX(0,MIN(1,P358/100+$D$5))</f>
        <v>0.391645148503131</v>
      </c>
      <c r="S358" s="57" t="s">
        <v>123</v>
      </c>
      <c r="T358" s="55" t="n">
        <v>683.952941176471</v>
      </c>
    </row>
    <row r="359" customFormat="false" ht="15" hidden="false" customHeight="false" outlineLevel="0" collapsed="false">
      <c r="A359" s="21" t="s">
        <v>377</v>
      </c>
      <c r="B359" s="21" t="s">
        <v>532</v>
      </c>
      <c r="C359" s="21" t="s">
        <v>533</v>
      </c>
      <c r="D359" s="37" t="n">
        <f aca="false">ROUND(Q359*R359,0)</f>
        <v>161</v>
      </c>
      <c r="E359" s="37" t="n">
        <f aca="false">ROUND(Q359,0)-D359</f>
        <v>228</v>
      </c>
      <c r="F359" s="37" t="n">
        <f aca="false">IF(COUNTA(D359:E359)=0,"",SUM(D359:E359))</f>
        <v>389</v>
      </c>
      <c r="G359" s="52" t="n">
        <f aca="false">IF(OR(F359="",F359=0),"",D359/F359)</f>
        <v>0.413881748071979</v>
      </c>
      <c r="H359" s="52" t="n">
        <f aca="false">IF(OR(F359="",F359=0),"",E359/F359)</f>
        <v>0.586118251928021</v>
      </c>
      <c r="I359" s="21" t="s">
        <v>122</v>
      </c>
      <c r="J359" s="53" t="n">
        <v>2.87918965002339</v>
      </c>
      <c r="K359" s="52" t="n">
        <f aca="false">IF(G359="","",MAX(0,G359-J359/100))</f>
        <v>0.385089851571746</v>
      </c>
      <c r="L359" s="52" t="n">
        <f aca="false">IF(G359="","",MIN(1,G359+J359/100))</f>
        <v>0.442673644572213</v>
      </c>
      <c r="M359" s="37" t="n">
        <f aca="false">IF(F359="","",ROUND(F359*J359/100,0))</f>
        <v>11</v>
      </c>
      <c r="P359" s="54" t="n">
        <v>-8.85414102488992</v>
      </c>
      <c r="Q359" s="55" t="n">
        <f aca="false">T359*$H$5</f>
        <v>388.819749216301</v>
      </c>
      <c r="R359" s="56" t="n">
        <f aca="false">MAX(0,MIN(1,P359/100+$D$5))</f>
        <v>0.414109062888319</v>
      </c>
      <c r="S359" s="57" t="s">
        <v>123</v>
      </c>
      <c r="T359" s="55" t="n">
        <v>388.819749216301</v>
      </c>
    </row>
    <row r="360" customFormat="false" ht="15" hidden="false" customHeight="false" outlineLevel="0" collapsed="false">
      <c r="A360" s="21" t="s">
        <v>377</v>
      </c>
      <c r="B360" s="21" t="s">
        <v>534</v>
      </c>
      <c r="C360" s="21" t="s">
        <v>535</v>
      </c>
      <c r="D360" s="37" t="n">
        <f aca="false">ROUND(Q360*R360,0)</f>
        <v>263</v>
      </c>
      <c r="E360" s="37" t="n">
        <f aca="false">ROUND(Q360,0)-D360</f>
        <v>339</v>
      </c>
      <c r="F360" s="37" t="n">
        <f aca="false">IF(COUNTA(D360:E360)=0,"",SUM(D360:E360))</f>
        <v>602</v>
      </c>
      <c r="G360" s="52" t="n">
        <f aca="false">IF(OR(F360="",F360=0),"",D360/F360)</f>
        <v>0.43687707641196</v>
      </c>
      <c r="H360" s="52" t="n">
        <f aca="false">IF(OR(F360="",F360=0),"",E360/F360)</f>
        <v>0.56312292358804</v>
      </c>
      <c r="I360" s="21" t="s">
        <v>122</v>
      </c>
      <c r="J360" s="53" t="n">
        <v>2.87918965002339</v>
      </c>
      <c r="K360" s="52" t="n">
        <f aca="false">IF(G360="","",MAX(0,G360-J360/100))</f>
        <v>0.408085179911726</v>
      </c>
      <c r="L360" s="52" t="n">
        <f aca="false">IF(G360="","",MIN(1,G360+J360/100))</f>
        <v>0.465668972912194</v>
      </c>
      <c r="M360" s="37" t="n">
        <f aca="false">IF(F360="","",ROUND(F360*J360/100,0))</f>
        <v>17</v>
      </c>
      <c r="P360" s="54" t="n">
        <v>-6.53770367273075</v>
      </c>
      <c r="Q360" s="55" t="n">
        <f aca="false">T360*$H$5</f>
        <v>602.07868852459</v>
      </c>
      <c r="R360" s="56" t="n">
        <f aca="false">MAX(0,MIN(1,P360/100+$D$5))</f>
        <v>0.43727343640991</v>
      </c>
      <c r="S360" s="57" t="s">
        <v>123</v>
      </c>
      <c r="T360" s="55" t="n">
        <v>602.07868852459</v>
      </c>
    </row>
    <row r="361" customFormat="false" ht="15" hidden="false" customHeight="false" outlineLevel="0" collapsed="false">
      <c r="A361" s="21" t="s">
        <v>377</v>
      </c>
      <c r="B361" s="21" t="s">
        <v>536</v>
      </c>
      <c r="C361" s="21" t="s">
        <v>537</v>
      </c>
      <c r="D361" s="37" t="n">
        <f aca="false">ROUND(Q361*R361,0)</f>
        <v>239</v>
      </c>
      <c r="E361" s="37" t="n">
        <f aca="false">ROUND(Q361,0)-D361</f>
        <v>575</v>
      </c>
      <c r="F361" s="37" t="n">
        <f aca="false">IF(COUNTA(D361:E361)=0,"",SUM(D361:E361))</f>
        <v>814</v>
      </c>
      <c r="G361" s="52" t="n">
        <f aca="false">IF(OR(F361="",F361=0),"",D361/F361)</f>
        <v>0.293611793611794</v>
      </c>
      <c r="H361" s="52" t="n">
        <f aca="false">IF(OR(F361="",F361=0),"",E361/F361)</f>
        <v>0.706388206388206</v>
      </c>
      <c r="I361" s="21" t="s">
        <v>122</v>
      </c>
      <c r="J361" s="53" t="n">
        <v>1.9254971424187</v>
      </c>
      <c r="K361" s="52" t="n">
        <f aca="false">IF(G361="","",MAX(0,G361-J361/100))</f>
        <v>0.274356822187607</v>
      </c>
      <c r="L361" s="52" t="n">
        <f aca="false">IF(G361="","",MIN(1,G361+J361/100))</f>
        <v>0.312866765035981</v>
      </c>
      <c r="M361" s="37" t="n">
        <f aca="false">IF(F361="","",ROUND(F361*J361/100,0))</f>
        <v>16</v>
      </c>
      <c r="P361" s="54" t="n">
        <v>-20.9576894017461</v>
      </c>
      <c r="Q361" s="55" t="n">
        <f aca="false">T361*$H$5</f>
        <v>814.349042709867</v>
      </c>
      <c r="R361" s="56" t="n">
        <f aca="false">MAX(0,MIN(1,P361/100+$D$5))</f>
        <v>0.293073579119757</v>
      </c>
      <c r="S361" s="57" t="s">
        <v>132</v>
      </c>
      <c r="T361" s="55" t="n">
        <v>814.349042709867</v>
      </c>
    </row>
    <row r="362" customFormat="false" ht="15" hidden="false" customHeight="false" outlineLevel="0" collapsed="false">
      <c r="A362" s="21" t="s">
        <v>377</v>
      </c>
      <c r="B362" s="21" t="s">
        <v>536</v>
      </c>
      <c r="C362" s="21" t="s">
        <v>538</v>
      </c>
      <c r="D362" s="37" t="n">
        <f aca="false">ROUND(Q362*R362,0)</f>
        <v>208</v>
      </c>
      <c r="E362" s="37" t="n">
        <f aca="false">ROUND(Q362,0)-D362</f>
        <v>409</v>
      </c>
      <c r="F362" s="37" t="n">
        <f aca="false">IF(COUNTA(D362:E362)=0,"",SUM(D362:E362))</f>
        <v>617</v>
      </c>
      <c r="G362" s="52" t="n">
        <f aca="false">IF(OR(F362="",F362=0),"",D362/F362)</f>
        <v>0.337115072933549</v>
      </c>
      <c r="H362" s="52" t="n">
        <f aca="false">IF(OR(F362="",F362=0),"",E362/F362)</f>
        <v>0.662884927066451</v>
      </c>
      <c r="I362" s="21" t="s">
        <v>122</v>
      </c>
      <c r="J362" s="53" t="n">
        <v>2.87918965002339</v>
      </c>
      <c r="K362" s="52" t="n">
        <f aca="false">IF(G362="","",MAX(0,G362-J362/100))</f>
        <v>0.308323176433316</v>
      </c>
      <c r="L362" s="52" t="n">
        <f aca="false">IF(G362="","",MIN(1,G362+J362/100))</f>
        <v>0.365906969433783</v>
      </c>
      <c r="M362" s="37" t="n">
        <f aca="false">IF(F362="","",ROUND(F362*J362/100,0))</f>
        <v>18</v>
      </c>
      <c r="P362" s="54" t="n">
        <v>-16.6116533576665</v>
      </c>
      <c r="Q362" s="55" t="n">
        <f aca="false">T362*$H$5</f>
        <v>617.366628830874</v>
      </c>
      <c r="R362" s="56" t="n">
        <f aca="false">MAX(0,MIN(1,P362/100+$D$5))</f>
        <v>0.336533939560552</v>
      </c>
      <c r="S362" s="57" t="s">
        <v>123</v>
      </c>
      <c r="T362" s="55" t="n">
        <v>617.366628830874</v>
      </c>
    </row>
    <row r="363" customFormat="false" ht="15" hidden="false" customHeight="false" outlineLevel="0" collapsed="false">
      <c r="A363" s="21" t="s">
        <v>377</v>
      </c>
      <c r="B363" s="21" t="s">
        <v>536</v>
      </c>
      <c r="C363" s="21" t="s">
        <v>539</v>
      </c>
      <c r="D363" s="37" t="n">
        <f aca="false">ROUND(Q363*R363,0)</f>
        <v>159</v>
      </c>
      <c r="E363" s="37" t="n">
        <f aca="false">ROUND(Q363,0)-D363</f>
        <v>369</v>
      </c>
      <c r="F363" s="37" t="n">
        <f aca="false">IF(COUNTA(D363:E363)=0,"",SUM(D363:E363))</f>
        <v>528</v>
      </c>
      <c r="G363" s="52" t="n">
        <f aca="false">IF(OR(F363="",F363=0),"",D363/F363)</f>
        <v>0.301136363636364</v>
      </c>
      <c r="H363" s="52" t="n">
        <f aca="false">IF(OR(F363="",F363=0),"",E363/F363)</f>
        <v>0.698863636363636</v>
      </c>
      <c r="I363" s="21" t="s">
        <v>122</v>
      </c>
      <c r="J363" s="53" t="n">
        <v>2.87918965002339</v>
      </c>
      <c r="K363" s="52" t="n">
        <f aca="false">IF(G363="","",MAX(0,G363-J363/100))</f>
        <v>0.27234446713613</v>
      </c>
      <c r="L363" s="52" t="n">
        <f aca="false">IF(G363="","",MIN(1,G363+J363/100))</f>
        <v>0.329928260136598</v>
      </c>
      <c r="M363" s="37" t="n">
        <f aca="false">IF(F363="","",ROUND(F363*J363/100,0))</f>
        <v>15</v>
      </c>
      <c r="P363" s="54" t="n">
        <v>-20.094114468637</v>
      </c>
      <c r="Q363" s="55" t="n">
        <f aca="false">T363*$H$5</f>
        <v>528.071059431524</v>
      </c>
      <c r="R363" s="56" t="n">
        <f aca="false">MAX(0,MIN(1,P363/100+$D$5))</f>
        <v>0.301709328450847</v>
      </c>
      <c r="S363" s="57" t="s">
        <v>123</v>
      </c>
      <c r="T363" s="55" t="n">
        <v>528.071059431524</v>
      </c>
    </row>
    <row r="364" customFormat="false" ht="15" hidden="false" customHeight="false" outlineLevel="0" collapsed="false">
      <c r="A364" s="21" t="s">
        <v>377</v>
      </c>
      <c r="B364" s="21" t="s">
        <v>536</v>
      </c>
      <c r="C364" s="21" t="s">
        <v>540</v>
      </c>
      <c r="D364" s="37" t="n">
        <f aca="false">ROUND(Q364*R364,0)</f>
        <v>139</v>
      </c>
      <c r="E364" s="37" t="n">
        <f aca="false">ROUND(Q364,0)-D364</f>
        <v>324</v>
      </c>
      <c r="F364" s="37" t="n">
        <f aca="false">IF(COUNTA(D364:E364)=0,"",SUM(D364:E364))</f>
        <v>463</v>
      </c>
      <c r="G364" s="52" t="n">
        <f aca="false">IF(OR(F364="",F364=0),"",D364/F364)</f>
        <v>0.300215982721382</v>
      </c>
      <c r="H364" s="52" t="n">
        <f aca="false">IF(OR(F364="",F364=0),"",E364/F364)</f>
        <v>0.699784017278618</v>
      </c>
      <c r="I364" s="21" t="s">
        <v>122</v>
      </c>
      <c r="J364" s="53" t="n">
        <v>2.87918965002339</v>
      </c>
      <c r="K364" s="52" t="n">
        <f aca="false">IF(G364="","",MAX(0,G364-J364/100))</f>
        <v>0.271424086221148</v>
      </c>
      <c r="L364" s="52" t="n">
        <f aca="false">IF(G364="","",MIN(1,G364+J364/100))</f>
        <v>0.329007879221616</v>
      </c>
      <c r="M364" s="37" t="n">
        <f aca="false">IF(F364="","",ROUND(F364*J364/100,0))</f>
        <v>13</v>
      </c>
      <c r="P364" s="54" t="n">
        <v>-20.2830726077331</v>
      </c>
      <c r="Q364" s="55" t="n">
        <f aca="false">T364*$H$5</f>
        <v>463.140604467805</v>
      </c>
      <c r="R364" s="56" t="n">
        <f aca="false">MAX(0,MIN(1,P364/100+$D$5))</f>
        <v>0.299819747059887</v>
      </c>
      <c r="S364" s="57" t="s">
        <v>123</v>
      </c>
      <c r="T364" s="55" t="n">
        <v>463.140604467805</v>
      </c>
    </row>
    <row r="365" customFormat="false" ht="15" hidden="false" customHeight="false" outlineLevel="0" collapsed="false">
      <c r="A365" s="21" t="s">
        <v>377</v>
      </c>
      <c r="B365" s="21" t="s">
        <v>536</v>
      </c>
      <c r="C365" s="21" t="s">
        <v>541</v>
      </c>
      <c r="D365" s="37" t="n">
        <f aca="false">ROUND(Q365*R365,0)</f>
        <v>265</v>
      </c>
      <c r="E365" s="37" t="n">
        <f aca="false">ROUND(Q365,0)-D365</f>
        <v>461</v>
      </c>
      <c r="F365" s="37" t="n">
        <f aca="false">IF(COUNTA(D365:E365)=0,"",SUM(D365:E365))</f>
        <v>726</v>
      </c>
      <c r="G365" s="52" t="n">
        <f aca="false">IF(OR(F365="",F365=0),"",D365/F365)</f>
        <v>0.365013774104683</v>
      </c>
      <c r="H365" s="52" t="n">
        <f aca="false">IF(OR(F365="",F365=0),"",E365/F365)</f>
        <v>0.634986225895317</v>
      </c>
      <c r="I365" s="21" t="s">
        <v>122</v>
      </c>
      <c r="J365" s="53" t="n">
        <v>2.87918965002339</v>
      </c>
      <c r="K365" s="52" t="n">
        <f aca="false">IF(G365="","",MAX(0,G365-J365/100))</f>
        <v>0.336221877604449</v>
      </c>
      <c r="L365" s="52" t="n">
        <f aca="false">IF(G365="","",MIN(1,G365+J365/100))</f>
        <v>0.393805670604917</v>
      </c>
      <c r="M365" s="37" t="n">
        <f aca="false">IF(F365="","",ROUND(F365*J365/100,0))</f>
        <v>21</v>
      </c>
      <c r="P365" s="54" t="n">
        <v>-13.82513749191</v>
      </c>
      <c r="Q365" s="55" t="n">
        <f aca="false">T365*$H$5</f>
        <v>726.367947669665</v>
      </c>
      <c r="R365" s="56" t="n">
        <f aca="false">MAX(0,MIN(1,P365/100+$D$5))</f>
        <v>0.364399098218118</v>
      </c>
      <c r="S365" s="57" t="s">
        <v>123</v>
      </c>
      <c r="T365" s="55" t="n">
        <v>726.367947669665</v>
      </c>
    </row>
    <row r="366" customFormat="false" ht="15" hidden="false" customHeight="false" outlineLevel="0" collapsed="false">
      <c r="A366" s="21" t="s">
        <v>377</v>
      </c>
      <c r="B366" s="21" t="s">
        <v>542</v>
      </c>
      <c r="C366" s="21" t="s">
        <v>543</v>
      </c>
      <c r="D366" s="37" t="n">
        <f aca="false">ROUND(Q366*R366,0)</f>
        <v>617</v>
      </c>
      <c r="E366" s="37" t="n">
        <f aca="false">ROUND(Q366,0)-D366</f>
        <v>633</v>
      </c>
      <c r="F366" s="37" t="n">
        <f aca="false">IF(COUNTA(D366:E366)=0,"",SUM(D366:E366))</f>
        <v>1250</v>
      </c>
      <c r="G366" s="52" t="n">
        <f aca="false">IF(OR(F366="",F366=0),"",D366/F366)</f>
        <v>0.4936</v>
      </c>
      <c r="H366" s="52" t="n">
        <f aca="false">IF(OR(F366="",F366=0),"",E366/F366)</f>
        <v>0.5064</v>
      </c>
      <c r="I366" s="21" t="s">
        <v>122</v>
      </c>
      <c r="J366" s="53" t="n">
        <v>1.86991787188303</v>
      </c>
      <c r="K366" s="52" t="n">
        <f aca="false">IF(G366="","",MAX(0,G366-J366/100))</f>
        <v>0.47490082128117</v>
      </c>
      <c r="L366" s="52" t="n">
        <f aca="false">IF(G366="","",MIN(1,G366+J366/100))</f>
        <v>0.51229917871883</v>
      </c>
      <c r="M366" s="37" t="n">
        <f aca="false">IF(F366="","",ROUND(F366*J366/100,0))</f>
        <v>23</v>
      </c>
      <c r="P366" s="54" t="n">
        <v>-0.886901636755961</v>
      </c>
      <c r="Q366" s="55" t="n">
        <f aca="false">T366*$H$5</f>
        <v>1250.41526045488</v>
      </c>
      <c r="R366" s="56" t="n">
        <f aca="false">MAX(0,MIN(1,P366/100+$D$5))</f>
        <v>0.493781456769658</v>
      </c>
      <c r="S366" s="57" t="s">
        <v>225</v>
      </c>
      <c r="T366" s="55" t="n">
        <v>1250.41526045488</v>
      </c>
    </row>
    <row r="367" customFormat="false" ht="15" hidden="false" customHeight="false" outlineLevel="0" collapsed="false">
      <c r="A367" s="21" t="s">
        <v>377</v>
      </c>
      <c r="B367" s="21" t="s">
        <v>542</v>
      </c>
      <c r="C367" s="21" t="s">
        <v>544</v>
      </c>
      <c r="D367" s="37" t="n">
        <f aca="false">ROUND(Q367*R367,0)</f>
        <v>284</v>
      </c>
      <c r="E367" s="37" t="n">
        <f aca="false">ROUND(Q367,0)-D367</f>
        <v>295</v>
      </c>
      <c r="F367" s="37" t="n">
        <f aca="false">IF(COUNTA(D367:E367)=0,"",SUM(D367:E367))</f>
        <v>579</v>
      </c>
      <c r="G367" s="52" t="n">
        <f aca="false">IF(OR(F367="",F367=0),"",D367/F367)</f>
        <v>0.490500863557858</v>
      </c>
      <c r="H367" s="52" t="n">
        <f aca="false">IF(OR(F367="",F367=0),"",E367/F367)</f>
        <v>0.509499136442142</v>
      </c>
      <c r="I367" s="21" t="s">
        <v>223</v>
      </c>
      <c r="J367" s="53" t="n">
        <v>2.87918965002339</v>
      </c>
      <c r="K367" s="52" t="n">
        <f aca="false">IF(G367="","",MAX(0,G367-J367/100))</f>
        <v>0.461708967057625</v>
      </c>
      <c r="L367" s="52" t="n">
        <f aca="false">IF(G367="","",MIN(1,G367+J367/100))</f>
        <v>0.519292760058092</v>
      </c>
      <c r="M367" s="37" t="n">
        <f aca="false">IF(F367="","",ROUND(F367*J367/100,0))</f>
        <v>17</v>
      </c>
      <c r="P367" s="54" t="n">
        <v>-1.28066371911557</v>
      </c>
      <c r="Q367" s="55" t="n">
        <f aca="false">T367*$H$5</f>
        <v>579.050076181952</v>
      </c>
      <c r="R367" s="56" t="n">
        <f aca="false">MAX(0,MIN(1,P367/100+$D$5))</f>
        <v>0.489843835946062</v>
      </c>
      <c r="S367" s="57" t="s">
        <v>123</v>
      </c>
      <c r="T367" s="55" t="n">
        <v>579.050076181952</v>
      </c>
    </row>
    <row r="368" customFormat="false" ht="15" hidden="false" customHeight="false" outlineLevel="0" collapsed="false">
      <c r="A368" s="21" t="s">
        <v>377</v>
      </c>
      <c r="B368" s="21" t="s">
        <v>542</v>
      </c>
      <c r="C368" s="21" t="s">
        <v>545</v>
      </c>
      <c r="D368" s="37" t="n">
        <f aca="false">ROUND(Q368*R368,0)</f>
        <v>495</v>
      </c>
      <c r="E368" s="37" t="n">
        <f aca="false">ROUND(Q368,0)-D368</f>
        <v>506</v>
      </c>
      <c r="F368" s="37" t="n">
        <f aca="false">IF(COUNTA(D368:E368)=0,"",SUM(D368:E368))</f>
        <v>1001</v>
      </c>
      <c r="G368" s="52" t="n">
        <f aca="false">IF(OR(F368="",F368=0),"",D368/F368)</f>
        <v>0.494505494505495</v>
      </c>
      <c r="H368" s="52" t="n">
        <f aca="false">IF(OR(F368="",F368=0),"",E368/F368)</f>
        <v>0.505494505494506</v>
      </c>
      <c r="I368" s="21" t="s">
        <v>122</v>
      </c>
      <c r="J368" s="53" t="n">
        <v>1.9254971424187</v>
      </c>
      <c r="K368" s="52" t="n">
        <f aca="false">IF(G368="","",MAX(0,G368-J368/100))</f>
        <v>0.475250523081308</v>
      </c>
      <c r="L368" s="52" t="n">
        <f aca="false">IF(G368="","",MIN(1,G368+J368/100))</f>
        <v>0.513760465929682</v>
      </c>
      <c r="M368" s="37" t="n">
        <f aca="false">IF(F368="","",ROUND(F368*J368/100,0))</f>
        <v>19</v>
      </c>
      <c r="P368" s="54" t="n">
        <v>-0.794345698942394</v>
      </c>
      <c r="Q368" s="55" t="n">
        <f aca="false">T368*$H$5</f>
        <v>1000.79736842105</v>
      </c>
      <c r="R368" s="56" t="n">
        <f aca="false">MAX(0,MIN(1,P368/100+$D$5))</f>
        <v>0.494707016147794</v>
      </c>
      <c r="S368" s="57" t="s">
        <v>132</v>
      </c>
      <c r="T368" s="55" t="n">
        <v>1000.79736842105</v>
      </c>
    </row>
    <row r="369" customFormat="false" ht="15" hidden="false" customHeight="false" outlineLevel="0" collapsed="false">
      <c r="A369" s="21" t="s">
        <v>377</v>
      </c>
      <c r="B369" s="21" t="s">
        <v>542</v>
      </c>
      <c r="C369" s="21" t="s">
        <v>546</v>
      </c>
      <c r="D369" s="37" t="n">
        <f aca="false">ROUND(Q369*R369,0)</f>
        <v>214</v>
      </c>
      <c r="E369" s="37" t="n">
        <f aca="false">ROUND(Q369,0)-D369</f>
        <v>224</v>
      </c>
      <c r="F369" s="37" t="n">
        <f aca="false">IF(COUNTA(D369:E369)=0,"",SUM(D369:E369))</f>
        <v>438</v>
      </c>
      <c r="G369" s="52" t="n">
        <f aca="false">IF(OR(F369="",F369=0),"",D369/F369)</f>
        <v>0.488584474885845</v>
      </c>
      <c r="H369" s="52" t="n">
        <f aca="false">IF(OR(F369="",F369=0),"",E369/F369)</f>
        <v>0.511415525114155</v>
      </c>
      <c r="I369" s="21" t="s">
        <v>223</v>
      </c>
      <c r="J369" s="53" t="n">
        <v>2.87918965002339</v>
      </c>
      <c r="K369" s="52" t="n">
        <f aca="false">IF(G369="","",MAX(0,G369-J369/100))</f>
        <v>0.459792578385611</v>
      </c>
      <c r="L369" s="52" t="n">
        <f aca="false">IF(G369="","",MIN(1,G369+J369/100))</f>
        <v>0.517376371386079</v>
      </c>
      <c r="M369" s="37" t="n">
        <f aca="false">IF(F369="","",ROUND(F369*J369/100,0))</f>
        <v>13</v>
      </c>
      <c r="P369" s="54" t="n">
        <v>-1.40859008274281</v>
      </c>
      <c r="Q369" s="55" t="n">
        <f aca="false">T369*$H$5</f>
        <v>437.845048152704</v>
      </c>
      <c r="R369" s="56" t="n">
        <f aca="false">MAX(0,MIN(1,P369/100+$D$5))</f>
        <v>0.48856457230979</v>
      </c>
      <c r="S369" s="57" t="s">
        <v>123</v>
      </c>
      <c r="T369" s="55" t="n">
        <v>437.845048152704</v>
      </c>
    </row>
    <row r="370" customFormat="false" ht="15" hidden="false" customHeight="false" outlineLevel="0" collapsed="false">
      <c r="A370" s="21" t="s">
        <v>377</v>
      </c>
      <c r="B370" s="21" t="s">
        <v>547</v>
      </c>
      <c r="C370" s="21" t="s">
        <v>548</v>
      </c>
      <c r="D370" s="37" t="n">
        <f aca="false">ROUND(Q370*R370,0)</f>
        <v>307</v>
      </c>
      <c r="E370" s="37" t="n">
        <f aca="false">ROUND(Q370,0)-D370</f>
        <v>454</v>
      </c>
      <c r="F370" s="37" t="n">
        <f aca="false">IF(COUNTA(D370:E370)=0,"",SUM(D370:E370))</f>
        <v>761</v>
      </c>
      <c r="G370" s="52" t="n">
        <f aca="false">IF(OR(F370="",F370=0),"",D370/F370)</f>
        <v>0.403416557161629</v>
      </c>
      <c r="H370" s="52" t="n">
        <f aca="false">IF(OR(F370="",F370=0),"",E370/F370)</f>
        <v>0.596583442838371</v>
      </c>
      <c r="I370" s="21" t="s">
        <v>122</v>
      </c>
      <c r="J370" s="53" t="n">
        <v>2.87918965002339</v>
      </c>
      <c r="K370" s="52" t="n">
        <f aca="false">IF(G370="","",MAX(0,G370-J370/100))</f>
        <v>0.374624660661396</v>
      </c>
      <c r="L370" s="52" t="n">
        <f aca="false">IF(G370="","",MIN(1,G370+J370/100))</f>
        <v>0.432208453661863</v>
      </c>
      <c r="M370" s="37" t="n">
        <f aca="false">IF(F370="","",ROUND(F370*J370/100,0))</f>
        <v>22</v>
      </c>
      <c r="P370" s="54" t="n">
        <v>-9.88611226872865</v>
      </c>
      <c r="Q370" s="55" t="n">
        <f aca="false">T370*$H$5</f>
        <v>761.429837518464</v>
      </c>
      <c r="R370" s="56" t="n">
        <f aca="false">MAX(0,MIN(1,P370/100+$D$5))</f>
        <v>0.403789350449931</v>
      </c>
      <c r="S370" s="57" t="s">
        <v>123</v>
      </c>
      <c r="T370" s="55" t="n">
        <v>761.429837518464</v>
      </c>
    </row>
    <row r="371" customFormat="false" ht="15" hidden="false" customHeight="false" outlineLevel="0" collapsed="false">
      <c r="A371" s="21" t="s">
        <v>377</v>
      </c>
      <c r="B371" s="21" t="s">
        <v>352</v>
      </c>
      <c r="C371" s="21" t="s">
        <v>549</v>
      </c>
      <c r="D371" s="37" t="n">
        <f aca="false">ROUND(Q371*R371,0)</f>
        <v>434</v>
      </c>
      <c r="E371" s="37" t="n">
        <f aca="false">ROUND(Q371,0)-D371</f>
        <v>816</v>
      </c>
      <c r="F371" s="37" t="n">
        <f aca="false">IF(COUNTA(D371:E371)=0,"",SUM(D371:E371))</f>
        <v>1250</v>
      </c>
      <c r="G371" s="52" t="n">
        <f aca="false">IF(OR(F371="",F371=0),"",D371/F371)</f>
        <v>0.3472</v>
      </c>
      <c r="H371" s="52" t="n">
        <f aca="false">IF(OR(F371="",F371=0),"",E371/F371)</f>
        <v>0.6528</v>
      </c>
      <c r="I371" s="21" t="s">
        <v>122</v>
      </c>
      <c r="J371" s="53" t="n">
        <v>1.86991787188303</v>
      </c>
      <c r="K371" s="52" t="n">
        <f aca="false">IF(G371="","",MAX(0,G371-J371/100))</f>
        <v>0.32850082128117</v>
      </c>
      <c r="L371" s="52" t="n">
        <f aca="false">IF(G371="","",MIN(1,G371+J371/100))</f>
        <v>0.36589917871883</v>
      </c>
      <c r="M371" s="37" t="n">
        <f aca="false">IF(F371="","",ROUND(F371*J371/100,0))</f>
        <v>23</v>
      </c>
      <c r="P371" s="54" t="n">
        <v>-15.5218481466311</v>
      </c>
      <c r="Q371" s="55" t="n">
        <f aca="false">T371*$H$5</f>
        <v>1250.46090534979</v>
      </c>
      <c r="R371" s="56" t="n">
        <f aca="false">MAX(0,MIN(1,P371/100+$D$5))</f>
        <v>0.347431991670907</v>
      </c>
      <c r="S371" s="57" t="s">
        <v>225</v>
      </c>
      <c r="T371" s="55" t="n">
        <v>1250.46090534979</v>
      </c>
    </row>
    <row r="372" customFormat="false" ht="15" hidden="false" customHeight="false" outlineLevel="0" collapsed="false">
      <c r="A372" s="21" t="s">
        <v>377</v>
      </c>
      <c r="B372" s="21" t="s">
        <v>352</v>
      </c>
      <c r="C372" s="21" t="s">
        <v>550</v>
      </c>
      <c r="D372" s="37" t="n">
        <f aca="false">ROUND(Q372*R372,0)</f>
        <v>761</v>
      </c>
      <c r="E372" s="37" t="n">
        <f aca="false">ROUND(Q372,0)-D372</f>
        <v>1488</v>
      </c>
      <c r="F372" s="37" t="n">
        <f aca="false">IF(COUNTA(D372:E372)=0,"",SUM(D372:E372))</f>
        <v>2249</v>
      </c>
      <c r="G372" s="52" t="n">
        <f aca="false">IF(OR(F372="",F372=0),"",D372/F372)</f>
        <v>0.338372610048911</v>
      </c>
      <c r="H372" s="52" t="n">
        <f aca="false">IF(OR(F372="",F372=0),"",E372/F372)</f>
        <v>0.661627389951089</v>
      </c>
      <c r="I372" s="21" t="s">
        <v>551</v>
      </c>
      <c r="J372" s="53" t="n">
        <v>1.86991787188303</v>
      </c>
      <c r="K372" s="52" t="n">
        <f aca="false">IF(G372="","",MAX(0,G372-J372/100))</f>
        <v>0.31967343133008</v>
      </c>
      <c r="L372" s="52" t="n">
        <f aca="false">IF(G372="","",MIN(1,G372+J372/100))</f>
        <v>0.357071788767741</v>
      </c>
      <c r="M372" s="37" t="n">
        <f aca="false">IF(F372="","",ROUND(F372*J372/100,0))</f>
        <v>42</v>
      </c>
      <c r="P372" s="54" t="n">
        <v>-16.4453235597454</v>
      </c>
      <c r="Q372" s="55" t="n">
        <f aca="false">T372*$H$5</f>
        <v>2249.34127837515</v>
      </c>
      <c r="R372" s="56" t="n">
        <f aca="false">MAX(0,MIN(1,P372/100+$D$5))</f>
        <v>0.338197237539764</v>
      </c>
      <c r="S372" s="57" t="s">
        <v>225</v>
      </c>
      <c r="T372" s="55" t="n">
        <v>2249.34127837515</v>
      </c>
    </row>
    <row r="373" customFormat="false" ht="15" hidden="false" customHeight="false" outlineLevel="0" collapsed="false">
      <c r="A373" s="21" t="s">
        <v>377</v>
      </c>
      <c r="B373" s="21" t="s">
        <v>552</v>
      </c>
      <c r="C373" s="21" t="s">
        <v>552</v>
      </c>
      <c r="D373" s="37" t="n">
        <f aca="false">ROUND(Q373*R373,0)</f>
        <v>218</v>
      </c>
      <c r="E373" s="37" t="n">
        <f aca="false">ROUND(Q373,0)-D373</f>
        <v>220</v>
      </c>
      <c r="F373" s="37" t="n">
        <f aca="false">IF(COUNTA(D373:E373)=0,"",SUM(D373:E373))</f>
        <v>438</v>
      </c>
      <c r="G373" s="52" t="n">
        <f aca="false">IF(OR(F373="",F373=0),"",D373/F373)</f>
        <v>0.497716894977169</v>
      </c>
      <c r="H373" s="52" t="n">
        <f aca="false">IF(OR(F373="",F373=0),"",E373/F373)</f>
        <v>0.502283105022831</v>
      </c>
      <c r="I373" s="21" t="s">
        <v>122</v>
      </c>
      <c r="J373" s="53" t="n">
        <v>2.87918965002339</v>
      </c>
      <c r="K373" s="52" t="n">
        <f aca="false">IF(G373="","",MAX(0,G373-J373/100))</f>
        <v>0.468924998476935</v>
      </c>
      <c r="L373" s="52" t="n">
        <f aca="false">IF(G373="","",MIN(1,G373+J373/100))</f>
        <v>0.526508791477403</v>
      </c>
      <c r="M373" s="37" t="n">
        <f aca="false">IF(F373="","",ROUND(F373*J373/100,0))</f>
        <v>13</v>
      </c>
      <c r="P373" s="54" t="n">
        <v>-0.460659372603536</v>
      </c>
      <c r="Q373" s="55" t="n">
        <f aca="false">T373*$H$5</f>
        <v>438.29213483146</v>
      </c>
      <c r="R373" s="56" t="n">
        <f aca="false">MAX(0,MIN(1,P373/100+$D$5))</f>
        <v>0.498043879411182</v>
      </c>
      <c r="S373" s="57" t="s">
        <v>123</v>
      </c>
      <c r="T373" s="55" t="n">
        <v>438.29213483146</v>
      </c>
    </row>
    <row r="374" customFormat="false" ht="15" hidden="false" customHeight="false" outlineLevel="0" collapsed="false">
      <c r="A374" s="21" t="s">
        <v>377</v>
      </c>
      <c r="B374" s="21" t="s">
        <v>553</v>
      </c>
      <c r="C374" s="21" t="s">
        <v>554</v>
      </c>
      <c r="D374" s="37" t="n">
        <f aca="false">ROUND(Q374*R374,0)</f>
        <v>428</v>
      </c>
      <c r="E374" s="37" t="n">
        <f aca="false">ROUND(Q374,0)-D374</f>
        <v>551</v>
      </c>
      <c r="F374" s="37" t="n">
        <f aca="false">IF(COUNTA(D374:E374)=0,"",SUM(D374:E374))</f>
        <v>979</v>
      </c>
      <c r="G374" s="52" t="n">
        <f aca="false">IF(OR(F374="",F374=0),"",D374/F374)</f>
        <v>0.437180796731359</v>
      </c>
      <c r="H374" s="52" t="n">
        <f aca="false">IF(OR(F374="",F374=0),"",E374/F374)</f>
        <v>0.562819203268641</v>
      </c>
      <c r="I374" s="21" t="s">
        <v>122</v>
      </c>
      <c r="J374" s="53" t="n">
        <v>1.9254971424187</v>
      </c>
      <c r="K374" s="52" t="n">
        <f aca="false">IF(G374="","",MAX(0,G374-J374/100))</f>
        <v>0.417925825307172</v>
      </c>
      <c r="L374" s="52" t="n">
        <f aca="false">IF(G374="","",MIN(1,G374+J374/100))</f>
        <v>0.456435768155546</v>
      </c>
      <c r="M374" s="37" t="n">
        <f aca="false">IF(F374="","",ROUND(F374*J374/100,0))</f>
        <v>19</v>
      </c>
      <c r="P374" s="54" t="n">
        <v>-6.51884967158295</v>
      </c>
      <c r="Q374" s="55" t="n">
        <f aca="false">T374*$H$5</f>
        <v>979.331514324693</v>
      </c>
      <c r="R374" s="56" t="n">
        <f aca="false">MAX(0,MIN(1,P374/100+$D$5))</f>
        <v>0.437461976421388</v>
      </c>
      <c r="S374" s="57" t="s">
        <v>132</v>
      </c>
      <c r="T374" s="55" t="n">
        <v>979.331514324693</v>
      </c>
    </row>
    <row r="375" customFormat="false" ht="15" hidden="false" customHeight="false" outlineLevel="0" collapsed="false">
      <c r="A375" s="21" t="s">
        <v>377</v>
      </c>
      <c r="B375" s="21" t="s">
        <v>553</v>
      </c>
      <c r="C375" s="21" t="s">
        <v>555</v>
      </c>
      <c r="D375" s="37" t="n">
        <f aca="false">ROUND(Q375*R375,0)</f>
        <v>367</v>
      </c>
      <c r="E375" s="37" t="n">
        <f aca="false">ROUND(Q375,0)-D375</f>
        <v>561</v>
      </c>
      <c r="F375" s="37" t="n">
        <f aca="false">IF(COUNTA(D375:E375)=0,"",SUM(D375:E375))</f>
        <v>928</v>
      </c>
      <c r="G375" s="52" t="n">
        <f aca="false">IF(OR(F375="",F375=0),"",D375/F375)</f>
        <v>0.395474137931035</v>
      </c>
      <c r="H375" s="52" t="n">
        <f aca="false">IF(OR(F375="",F375=0),"",E375/F375)</f>
        <v>0.604525862068966</v>
      </c>
      <c r="I375" s="21" t="s">
        <v>122</v>
      </c>
      <c r="J375" s="53" t="n">
        <v>1.9254971424187</v>
      </c>
      <c r="K375" s="52" t="n">
        <f aca="false">IF(G375="","",MAX(0,G375-J375/100))</f>
        <v>0.376219166506847</v>
      </c>
      <c r="L375" s="52" t="n">
        <f aca="false">IF(G375="","",MIN(1,G375+J375/100))</f>
        <v>0.414729109355222</v>
      </c>
      <c r="M375" s="37" t="n">
        <f aca="false">IF(F375="","",ROUND(F375*J375/100,0))</f>
        <v>18</v>
      </c>
      <c r="P375" s="54" t="n">
        <v>-10.6599163540443</v>
      </c>
      <c r="Q375" s="55" t="n">
        <f aca="false">T375*$H$5</f>
        <v>927.869774919614</v>
      </c>
      <c r="R375" s="56" t="n">
        <f aca="false">MAX(0,MIN(1,P375/100+$D$5))</f>
        <v>0.396051309596775</v>
      </c>
      <c r="S375" s="57" t="s">
        <v>132</v>
      </c>
      <c r="T375" s="55" t="n">
        <v>927.869774919614</v>
      </c>
    </row>
    <row r="376" customFormat="false" ht="15" hidden="false" customHeight="false" outlineLevel="0" collapsed="false">
      <c r="A376" s="21" t="s">
        <v>377</v>
      </c>
      <c r="B376" s="21" t="s">
        <v>553</v>
      </c>
      <c r="C376" s="21" t="s">
        <v>556</v>
      </c>
      <c r="D376" s="37" t="n">
        <f aca="false">ROUND(Q376*R376,0)</f>
        <v>436</v>
      </c>
      <c r="E376" s="37" t="n">
        <f aca="false">ROUND(Q376,0)-D376</f>
        <v>453</v>
      </c>
      <c r="F376" s="37" t="n">
        <f aca="false">IF(COUNTA(D376:E376)=0,"",SUM(D376:E376))</f>
        <v>889</v>
      </c>
      <c r="G376" s="52" t="n">
        <f aca="false">IF(OR(F376="",F376=0),"",D376/F376)</f>
        <v>0.490438695163105</v>
      </c>
      <c r="H376" s="52" t="n">
        <f aca="false">IF(OR(F376="",F376=0),"",E376/F376)</f>
        <v>0.509561304836895</v>
      </c>
      <c r="I376" s="21" t="s">
        <v>122</v>
      </c>
      <c r="J376" s="53" t="n">
        <v>1.9254971424187</v>
      </c>
      <c r="K376" s="52" t="n">
        <f aca="false">IF(G376="","",MAX(0,G376-J376/100))</f>
        <v>0.471183723738918</v>
      </c>
      <c r="L376" s="52" t="n">
        <f aca="false">IF(G376="","",MIN(1,G376+J376/100))</f>
        <v>0.509693666587292</v>
      </c>
      <c r="M376" s="37" t="n">
        <f aca="false">IF(F376="","",ROUND(F376*J376/100,0))</f>
        <v>17</v>
      </c>
      <c r="P376" s="54" t="n">
        <v>-1.16722069556522</v>
      </c>
      <c r="Q376" s="55" t="n">
        <f aca="false">T376*$H$5</f>
        <v>888.564146620848</v>
      </c>
      <c r="R376" s="56" t="n">
        <f aca="false">MAX(0,MIN(1,P376/100+$D$5))</f>
        <v>0.490978266181566</v>
      </c>
      <c r="S376" s="57" t="s">
        <v>132</v>
      </c>
      <c r="T376" s="55" t="n">
        <v>888.564146620848</v>
      </c>
    </row>
    <row r="377" customFormat="false" ht="15" hidden="false" customHeight="false" outlineLevel="0" collapsed="false">
      <c r="A377" s="21" t="s">
        <v>377</v>
      </c>
      <c r="B377" s="21" t="s">
        <v>553</v>
      </c>
      <c r="C377" s="21" t="s">
        <v>557</v>
      </c>
      <c r="D377" s="37" t="n">
        <f aca="false">ROUND(Q377*R377,0)</f>
        <v>250</v>
      </c>
      <c r="E377" s="37" t="n">
        <f aca="false">ROUND(Q377,0)-D377</f>
        <v>331</v>
      </c>
      <c r="F377" s="37" t="n">
        <f aca="false">IF(COUNTA(D377:E377)=0,"",SUM(D377:E377))</f>
        <v>581</v>
      </c>
      <c r="G377" s="52" t="n">
        <f aca="false">IF(OR(F377="",F377=0),"",D377/F377)</f>
        <v>0.430292598967298</v>
      </c>
      <c r="H377" s="52" t="n">
        <f aca="false">IF(OR(F377="",F377=0),"",E377/F377)</f>
        <v>0.569707401032702</v>
      </c>
      <c r="I377" s="21" t="s">
        <v>122</v>
      </c>
      <c r="J377" s="53" t="n">
        <v>2.87918965002339</v>
      </c>
      <c r="K377" s="52" t="n">
        <f aca="false">IF(G377="","",MAX(0,G377-J377/100))</f>
        <v>0.401500702467064</v>
      </c>
      <c r="L377" s="52" t="n">
        <f aca="false">IF(G377="","",MIN(1,G377+J377/100))</f>
        <v>0.459084495467532</v>
      </c>
      <c r="M377" s="37" t="n">
        <f aca="false">IF(F377="","",ROUND(F377*J377/100,0))</f>
        <v>17</v>
      </c>
      <c r="P377" s="54" t="n">
        <v>-7.20899073149821</v>
      </c>
      <c r="Q377" s="55" t="n">
        <f aca="false">T377*$H$5</f>
        <v>580.714285714285</v>
      </c>
      <c r="R377" s="56" t="n">
        <f aca="false">MAX(0,MIN(1,P377/100+$D$5))</f>
        <v>0.430560565822236</v>
      </c>
      <c r="S377" s="57" t="s">
        <v>123</v>
      </c>
      <c r="T377" s="55" t="n">
        <v>580.714285714285</v>
      </c>
    </row>
    <row r="378" customFormat="false" ht="15" hidden="false" customHeight="false" outlineLevel="0" collapsed="false">
      <c r="A378" s="21" t="s">
        <v>377</v>
      </c>
      <c r="B378" s="21" t="s">
        <v>558</v>
      </c>
      <c r="C378" s="21" t="s">
        <v>559</v>
      </c>
      <c r="D378" s="37" t="n">
        <f aca="false">ROUND(Q378*R378,0)</f>
        <v>451</v>
      </c>
      <c r="E378" s="37" t="n">
        <f aca="false">ROUND(Q378,0)-D378</f>
        <v>314</v>
      </c>
      <c r="F378" s="37" t="n">
        <f aca="false">IF(COUNTA(D378:E378)=0,"",SUM(D378:E378))</f>
        <v>765</v>
      </c>
      <c r="G378" s="52" t="n">
        <f aca="false">IF(OR(F378="",F378=0),"",D378/F378)</f>
        <v>0.589542483660131</v>
      </c>
      <c r="H378" s="52" t="n">
        <f aca="false">IF(OR(F378="",F378=0),"",E378/F378)</f>
        <v>0.410457516339869</v>
      </c>
      <c r="I378" s="21" t="s">
        <v>122</v>
      </c>
      <c r="J378" s="53" t="n">
        <v>2.87918965002339</v>
      </c>
      <c r="K378" s="52" t="n">
        <f aca="false">IF(G378="","",MAX(0,G378-J378/100))</f>
        <v>0.560750587159897</v>
      </c>
      <c r="L378" s="52" t="n">
        <f aca="false">IF(G378="","",MIN(1,G378+J378/100))</f>
        <v>0.618334380160365</v>
      </c>
      <c r="M378" s="37" t="n">
        <f aca="false">IF(F378="","",ROUND(F378*J378/100,0))</f>
        <v>22</v>
      </c>
      <c r="P378" s="54" t="n">
        <v>8.77368716869718</v>
      </c>
      <c r="Q378" s="55" t="n">
        <f aca="false">T378*$H$5</f>
        <v>764.667071688943</v>
      </c>
      <c r="R378" s="56" t="n">
        <f aca="false">MAX(0,MIN(1,P378/100+$D$5))</f>
        <v>0.590387344824189</v>
      </c>
      <c r="S378" s="57" t="s">
        <v>123</v>
      </c>
      <c r="T378" s="55" t="n">
        <v>764.667071688943</v>
      </c>
    </row>
    <row r="379" customFormat="false" ht="15" hidden="false" customHeight="false" outlineLevel="0" collapsed="false">
      <c r="A379" s="21" t="s">
        <v>377</v>
      </c>
      <c r="B379" s="21" t="s">
        <v>558</v>
      </c>
      <c r="C379" s="21" t="s">
        <v>560</v>
      </c>
      <c r="D379" s="37" t="n">
        <f aca="false">ROUND(Q379*R379,0)</f>
        <v>352</v>
      </c>
      <c r="E379" s="37" t="n">
        <f aca="false">ROUND(Q379,0)-D379</f>
        <v>267</v>
      </c>
      <c r="F379" s="37" t="n">
        <f aca="false">IF(COUNTA(D379:E379)=0,"",SUM(D379:E379))</f>
        <v>619</v>
      </c>
      <c r="G379" s="52" t="n">
        <f aca="false">IF(OR(F379="",F379=0),"",D379/F379)</f>
        <v>0.568659127625202</v>
      </c>
      <c r="H379" s="52" t="n">
        <f aca="false">IF(OR(F379="",F379=0),"",E379/F379)</f>
        <v>0.431340872374798</v>
      </c>
      <c r="I379" s="21" t="s">
        <v>122</v>
      </c>
      <c r="J379" s="53" t="n">
        <v>2.87918965002339</v>
      </c>
      <c r="K379" s="52" t="n">
        <f aca="false">IF(G379="","",MAX(0,G379-J379/100))</f>
        <v>0.539867231124968</v>
      </c>
      <c r="L379" s="52" t="n">
        <f aca="false">IF(G379="","",MIN(1,G379+J379/100))</f>
        <v>0.597451024125436</v>
      </c>
      <c r="M379" s="37" t="n">
        <f aca="false">IF(F379="","",ROUND(F379*J379/100,0))</f>
        <v>18</v>
      </c>
      <c r="P379" s="54" t="n">
        <v>6.67146965831986</v>
      </c>
      <c r="Q379" s="55" t="n">
        <f aca="false">T379*$H$5</f>
        <v>619.017871017871</v>
      </c>
      <c r="R379" s="56" t="n">
        <f aca="false">MAX(0,MIN(1,P379/100+$D$5))</f>
        <v>0.569365169720416</v>
      </c>
      <c r="S379" s="57" t="s">
        <v>123</v>
      </c>
      <c r="T379" s="55" t="n">
        <v>619.017871017871</v>
      </c>
    </row>
    <row r="380" customFormat="false" ht="15" hidden="false" customHeight="false" outlineLevel="0" collapsed="false">
      <c r="A380" s="21" t="s">
        <v>377</v>
      </c>
      <c r="B380" s="21" t="s">
        <v>558</v>
      </c>
      <c r="C380" s="21" t="s">
        <v>561</v>
      </c>
      <c r="D380" s="37" t="n">
        <f aca="false">ROUND(Q380*R380,0)</f>
        <v>535</v>
      </c>
      <c r="E380" s="37" t="n">
        <f aca="false">ROUND(Q380,0)-D380</f>
        <v>431</v>
      </c>
      <c r="F380" s="37" t="n">
        <f aca="false">IF(COUNTA(D380:E380)=0,"",SUM(D380:E380))</f>
        <v>966</v>
      </c>
      <c r="G380" s="52" t="n">
        <f aca="false">IF(OR(F380="",F380=0),"",D380/F380)</f>
        <v>0.553830227743271</v>
      </c>
      <c r="H380" s="52" t="n">
        <f aca="false">IF(OR(F380="",F380=0),"",E380/F380)</f>
        <v>0.446169772256729</v>
      </c>
      <c r="I380" s="21" t="s">
        <v>122</v>
      </c>
      <c r="J380" s="53" t="n">
        <v>1.9254971424187</v>
      </c>
      <c r="K380" s="52" t="n">
        <f aca="false">IF(G380="","",MAX(0,G380-J380/100))</f>
        <v>0.534575256319084</v>
      </c>
      <c r="L380" s="52" t="n">
        <f aca="false">IF(G380="","",MIN(1,G380+J380/100))</f>
        <v>0.573085199167458</v>
      </c>
      <c r="M380" s="37" t="n">
        <f aca="false">IF(F380="","",ROUND(F380*J380/100,0))</f>
        <v>19</v>
      </c>
      <c r="P380" s="54" t="n">
        <v>5.07940893753921</v>
      </c>
      <c r="Q380" s="55" t="n">
        <f aca="false">T380*$H$5</f>
        <v>966.474176094441</v>
      </c>
      <c r="R380" s="56" t="n">
        <f aca="false">MAX(0,MIN(1,P380/100+$D$5))</f>
        <v>0.55344456251261</v>
      </c>
      <c r="S380" s="57" t="s">
        <v>132</v>
      </c>
      <c r="T380" s="55" t="n">
        <v>966.474176094441</v>
      </c>
    </row>
    <row r="381" customFormat="false" ht="15" hidden="false" customHeight="false" outlineLevel="0" collapsed="false">
      <c r="A381" s="21" t="s">
        <v>377</v>
      </c>
      <c r="B381" s="21" t="s">
        <v>562</v>
      </c>
      <c r="C381" s="21" t="s">
        <v>562</v>
      </c>
      <c r="D381" s="37" t="n">
        <f aca="false">ROUND(Q381*R381,0)</f>
        <v>506</v>
      </c>
      <c r="E381" s="37" t="n">
        <f aca="false">ROUND(Q381,0)-D381</f>
        <v>639</v>
      </c>
      <c r="F381" s="37" t="n">
        <f aca="false">IF(COUNTA(D381:E381)=0,"",SUM(D381:E381))</f>
        <v>1145</v>
      </c>
      <c r="G381" s="52" t="n">
        <f aca="false">IF(OR(F381="",F381=0),"",D381/F381)</f>
        <v>0.441921397379913</v>
      </c>
      <c r="H381" s="52" t="n">
        <f aca="false">IF(OR(F381="",F381=0),"",E381/F381)</f>
        <v>0.558078602620087</v>
      </c>
      <c r="I381" s="21" t="s">
        <v>122</v>
      </c>
      <c r="J381" s="53" t="n">
        <v>1.9254971424187</v>
      </c>
      <c r="K381" s="52" t="n">
        <f aca="false">IF(G381="","",MAX(0,G381-J381/100))</f>
        <v>0.422666425955726</v>
      </c>
      <c r="L381" s="52" t="n">
        <f aca="false">IF(G381="","",MIN(1,G381+J381/100))</f>
        <v>0.4611763688041</v>
      </c>
      <c r="M381" s="37" t="n">
        <f aca="false">IF(F381="","",ROUND(F381*J381/100,0))</f>
        <v>22</v>
      </c>
      <c r="P381" s="54" t="n">
        <v>-6.12396844014468</v>
      </c>
      <c r="Q381" s="55" t="n">
        <f aca="false">T381*$H$5</f>
        <v>1145.48062775871</v>
      </c>
      <c r="R381" s="56" t="n">
        <f aca="false">MAX(0,MIN(1,P381/100+$D$5))</f>
        <v>0.441410788735771</v>
      </c>
      <c r="S381" s="57" t="s">
        <v>132</v>
      </c>
      <c r="T381" s="55" t="n">
        <v>1145.48062775871</v>
      </c>
    </row>
  </sheetData>
  <mergeCells count="4">
    <mergeCell ref="A3:I3"/>
    <mergeCell ref="A6:M6"/>
    <mergeCell ref="A9:M9"/>
    <mergeCell ref="A10:M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3" min="13" style="0" width="14"/>
    <col collapsed="false" customWidth="true" hidden="false" outlineLevel="0" max="15" min="14" style="0" width="3"/>
    <col collapsed="false" customWidth="true" hidden="false" outlineLevel="0" max="16" min="16" style="0" width="13"/>
    <col collapsed="false" customWidth="true" hidden="false" outlineLevel="0" max="18" min="17" style="0" width="14"/>
    <col collapsed="false" customWidth="true" hidden="false" outlineLevel="0" max="19" min="19" style="0" width="13"/>
    <col collapsed="false" customWidth="true" hidden="false" outlineLevel="0" max="20" min="20" style="0" width="16"/>
  </cols>
  <sheetData>
    <row r="1" customFormat="false" ht="17.35" hidden="false" customHeight="false" outlineLevel="0" collapsed="false">
      <c r="A1" s="1" t="s">
        <v>565</v>
      </c>
    </row>
    <row r="2" customFormat="false" ht="15" hidden="false" customHeight="false" outlineLevel="0" collapsed="false">
      <c r="A2" s="2" t="s">
        <v>85</v>
      </c>
    </row>
    <row r="3" customFormat="false" ht="15" hidden="false" customHeight="false" outlineLevel="0" collapsed="false">
      <c r="A3" s="13" t="s">
        <v>86</v>
      </c>
      <c r="B3" s="13"/>
      <c r="C3" s="13"/>
      <c r="D3" s="13"/>
      <c r="E3" s="13"/>
      <c r="F3" s="13"/>
      <c r="G3" s="13"/>
      <c r="H3" s="13"/>
      <c r="I3" s="13"/>
    </row>
    <row r="4" customFormat="false" ht="15" hidden="false" customHeight="false" outlineLevel="0" collapsed="false">
      <c r="A4" s="0" t="s">
        <v>87</v>
      </c>
      <c r="B4" s="0" t="s">
        <v>566</v>
      </c>
      <c r="C4" s="0" t="s">
        <v>89</v>
      </c>
      <c r="D4" s="40" t="n">
        <v>46300</v>
      </c>
      <c r="E4" s="41" t="s">
        <v>90</v>
      </c>
      <c r="F4" s="41" t="s">
        <v>91</v>
      </c>
      <c r="G4" s="41" t="s">
        <v>92</v>
      </c>
      <c r="H4" s="41" t="s">
        <v>93</v>
      </c>
    </row>
    <row r="5" customFormat="false" ht="15" hidden="false" customHeight="false" outlineLevel="0" collapsed="false">
      <c r="A5" s="0" t="s">
        <v>94</v>
      </c>
      <c r="B5" s="42" t="n">
        <f aca="false">'Scenario &amp; Comparison'!$C$6</f>
        <v>0.495158447761038</v>
      </c>
      <c r="C5" s="41" t="s">
        <v>95</v>
      </c>
      <c r="D5" s="43" t="n">
        <f aca="false">B5-SUMPRODUCT(P12:P381,Q12:Q381)/SUM(Q12:Q381)/100</f>
        <v>0.492217123381531</v>
      </c>
      <c r="E5" s="41" t="s">
        <v>96</v>
      </c>
      <c r="F5" s="44" t="n">
        <v>-0.12122496376108</v>
      </c>
      <c r="G5" s="41" t="s">
        <v>97</v>
      </c>
      <c r="H5" s="45" t="n">
        <f aca="false">'Scenario &amp; Comparison'!$C$7/SUM(T12:T381)</f>
        <v>1</v>
      </c>
    </row>
    <row r="6" customFormat="false" ht="15" hidden="false" customHeight="false" outlineLevel="0" collapsed="false">
      <c r="A6" s="4" t="s">
        <v>98</v>
      </c>
      <c r="B6" s="4"/>
      <c r="C6" s="4"/>
      <c r="D6" s="4"/>
      <c r="E6" s="4"/>
      <c r="F6" s="4"/>
      <c r="G6" s="4"/>
      <c r="H6" s="4"/>
      <c r="I6" s="4"/>
      <c r="J6" s="4"/>
      <c r="K6" s="4"/>
      <c r="L6" s="4"/>
      <c r="M6" s="4"/>
    </row>
    <row r="7" customFormat="false" ht="31.5" hidden="false" customHeight="true" outlineLevel="0" collapsed="false">
      <c r="A7" s="8" t="s">
        <v>99</v>
      </c>
      <c r="B7" s="8" t="s">
        <v>100</v>
      </c>
      <c r="C7" s="8" t="s">
        <v>101</v>
      </c>
      <c r="D7" s="8" t="s">
        <v>55</v>
      </c>
      <c r="E7" s="8" t="s">
        <v>56</v>
      </c>
      <c r="F7" s="8" t="s">
        <v>57</v>
      </c>
      <c r="G7" s="8" t="s">
        <v>58</v>
      </c>
      <c r="H7" s="8" t="s">
        <v>102</v>
      </c>
      <c r="I7" s="8" t="s">
        <v>103</v>
      </c>
      <c r="J7" s="8" t="s">
        <v>104</v>
      </c>
      <c r="K7" s="8" t="s">
        <v>105</v>
      </c>
      <c r="L7" s="8" t="s">
        <v>106</v>
      </c>
      <c r="M7" s="8" t="s">
        <v>107</v>
      </c>
    </row>
    <row r="8" customFormat="false" ht="15" hidden="false" customHeight="false" outlineLevel="0" collapsed="false">
      <c r="A8" s="28" t="s">
        <v>108</v>
      </c>
      <c r="B8" s="28" t="s">
        <v>109</v>
      </c>
      <c r="C8" s="28"/>
      <c r="D8" s="46" t="n">
        <f aca="false">SUM(D12:D381)</f>
        <v>154594</v>
      </c>
      <c r="E8" s="46" t="n">
        <f aca="false">SUM(E12:E381)</f>
        <v>157595</v>
      </c>
      <c r="F8" s="46" t="n">
        <f aca="false">D8+E8</f>
        <v>312189</v>
      </c>
      <c r="G8" s="47" t="n">
        <f aca="false">IF(F8=0,"",D8/F8)</f>
        <v>0.495193616687327</v>
      </c>
      <c r="H8" s="47" t="n">
        <f aca="false">IF(F8=0,"",E8/F8)</f>
        <v>0.504806383312673</v>
      </c>
      <c r="I8" s="28" t="s">
        <v>110</v>
      </c>
      <c r="J8" s="48" t="n">
        <v>0.12122496376108</v>
      </c>
      <c r="K8" s="47" t="n">
        <f aca="false">G8-J8/100</f>
        <v>0.493981367049716</v>
      </c>
      <c r="L8" s="47" t="n">
        <f aca="false">G8+J8/100</f>
        <v>0.496405866324938</v>
      </c>
      <c r="M8" s="46" t="n">
        <f aca="false">ROUND(F8*J8/100,0)</f>
        <v>378</v>
      </c>
    </row>
    <row r="9" customFormat="false" ht="15" hidden="false" customHeight="false" outlineLevel="0" collapsed="false">
      <c r="A9" s="13" t="s">
        <v>111</v>
      </c>
      <c r="B9" s="13"/>
      <c r="C9" s="13"/>
      <c r="D9" s="13"/>
      <c r="E9" s="13"/>
      <c r="F9" s="13"/>
      <c r="G9" s="13"/>
      <c r="H9" s="13"/>
      <c r="I9" s="13"/>
      <c r="J9" s="13"/>
      <c r="K9" s="13"/>
      <c r="L9" s="13"/>
      <c r="M9" s="13"/>
    </row>
    <row r="10" customFormat="false" ht="15" hidden="false" customHeight="false" outlineLevel="0" collapsed="false">
      <c r="A10" s="4" t="s">
        <v>112</v>
      </c>
      <c r="B10" s="4"/>
      <c r="C10" s="4"/>
      <c r="D10" s="4"/>
      <c r="E10" s="4"/>
      <c r="F10" s="4"/>
      <c r="G10" s="4"/>
      <c r="H10" s="4"/>
      <c r="I10" s="4"/>
      <c r="J10" s="4"/>
      <c r="K10" s="4"/>
      <c r="L10" s="4"/>
      <c r="M10" s="4"/>
      <c r="P10" s="49" t="s">
        <v>113</v>
      </c>
      <c r="Q10" s="50"/>
      <c r="R10" s="50"/>
      <c r="S10" s="50"/>
      <c r="T10" s="50"/>
    </row>
    <row r="11" customFormat="false" ht="31.5" hidden="false" customHeight="true" outlineLevel="0" collapsed="false">
      <c r="A11" s="8" t="s">
        <v>75</v>
      </c>
      <c r="B11" s="8" t="s">
        <v>76</v>
      </c>
      <c r="C11" s="8" t="s">
        <v>77</v>
      </c>
      <c r="D11" s="8" t="s">
        <v>55</v>
      </c>
      <c r="E11" s="8" t="s">
        <v>56</v>
      </c>
      <c r="F11" s="8" t="s">
        <v>57</v>
      </c>
      <c r="G11" s="8" t="s">
        <v>58</v>
      </c>
      <c r="H11" s="8" t="s">
        <v>102</v>
      </c>
      <c r="I11" s="8" t="s">
        <v>114</v>
      </c>
      <c r="J11" s="8" t="s">
        <v>104</v>
      </c>
      <c r="K11" s="8" t="s">
        <v>105</v>
      </c>
      <c r="L11" s="8" t="s">
        <v>106</v>
      </c>
      <c r="M11" s="8" t="s">
        <v>107</v>
      </c>
      <c r="P11" s="51" t="s">
        <v>115</v>
      </c>
      <c r="Q11" s="51" t="s">
        <v>116</v>
      </c>
      <c r="R11" s="51" t="s">
        <v>117</v>
      </c>
      <c r="S11" s="51" t="s">
        <v>118</v>
      </c>
      <c r="T11" s="51" t="s">
        <v>119</v>
      </c>
    </row>
    <row r="12" customFormat="false" ht="15" hidden="false" customHeight="false" outlineLevel="0" collapsed="false">
      <c r="A12" s="21" t="s">
        <v>120</v>
      </c>
      <c r="B12" s="21" t="s">
        <v>121</v>
      </c>
      <c r="C12" s="21" t="s">
        <v>121</v>
      </c>
      <c r="D12" s="37" t="n">
        <f aca="false">ROUND(Q12*R12,0)</f>
        <v>147</v>
      </c>
      <c r="E12" s="37" t="n">
        <f aca="false">ROUND(Q12,0)-D12</f>
        <v>217</v>
      </c>
      <c r="F12" s="37" t="n">
        <f aca="false">IF(COUNTA(D12:E12)=0,"",SUM(D12:E12))</f>
        <v>364</v>
      </c>
      <c r="G12" s="52" t="n">
        <f aca="false">IF(OR(F12="",F12=0),"",D12/F12)</f>
        <v>0.403846153846154</v>
      </c>
      <c r="H12" s="52" t="n">
        <f aca="false">IF(OR(F12="",F12=0),"",E12/F12)</f>
        <v>0.596153846153846</v>
      </c>
      <c r="I12" s="21" t="s">
        <v>122</v>
      </c>
      <c r="J12" s="53" t="n">
        <v>3.15466234357281</v>
      </c>
      <c r="K12" s="52" t="n">
        <f aca="false">IF(G12="","",MAX(0,G12-J12/100))</f>
        <v>0.372299530410426</v>
      </c>
      <c r="L12" s="52" t="n">
        <f aca="false">IF(G12="","",MIN(1,G12+J12/100))</f>
        <v>0.435392777281882</v>
      </c>
      <c r="M12" s="37" t="n">
        <f aca="false">IF(F12="","",ROUND(F12*J12/100,0))</f>
        <v>11</v>
      </c>
      <c r="P12" s="54" t="n">
        <v>-8.80152705169945</v>
      </c>
      <c r="Q12" s="55" t="n">
        <f aca="false">T12*$H$5</f>
        <v>364.490963855422</v>
      </c>
      <c r="R12" s="56" t="n">
        <f aca="false">MAX(0,MIN(1,P12/100+$D$5))</f>
        <v>0.404201852864536</v>
      </c>
      <c r="S12" s="57" t="s">
        <v>123</v>
      </c>
      <c r="T12" s="55" t="n">
        <v>364.490963855422</v>
      </c>
    </row>
    <row r="13" customFormat="false" ht="15" hidden="false" customHeight="false" outlineLevel="0" collapsed="false">
      <c r="A13" s="21" t="s">
        <v>120</v>
      </c>
      <c r="B13" s="21" t="s">
        <v>124</v>
      </c>
      <c r="C13" s="21" t="s">
        <v>124</v>
      </c>
      <c r="D13" s="37" t="n">
        <f aca="false">ROUND(Q13*R13,0)</f>
        <v>93</v>
      </c>
      <c r="E13" s="37" t="n">
        <f aca="false">ROUND(Q13,0)-D13</f>
        <v>237</v>
      </c>
      <c r="F13" s="37" t="n">
        <f aca="false">IF(COUNTA(D13:E13)=0,"",SUM(D13:E13))</f>
        <v>330</v>
      </c>
      <c r="G13" s="52" t="n">
        <f aca="false">IF(OR(F13="",F13=0),"",D13/F13)</f>
        <v>0.281818181818182</v>
      </c>
      <c r="H13" s="52" t="n">
        <f aca="false">IF(OR(F13="",F13=0),"",E13/F13)</f>
        <v>0.718181818181818</v>
      </c>
      <c r="I13" s="21" t="s">
        <v>122</v>
      </c>
      <c r="J13" s="53" t="n">
        <v>3.15466234357281</v>
      </c>
      <c r="K13" s="52" t="n">
        <f aca="false">IF(G13="","",MAX(0,G13-J13/100))</f>
        <v>0.250271558382454</v>
      </c>
      <c r="L13" s="52" t="n">
        <f aca="false">IF(G13="","",MIN(1,G13+J13/100))</f>
        <v>0.31336480525391</v>
      </c>
      <c r="M13" s="37" t="n">
        <f aca="false">IF(F13="","",ROUND(F13*J13/100,0))</f>
        <v>10</v>
      </c>
      <c r="P13" s="54" t="n">
        <v>-21.0599191008202</v>
      </c>
      <c r="Q13" s="55" t="n">
        <f aca="false">T13*$H$5</f>
        <v>330.130136986301</v>
      </c>
      <c r="R13" s="56" t="n">
        <f aca="false">MAX(0,MIN(1,P13/100+$D$5))</f>
        <v>0.281617932373329</v>
      </c>
      <c r="S13" s="57" t="s">
        <v>123</v>
      </c>
      <c r="T13" s="55" t="n">
        <v>330.130136986301</v>
      </c>
    </row>
    <row r="14" customFormat="false" ht="15" hidden="false" customHeight="false" outlineLevel="0" collapsed="false">
      <c r="A14" s="21" t="s">
        <v>120</v>
      </c>
      <c r="B14" s="21" t="s">
        <v>125</v>
      </c>
      <c r="C14" s="21" t="s">
        <v>125</v>
      </c>
      <c r="D14" s="37" t="n">
        <f aca="false">ROUND(Q14*R14,0)</f>
        <v>114</v>
      </c>
      <c r="E14" s="37" t="n">
        <f aca="false">ROUND(Q14,0)-D14</f>
        <v>242</v>
      </c>
      <c r="F14" s="37" t="n">
        <f aca="false">IF(COUNTA(D14:E14)=0,"",SUM(D14:E14))</f>
        <v>356</v>
      </c>
      <c r="G14" s="52" t="n">
        <f aca="false">IF(OR(F14="",F14=0),"",D14/F14)</f>
        <v>0.320224719101124</v>
      </c>
      <c r="H14" s="52" t="n">
        <f aca="false">IF(OR(F14="",F14=0),"",E14/F14)</f>
        <v>0.679775280898876</v>
      </c>
      <c r="I14" s="21" t="s">
        <v>122</v>
      </c>
      <c r="J14" s="53" t="n">
        <v>3.15466234357281</v>
      </c>
      <c r="K14" s="52" t="n">
        <f aca="false">IF(G14="","",MAX(0,G14-J14/100))</f>
        <v>0.288678095665396</v>
      </c>
      <c r="L14" s="52" t="n">
        <f aca="false">IF(G14="","",MIN(1,G14+J14/100))</f>
        <v>0.351771342536852</v>
      </c>
      <c r="M14" s="37" t="n">
        <f aca="false">IF(F14="","",ROUND(F14*J14/100,0))</f>
        <v>11</v>
      </c>
      <c r="P14" s="54" t="n">
        <v>-17.2165092559815</v>
      </c>
      <c r="Q14" s="55" t="n">
        <f aca="false">T14*$H$5</f>
        <v>355.63436928702</v>
      </c>
      <c r="R14" s="56" t="n">
        <f aca="false">MAX(0,MIN(1,P14/100+$D$5))</f>
        <v>0.320052030821715</v>
      </c>
      <c r="S14" s="57" t="s">
        <v>123</v>
      </c>
      <c r="T14" s="55" t="n">
        <v>355.63436928702</v>
      </c>
    </row>
    <row r="15" customFormat="false" ht="15" hidden="false" customHeight="false" outlineLevel="0" collapsed="false">
      <c r="A15" s="21" t="s">
        <v>120</v>
      </c>
      <c r="B15" s="21" t="s">
        <v>126</v>
      </c>
      <c r="C15" s="21" t="s">
        <v>127</v>
      </c>
      <c r="D15" s="37" t="n">
        <f aca="false">ROUND(Q15*R15,0)</f>
        <v>180</v>
      </c>
      <c r="E15" s="37" t="n">
        <f aca="false">ROUND(Q15,0)-D15</f>
        <v>544</v>
      </c>
      <c r="F15" s="37" t="n">
        <f aca="false">IF(COUNTA(D15:E15)=0,"",SUM(D15:E15))</f>
        <v>724</v>
      </c>
      <c r="G15" s="52" t="n">
        <f aca="false">IF(OR(F15="",F15=0),"",D15/F15)</f>
        <v>0.248618784530387</v>
      </c>
      <c r="H15" s="52" t="n">
        <f aca="false">IF(OR(F15="",F15=0),"",E15/F15)</f>
        <v>0.751381215469613</v>
      </c>
      <c r="I15" s="21" t="s">
        <v>122</v>
      </c>
      <c r="J15" s="53" t="n">
        <v>3.15466234357281</v>
      </c>
      <c r="K15" s="52" t="n">
        <f aca="false">IF(G15="","",MAX(0,G15-J15/100))</f>
        <v>0.217072161094659</v>
      </c>
      <c r="L15" s="52" t="n">
        <f aca="false">IF(G15="","",MIN(1,G15+J15/100))</f>
        <v>0.280165407966115</v>
      </c>
      <c r="M15" s="37" t="n">
        <f aca="false">IF(F15="","",ROUND(F15*J15/100,0))</f>
        <v>23</v>
      </c>
      <c r="P15" s="54" t="n">
        <v>-24.3697989929166</v>
      </c>
      <c r="Q15" s="55" t="n">
        <f aca="false">T15*$H$5</f>
        <v>724.377906976744</v>
      </c>
      <c r="R15" s="56" t="n">
        <f aca="false">MAX(0,MIN(1,P15/100+$D$5))</f>
        <v>0.248519133452365</v>
      </c>
      <c r="S15" s="57" t="s">
        <v>123</v>
      </c>
      <c r="T15" s="55" t="n">
        <v>724.377906976744</v>
      </c>
    </row>
    <row r="16" customFormat="false" ht="15" hidden="false" customHeight="false" outlineLevel="0" collapsed="false">
      <c r="A16" s="21" t="s">
        <v>120</v>
      </c>
      <c r="B16" s="21" t="s">
        <v>126</v>
      </c>
      <c r="C16" s="21" t="s">
        <v>128</v>
      </c>
      <c r="D16" s="37" t="n">
        <f aca="false">ROUND(Q16*R16,0)</f>
        <v>170</v>
      </c>
      <c r="E16" s="37" t="n">
        <f aca="false">ROUND(Q16,0)-D16</f>
        <v>441</v>
      </c>
      <c r="F16" s="37" t="n">
        <f aca="false">IF(COUNTA(D16:E16)=0,"",SUM(D16:E16))</f>
        <v>611</v>
      </c>
      <c r="G16" s="52" t="n">
        <f aca="false">IF(OR(F16="",F16=0),"",D16/F16)</f>
        <v>0.27823240589198</v>
      </c>
      <c r="H16" s="52" t="n">
        <f aca="false">IF(OR(F16="",F16=0),"",E16/F16)</f>
        <v>0.72176759410802</v>
      </c>
      <c r="I16" s="21" t="s">
        <v>122</v>
      </c>
      <c r="J16" s="53" t="n">
        <v>3.15466234357281</v>
      </c>
      <c r="K16" s="52" t="n">
        <f aca="false">IF(G16="","",MAX(0,G16-J16/100))</f>
        <v>0.246685782456252</v>
      </c>
      <c r="L16" s="52" t="n">
        <f aca="false">IF(G16="","",MIN(1,G16+J16/100))</f>
        <v>0.309779029327708</v>
      </c>
      <c r="M16" s="37" t="n">
        <f aca="false">IF(F16="","",ROUND(F16*J16/100,0))</f>
        <v>19</v>
      </c>
      <c r="P16" s="54" t="n">
        <v>-21.3611169820684</v>
      </c>
      <c r="Q16" s="55" t="n">
        <f aca="false">T16*$H$5</f>
        <v>610.89237199582</v>
      </c>
      <c r="R16" s="56" t="n">
        <f aca="false">MAX(0,MIN(1,P16/100+$D$5))</f>
        <v>0.278605953560847</v>
      </c>
      <c r="S16" s="57" t="s">
        <v>123</v>
      </c>
      <c r="T16" s="55" t="n">
        <v>610.89237199582</v>
      </c>
    </row>
    <row r="17" customFormat="false" ht="15" hidden="false" customHeight="false" outlineLevel="0" collapsed="false">
      <c r="A17" s="21" t="s">
        <v>120</v>
      </c>
      <c r="B17" s="21" t="s">
        <v>129</v>
      </c>
      <c r="C17" s="21" t="s">
        <v>129</v>
      </c>
      <c r="D17" s="37" t="n">
        <f aca="false">ROUND(Q17*R17,0)</f>
        <v>32</v>
      </c>
      <c r="E17" s="37" t="n">
        <f aca="false">ROUND(Q17,0)-D17</f>
        <v>61</v>
      </c>
      <c r="F17" s="37" t="n">
        <f aca="false">IF(COUNTA(D17:E17)=0,"",SUM(D17:E17))</f>
        <v>93</v>
      </c>
      <c r="G17" s="52" t="n">
        <f aca="false">IF(OR(F17="",F17=0),"",D17/F17)</f>
        <v>0.344086021505376</v>
      </c>
      <c r="H17" s="52" t="n">
        <f aca="false">IF(OR(F17="",F17=0),"",E17/F17)</f>
        <v>0.655913978494624</v>
      </c>
      <c r="I17" s="21" t="s">
        <v>122</v>
      </c>
      <c r="J17" s="53" t="n">
        <v>3.15466234357281</v>
      </c>
      <c r="K17" s="52" t="n">
        <f aca="false">IF(G17="","",MAX(0,G17-J17/100))</f>
        <v>0.312539398069648</v>
      </c>
      <c r="L17" s="52" t="n">
        <f aca="false">IF(G17="","",MIN(1,G17+J17/100))</f>
        <v>0.375632644941105</v>
      </c>
      <c r="M17" s="37" t="n">
        <f aca="false">IF(F17="","",ROUND(F17*J17/100,0))</f>
        <v>3</v>
      </c>
      <c r="P17" s="54" t="n">
        <v>-15.0197640998559</v>
      </c>
      <c r="Q17" s="55" t="n">
        <f aca="false">T17*$H$5</f>
        <v>93.4268292682927</v>
      </c>
      <c r="R17" s="56" t="n">
        <f aca="false">MAX(0,MIN(1,P17/100+$D$5))</f>
        <v>0.342019482382972</v>
      </c>
      <c r="S17" s="57" t="s">
        <v>123</v>
      </c>
      <c r="T17" s="55" t="n">
        <v>93.4268292682927</v>
      </c>
    </row>
    <row r="18" customFormat="false" ht="15" hidden="false" customHeight="false" outlineLevel="0" collapsed="false">
      <c r="A18" s="21" t="s">
        <v>120</v>
      </c>
      <c r="B18" s="21" t="s">
        <v>130</v>
      </c>
      <c r="C18" s="21" t="s">
        <v>131</v>
      </c>
      <c r="D18" s="37" t="n">
        <f aca="false">ROUND(Q18*R18,0)</f>
        <v>240</v>
      </c>
      <c r="E18" s="37" t="n">
        <f aca="false">ROUND(Q18,0)-D18</f>
        <v>613</v>
      </c>
      <c r="F18" s="37" t="n">
        <f aca="false">IF(COUNTA(D18:E18)=0,"",SUM(D18:E18))</f>
        <v>853</v>
      </c>
      <c r="G18" s="52" t="n">
        <f aca="false">IF(OR(F18="",F18=0),"",D18/F18)</f>
        <v>0.281359906213365</v>
      </c>
      <c r="H18" s="52" t="n">
        <f aca="false">IF(OR(F18="",F18=0),"",E18/F18)</f>
        <v>0.718640093786635</v>
      </c>
      <c r="I18" s="21" t="s">
        <v>122</v>
      </c>
      <c r="J18" s="53" t="n">
        <v>1.88510957763259</v>
      </c>
      <c r="K18" s="52" t="n">
        <f aca="false">IF(G18="","",MAX(0,G18-J18/100))</f>
        <v>0.262508810437039</v>
      </c>
      <c r="L18" s="52" t="n">
        <f aca="false">IF(G18="","",MIN(1,G18+J18/100))</f>
        <v>0.300211001989691</v>
      </c>
      <c r="M18" s="37" t="n">
        <f aca="false">IF(F18="","",ROUND(F18*J18/100,0))</f>
        <v>16</v>
      </c>
      <c r="P18" s="54" t="n">
        <v>-21.1434102692817</v>
      </c>
      <c r="Q18" s="55" t="n">
        <f aca="false">T18*$H$5</f>
        <v>852.994440031771</v>
      </c>
      <c r="R18" s="56" t="n">
        <f aca="false">MAX(0,MIN(1,P18/100+$D$5))</f>
        <v>0.280783020688714</v>
      </c>
      <c r="S18" s="57" t="s">
        <v>132</v>
      </c>
      <c r="T18" s="55" t="n">
        <v>852.994440031771</v>
      </c>
    </row>
    <row r="19" customFormat="false" ht="15" hidden="false" customHeight="false" outlineLevel="0" collapsed="false">
      <c r="A19" s="21" t="s">
        <v>120</v>
      </c>
      <c r="B19" s="21" t="s">
        <v>130</v>
      </c>
      <c r="C19" s="21" t="s">
        <v>133</v>
      </c>
      <c r="D19" s="37" t="n">
        <f aca="false">ROUND(Q19*R19,0)</f>
        <v>121</v>
      </c>
      <c r="E19" s="37" t="n">
        <f aca="false">ROUND(Q19,0)-D19</f>
        <v>327</v>
      </c>
      <c r="F19" s="37" t="n">
        <f aca="false">IF(COUNTA(D19:E19)=0,"",SUM(D19:E19))</f>
        <v>448</v>
      </c>
      <c r="G19" s="52" t="n">
        <f aca="false">IF(OR(F19="",F19=0),"",D19/F19)</f>
        <v>0.270089285714286</v>
      </c>
      <c r="H19" s="52" t="n">
        <f aca="false">IF(OR(F19="",F19=0),"",E19/F19)</f>
        <v>0.729910714285714</v>
      </c>
      <c r="I19" s="21" t="s">
        <v>122</v>
      </c>
      <c r="J19" s="53" t="n">
        <v>3.15466234357281</v>
      </c>
      <c r="K19" s="52" t="n">
        <f aca="false">IF(G19="","",MAX(0,G19-J19/100))</f>
        <v>0.238542662278558</v>
      </c>
      <c r="L19" s="52" t="n">
        <f aca="false">IF(G19="","",MIN(1,G19+J19/100))</f>
        <v>0.301635909150014</v>
      </c>
      <c r="M19" s="37" t="n">
        <f aca="false">IF(F19="","",ROUND(F19*J19/100,0))</f>
        <v>14</v>
      </c>
      <c r="P19" s="54" t="n">
        <v>-22.222719656151</v>
      </c>
      <c r="Q19" s="55" t="n">
        <f aca="false">T19*$H$5</f>
        <v>447.939320388349</v>
      </c>
      <c r="R19" s="56" t="n">
        <f aca="false">MAX(0,MIN(1,P19/100+$D$5))</f>
        <v>0.269989926820021</v>
      </c>
      <c r="S19" s="57" t="s">
        <v>123</v>
      </c>
      <c r="T19" s="55" t="n">
        <v>447.939320388349</v>
      </c>
    </row>
    <row r="20" customFormat="false" ht="15" hidden="false" customHeight="false" outlineLevel="0" collapsed="false">
      <c r="A20" s="21" t="s">
        <v>120</v>
      </c>
      <c r="B20" s="21" t="s">
        <v>130</v>
      </c>
      <c r="C20" s="21" t="s">
        <v>134</v>
      </c>
      <c r="D20" s="37" t="n">
        <f aca="false">ROUND(Q20*R20,0)</f>
        <v>184</v>
      </c>
      <c r="E20" s="37" t="n">
        <f aca="false">ROUND(Q20,0)-D20</f>
        <v>499</v>
      </c>
      <c r="F20" s="37" t="n">
        <f aca="false">IF(COUNTA(D20:E20)=0,"",SUM(D20:E20))</f>
        <v>683</v>
      </c>
      <c r="G20" s="52" t="n">
        <f aca="false">IF(OR(F20="",F20=0),"",D20/F20)</f>
        <v>0.269399707174231</v>
      </c>
      <c r="H20" s="52" t="n">
        <f aca="false">IF(OR(F20="",F20=0),"",E20/F20)</f>
        <v>0.730600292825769</v>
      </c>
      <c r="I20" s="21" t="s">
        <v>122</v>
      </c>
      <c r="J20" s="53" t="n">
        <v>3.15466234357281</v>
      </c>
      <c r="K20" s="52" t="n">
        <f aca="false">IF(G20="","",MAX(0,G20-J20/100))</f>
        <v>0.237853083738503</v>
      </c>
      <c r="L20" s="52" t="n">
        <f aca="false">IF(G20="","",MIN(1,G20+J20/100))</f>
        <v>0.300946330609959</v>
      </c>
      <c r="M20" s="37" t="n">
        <f aca="false">IF(F20="","",ROUND(F20*J20/100,0))</f>
        <v>22</v>
      </c>
      <c r="P20" s="54" t="n">
        <v>-22.3505795963494</v>
      </c>
      <c r="Q20" s="55" t="n">
        <f aca="false">T20*$H$5</f>
        <v>683.326771653543</v>
      </c>
      <c r="R20" s="56" t="n">
        <f aca="false">MAX(0,MIN(1,P20/100+$D$5))</f>
        <v>0.268711327418037</v>
      </c>
      <c r="S20" s="57" t="s">
        <v>123</v>
      </c>
      <c r="T20" s="55" t="n">
        <v>683.326771653543</v>
      </c>
    </row>
    <row r="21" customFormat="false" ht="15" hidden="false" customHeight="false" outlineLevel="0" collapsed="false">
      <c r="A21" s="21" t="s">
        <v>120</v>
      </c>
      <c r="B21" s="21" t="s">
        <v>135</v>
      </c>
      <c r="C21" s="21" t="s">
        <v>136</v>
      </c>
      <c r="D21" s="37" t="n">
        <f aca="false">ROUND(Q21*R21,0)</f>
        <v>199</v>
      </c>
      <c r="E21" s="37" t="n">
        <f aca="false">ROUND(Q21,0)-D21</f>
        <v>237</v>
      </c>
      <c r="F21" s="37" t="n">
        <f aca="false">IF(COUNTA(D21:E21)=0,"",SUM(D21:E21))</f>
        <v>436</v>
      </c>
      <c r="G21" s="52" t="n">
        <f aca="false">IF(OR(F21="",F21=0),"",D21/F21)</f>
        <v>0.456422018348624</v>
      </c>
      <c r="H21" s="52" t="n">
        <f aca="false">IF(OR(F21="",F21=0),"",E21/F21)</f>
        <v>0.543577981651376</v>
      </c>
      <c r="I21" s="21" t="s">
        <v>122</v>
      </c>
      <c r="J21" s="53" t="n">
        <v>3.15466234357281</v>
      </c>
      <c r="K21" s="52" t="n">
        <f aca="false">IF(G21="","",MAX(0,G21-J21/100))</f>
        <v>0.424875394912896</v>
      </c>
      <c r="L21" s="52" t="n">
        <f aca="false">IF(G21="","",MIN(1,G21+J21/100))</f>
        <v>0.487968641784352</v>
      </c>
      <c r="M21" s="37" t="n">
        <f aca="false">IF(F21="","",ROUND(F21*J21/100,0))</f>
        <v>14</v>
      </c>
      <c r="P21" s="54" t="n">
        <v>-3.64131479846973</v>
      </c>
      <c r="Q21" s="55" t="n">
        <f aca="false">T21*$H$5</f>
        <v>436.24466571835</v>
      </c>
      <c r="R21" s="56" t="n">
        <f aca="false">MAX(0,MIN(1,P21/100+$D$5))</f>
        <v>0.455803975396833</v>
      </c>
      <c r="S21" s="57" t="s">
        <v>123</v>
      </c>
      <c r="T21" s="55" t="n">
        <v>436.24466571835</v>
      </c>
    </row>
    <row r="22" customFormat="false" ht="15" hidden="false" customHeight="false" outlineLevel="0" collapsed="false">
      <c r="A22" s="21" t="s">
        <v>120</v>
      </c>
      <c r="B22" s="21" t="s">
        <v>135</v>
      </c>
      <c r="C22" s="21" t="s">
        <v>137</v>
      </c>
      <c r="D22" s="37" t="n">
        <f aca="false">ROUND(Q22*R22,0)</f>
        <v>123</v>
      </c>
      <c r="E22" s="37" t="n">
        <f aca="false">ROUND(Q22,0)-D22</f>
        <v>157</v>
      </c>
      <c r="F22" s="37" t="n">
        <f aca="false">IF(COUNTA(D22:E22)=0,"",SUM(D22:E22))</f>
        <v>280</v>
      </c>
      <c r="G22" s="52" t="n">
        <f aca="false">IF(OR(F22="",F22=0),"",D22/F22)</f>
        <v>0.439285714285714</v>
      </c>
      <c r="H22" s="52" t="n">
        <f aca="false">IF(OR(F22="",F22=0),"",E22/F22)</f>
        <v>0.560714285714286</v>
      </c>
      <c r="I22" s="21" t="s">
        <v>122</v>
      </c>
      <c r="J22" s="53" t="n">
        <v>3.15466234357281</v>
      </c>
      <c r="K22" s="52" t="n">
        <f aca="false">IF(G22="","",MAX(0,G22-J22/100))</f>
        <v>0.407739090849986</v>
      </c>
      <c r="L22" s="52" t="n">
        <f aca="false">IF(G22="","",MIN(1,G22+J22/100))</f>
        <v>0.470832337721442</v>
      </c>
      <c r="M22" s="37" t="n">
        <f aca="false">IF(F22="","",ROUND(F22*J22/100,0))</f>
        <v>9</v>
      </c>
      <c r="P22" s="54" t="n">
        <v>-5.44574670166437</v>
      </c>
      <c r="Q22" s="55" t="n">
        <f aca="false">T22*$H$5</f>
        <v>280.5</v>
      </c>
      <c r="R22" s="56" t="n">
        <f aca="false">MAX(0,MIN(1,P22/100+$D$5))</f>
        <v>0.437759656364887</v>
      </c>
      <c r="S22" s="57" t="s">
        <v>123</v>
      </c>
      <c r="T22" s="55" t="n">
        <v>280.5</v>
      </c>
    </row>
    <row r="23" customFormat="false" ht="15" hidden="false" customHeight="false" outlineLevel="0" collapsed="false">
      <c r="A23" s="21" t="s">
        <v>120</v>
      </c>
      <c r="B23" s="21" t="s">
        <v>135</v>
      </c>
      <c r="C23" s="21" t="s">
        <v>138</v>
      </c>
      <c r="D23" s="37" t="n">
        <f aca="false">ROUND(Q23*R23,0)</f>
        <v>252</v>
      </c>
      <c r="E23" s="37" t="n">
        <f aca="false">ROUND(Q23,0)-D23</f>
        <v>394</v>
      </c>
      <c r="F23" s="37" t="n">
        <f aca="false">IF(COUNTA(D23:E23)=0,"",SUM(D23:E23))</f>
        <v>646</v>
      </c>
      <c r="G23" s="52" t="n">
        <f aca="false">IF(OR(F23="",F23=0),"",D23/F23)</f>
        <v>0.390092879256966</v>
      </c>
      <c r="H23" s="52" t="n">
        <f aca="false">IF(OR(F23="",F23=0),"",E23/F23)</f>
        <v>0.609907120743034</v>
      </c>
      <c r="I23" s="21" t="s">
        <v>122</v>
      </c>
      <c r="J23" s="53" t="n">
        <v>3.15466234357281</v>
      </c>
      <c r="K23" s="52" t="n">
        <f aca="false">IF(G23="","",MAX(0,G23-J23/100))</f>
        <v>0.358546255821238</v>
      </c>
      <c r="L23" s="52" t="n">
        <f aca="false">IF(G23="","",MIN(1,G23+J23/100))</f>
        <v>0.421639502692694</v>
      </c>
      <c r="M23" s="37" t="n">
        <f aca="false">IF(F23="","",ROUND(F23*J23/100,0))</f>
        <v>20</v>
      </c>
      <c r="P23" s="54" t="n">
        <v>-10.2385457897066</v>
      </c>
      <c r="Q23" s="55" t="n">
        <f aca="false">T23*$H$5</f>
        <v>645.69536423841</v>
      </c>
      <c r="R23" s="56" t="n">
        <f aca="false">MAX(0,MIN(1,P23/100+$D$5))</f>
        <v>0.389831665484465</v>
      </c>
      <c r="S23" s="57" t="s">
        <v>123</v>
      </c>
      <c r="T23" s="55" t="n">
        <v>645.69536423841</v>
      </c>
    </row>
    <row r="24" customFormat="false" ht="15" hidden="false" customHeight="false" outlineLevel="0" collapsed="false">
      <c r="A24" s="21" t="s">
        <v>120</v>
      </c>
      <c r="B24" s="21" t="s">
        <v>135</v>
      </c>
      <c r="C24" s="21" t="s">
        <v>139</v>
      </c>
      <c r="D24" s="37" t="n">
        <f aca="false">ROUND(Q24*R24,0)</f>
        <v>120</v>
      </c>
      <c r="E24" s="37" t="n">
        <f aca="false">ROUND(Q24,0)-D24</f>
        <v>109</v>
      </c>
      <c r="F24" s="37" t="n">
        <f aca="false">IF(COUNTA(D24:E24)=0,"",SUM(D24:E24))</f>
        <v>229</v>
      </c>
      <c r="G24" s="52" t="n">
        <f aca="false">IF(OR(F24="",F24=0),"",D24/F24)</f>
        <v>0.524017467248908</v>
      </c>
      <c r="H24" s="52" t="n">
        <f aca="false">IF(OR(F24="",F24=0),"",E24/F24)</f>
        <v>0.475982532751092</v>
      </c>
      <c r="I24" s="21" t="s">
        <v>122</v>
      </c>
      <c r="J24" s="53" t="n">
        <v>3.15466234357281</v>
      </c>
      <c r="K24" s="52" t="n">
        <f aca="false">IF(G24="","",MAX(0,G24-J24/100))</f>
        <v>0.49247084381318</v>
      </c>
      <c r="L24" s="52" t="n">
        <f aca="false">IF(G24="","",MIN(1,G24+J24/100))</f>
        <v>0.555564090684636</v>
      </c>
      <c r="M24" s="37" t="n">
        <f aca="false">IF(F24="","",ROUND(F24*J24/100,0))</f>
        <v>7</v>
      </c>
      <c r="P24" s="54" t="n">
        <v>2.87998205265929</v>
      </c>
      <c r="Q24" s="55" t="n">
        <f aca="false">T24*$H$5</f>
        <v>229.496083550914</v>
      </c>
      <c r="R24" s="56" t="n">
        <f aca="false">MAX(0,MIN(1,P24/100+$D$5))</f>
        <v>0.521016943908124</v>
      </c>
      <c r="S24" s="57" t="s">
        <v>123</v>
      </c>
      <c r="T24" s="55" t="n">
        <v>229.496083550914</v>
      </c>
    </row>
    <row r="25" customFormat="false" ht="15" hidden="false" customHeight="false" outlineLevel="0" collapsed="false">
      <c r="A25" s="21" t="s">
        <v>120</v>
      </c>
      <c r="B25" s="21" t="s">
        <v>135</v>
      </c>
      <c r="C25" s="21" t="s">
        <v>140</v>
      </c>
      <c r="D25" s="37" t="n">
        <f aca="false">ROUND(Q25*R25,0)</f>
        <v>239</v>
      </c>
      <c r="E25" s="37" t="n">
        <f aca="false">ROUND(Q25,0)-D25</f>
        <v>280</v>
      </c>
      <c r="F25" s="37" t="n">
        <f aca="false">IF(COUNTA(D25:E25)=0,"",SUM(D25:E25))</f>
        <v>519</v>
      </c>
      <c r="G25" s="52" t="n">
        <f aca="false">IF(OR(F25="",F25=0),"",D25/F25)</f>
        <v>0.460500963391137</v>
      </c>
      <c r="H25" s="52" t="n">
        <f aca="false">IF(OR(F25="",F25=0),"",E25/F25)</f>
        <v>0.539499036608863</v>
      </c>
      <c r="I25" s="21" t="s">
        <v>122</v>
      </c>
      <c r="J25" s="53" t="n">
        <v>3.15466234357281</v>
      </c>
      <c r="K25" s="52" t="n">
        <f aca="false">IF(G25="","",MAX(0,G25-J25/100))</f>
        <v>0.428954339955409</v>
      </c>
      <c r="L25" s="52" t="n">
        <f aca="false">IF(G25="","",MIN(1,G25+J25/100))</f>
        <v>0.492047586826865</v>
      </c>
      <c r="M25" s="37" t="n">
        <f aca="false">IF(F25="","",ROUND(F25*J25/100,0))</f>
        <v>16</v>
      </c>
      <c r="P25" s="54" t="n">
        <v>-3.13599003558893</v>
      </c>
      <c r="Q25" s="55" t="n">
        <f aca="false">T25*$H$5</f>
        <v>519.166666666667</v>
      </c>
      <c r="R25" s="56" t="n">
        <f aca="false">MAX(0,MIN(1,P25/100+$D$5))</f>
        <v>0.460857223025641</v>
      </c>
      <c r="S25" s="57" t="s">
        <v>123</v>
      </c>
      <c r="T25" s="55" t="n">
        <v>519.166666666667</v>
      </c>
    </row>
    <row r="26" customFormat="false" ht="15" hidden="false" customHeight="false" outlineLevel="0" collapsed="false">
      <c r="A26" s="21" t="s">
        <v>120</v>
      </c>
      <c r="B26" s="21" t="s">
        <v>141</v>
      </c>
      <c r="C26" s="21" t="s">
        <v>142</v>
      </c>
      <c r="D26" s="37" t="n">
        <f aca="false">ROUND(Q26*R26,0)</f>
        <v>96</v>
      </c>
      <c r="E26" s="37" t="n">
        <f aca="false">ROUND(Q26,0)-D26</f>
        <v>171</v>
      </c>
      <c r="F26" s="37" t="n">
        <f aca="false">IF(COUNTA(D26:E26)=0,"",SUM(D26:E26))</f>
        <v>267</v>
      </c>
      <c r="G26" s="52" t="n">
        <f aca="false">IF(OR(F26="",F26=0),"",D26/F26)</f>
        <v>0.359550561797753</v>
      </c>
      <c r="H26" s="52" t="n">
        <f aca="false">IF(OR(F26="",F26=0),"",E26/F26)</f>
        <v>0.640449438202247</v>
      </c>
      <c r="I26" s="21" t="s">
        <v>122</v>
      </c>
      <c r="J26" s="53" t="n">
        <v>3.15466234357281</v>
      </c>
      <c r="K26" s="52" t="n">
        <f aca="false">IF(G26="","",MAX(0,G26-J26/100))</f>
        <v>0.328003938362025</v>
      </c>
      <c r="L26" s="52" t="n">
        <f aca="false">IF(G26="","",MIN(1,G26+J26/100))</f>
        <v>0.391097185233481</v>
      </c>
      <c r="M26" s="37" t="n">
        <f aca="false">IF(F26="","",ROUND(F26*J26/100,0))</f>
        <v>8</v>
      </c>
      <c r="P26" s="54" t="n">
        <v>-13.4535926449599</v>
      </c>
      <c r="Q26" s="55" t="n">
        <f aca="false">T26*$H$5</f>
        <v>267.002518891688</v>
      </c>
      <c r="R26" s="56" t="n">
        <f aca="false">MAX(0,MIN(1,P26/100+$D$5))</f>
        <v>0.357681196931932</v>
      </c>
      <c r="S26" s="57" t="s">
        <v>123</v>
      </c>
      <c r="T26" s="55" t="n">
        <v>267.002518891688</v>
      </c>
    </row>
    <row r="27" customFormat="false" ht="15" hidden="false" customHeight="false" outlineLevel="0" collapsed="false">
      <c r="A27" s="21" t="s">
        <v>120</v>
      </c>
      <c r="B27" s="21" t="s">
        <v>141</v>
      </c>
      <c r="C27" s="21" t="s">
        <v>143</v>
      </c>
      <c r="D27" s="37" t="n">
        <f aca="false">ROUND(Q27*R27,0)</f>
        <v>175</v>
      </c>
      <c r="E27" s="37" t="n">
        <f aca="false">ROUND(Q27,0)-D27</f>
        <v>367</v>
      </c>
      <c r="F27" s="37" t="n">
        <f aca="false">IF(COUNTA(D27:E27)=0,"",SUM(D27:E27))</f>
        <v>542</v>
      </c>
      <c r="G27" s="52" t="n">
        <f aca="false">IF(OR(F27="",F27=0),"",D27/F27)</f>
        <v>0.322878228782288</v>
      </c>
      <c r="H27" s="52" t="n">
        <f aca="false">IF(OR(F27="",F27=0),"",E27/F27)</f>
        <v>0.677121771217712</v>
      </c>
      <c r="I27" s="21" t="s">
        <v>122</v>
      </c>
      <c r="J27" s="53" t="n">
        <v>3.15466234357281</v>
      </c>
      <c r="K27" s="52" t="n">
        <f aca="false">IF(G27="","",MAX(0,G27-J27/100))</f>
        <v>0.29133160534656</v>
      </c>
      <c r="L27" s="52" t="n">
        <f aca="false">IF(G27="","",MIN(1,G27+J27/100))</f>
        <v>0.354424852218016</v>
      </c>
      <c r="M27" s="37" t="n">
        <f aca="false">IF(F27="","",ROUND(F27*J27/100,0))</f>
        <v>17</v>
      </c>
      <c r="P27" s="54" t="n">
        <v>-16.9266816925478</v>
      </c>
      <c r="Q27" s="55" t="n">
        <f aca="false">T27*$H$5</f>
        <v>542.170709793351</v>
      </c>
      <c r="R27" s="56" t="n">
        <f aca="false">MAX(0,MIN(1,P27/100+$D$5))</f>
        <v>0.322950306456053</v>
      </c>
      <c r="S27" s="57" t="s">
        <v>123</v>
      </c>
      <c r="T27" s="55" t="n">
        <v>542.170709793351</v>
      </c>
    </row>
    <row r="28" customFormat="false" ht="15" hidden="false" customHeight="false" outlineLevel="0" collapsed="false">
      <c r="A28" s="21" t="s">
        <v>120</v>
      </c>
      <c r="B28" s="21" t="s">
        <v>144</v>
      </c>
      <c r="C28" s="21" t="s">
        <v>145</v>
      </c>
      <c r="D28" s="37" t="n">
        <f aca="false">ROUND(Q28*R28,0)</f>
        <v>212</v>
      </c>
      <c r="E28" s="37" t="n">
        <f aca="false">ROUND(Q28,0)-D28</f>
        <v>312</v>
      </c>
      <c r="F28" s="37" t="n">
        <f aca="false">IF(COUNTA(D28:E28)=0,"",SUM(D28:E28))</f>
        <v>524</v>
      </c>
      <c r="G28" s="52" t="n">
        <f aca="false">IF(OR(F28="",F28=0),"",D28/F28)</f>
        <v>0.404580152671756</v>
      </c>
      <c r="H28" s="52" t="n">
        <f aca="false">IF(OR(F28="",F28=0),"",E28/F28)</f>
        <v>0.595419847328244</v>
      </c>
      <c r="I28" s="21" t="s">
        <v>122</v>
      </c>
      <c r="J28" s="53" t="n">
        <v>3.15466234357281</v>
      </c>
      <c r="K28" s="52" t="n">
        <f aca="false">IF(G28="","",MAX(0,G28-J28/100))</f>
        <v>0.373033529236028</v>
      </c>
      <c r="L28" s="52" t="n">
        <f aca="false">IF(G28="","",MIN(1,G28+J28/100))</f>
        <v>0.436126776107484</v>
      </c>
      <c r="M28" s="37" t="n">
        <f aca="false">IF(F28="","",ROUND(F28*J28/100,0))</f>
        <v>17</v>
      </c>
      <c r="P28" s="54" t="n">
        <v>-8.80720258617316</v>
      </c>
      <c r="Q28" s="55" t="n">
        <f aca="false">T28*$H$5</f>
        <v>523.643835616438</v>
      </c>
      <c r="R28" s="56" t="n">
        <f aca="false">MAX(0,MIN(1,P28/100+$D$5))</f>
        <v>0.404145097519799</v>
      </c>
      <c r="S28" s="57" t="s">
        <v>123</v>
      </c>
      <c r="T28" s="55" t="n">
        <v>523.643835616438</v>
      </c>
    </row>
    <row r="29" customFormat="false" ht="15" hidden="false" customHeight="false" outlineLevel="0" collapsed="false">
      <c r="A29" s="21" t="s">
        <v>120</v>
      </c>
      <c r="B29" s="21" t="s">
        <v>144</v>
      </c>
      <c r="C29" s="21" t="s">
        <v>146</v>
      </c>
      <c r="D29" s="37" t="n">
        <f aca="false">ROUND(Q29*R29,0)</f>
        <v>119</v>
      </c>
      <c r="E29" s="37" t="n">
        <f aca="false">ROUND(Q29,0)-D29</f>
        <v>179</v>
      </c>
      <c r="F29" s="37" t="n">
        <f aca="false">IF(COUNTA(D29:E29)=0,"",SUM(D29:E29))</f>
        <v>298</v>
      </c>
      <c r="G29" s="52" t="n">
        <f aca="false">IF(OR(F29="",F29=0),"",D29/F29)</f>
        <v>0.399328859060403</v>
      </c>
      <c r="H29" s="52" t="n">
        <f aca="false">IF(OR(F29="",F29=0),"",E29/F29)</f>
        <v>0.600671140939597</v>
      </c>
      <c r="I29" s="21" t="s">
        <v>122</v>
      </c>
      <c r="J29" s="53" t="n">
        <v>3.15466234357281</v>
      </c>
      <c r="K29" s="52" t="n">
        <f aca="false">IF(G29="","",MAX(0,G29-J29/100))</f>
        <v>0.367782235624675</v>
      </c>
      <c r="L29" s="52" t="n">
        <f aca="false">IF(G29="","",MIN(1,G29+J29/100))</f>
        <v>0.430875482496131</v>
      </c>
      <c r="M29" s="37" t="n">
        <f aca="false">IF(F29="","",ROUND(F29*J29/100,0))</f>
        <v>9</v>
      </c>
      <c r="P29" s="54" t="n">
        <v>-9.23885696531137</v>
      </c>
      <c r="Q29" s="55" t="n">
        <f aca="false">T29*$H$5</f>
        <v>297.7625</v>
      </c>
      <c r="R29" s="56" t="n">
        <f aca="false">MAX(0,MIN(1,P29/100+$D$5))</f>
        <v>0.399828553728417</v>
      </c>
      <c r="S29" s="57" t="s">
        <v>123</v>
      </c>
      <c r="T29" s="55" t="n">
        <v>297.7625</v>
      </c>
    </row>
    <row r="30" customFormat="false" ht="15" hidden="false" customHeight="false" outlineLevel="0" collapsed="false">
      <c r="A30" s="21" t="s">
        <v>120</v>
      </c>
      <c r="B30" s="21" t="s">
        <v>144</v>
      </c>
      <c r="C30" s="21" t="s">
        <v>147</v>
      </c>
      <c r="D30" s="37" t="n">
        <f aca="false">ROUND(Q30*R30,0)</f>
        <v>110</v>
      </c>
      <c r="E30" s="37" t="n">
        <f aca="false">ROUND(Q30,0)-D30</f>
        <v>151</v>
      </c>
      <c r="F30" s="37" t="n">
        <f aca="false">IF(COUNTA(D30:E30)=0,"",SUM(D30:E30))</f>
        <v>261</v>
      </c>
      <c r="G30" s="52" t="n">
        <f aca="false">IF(OR(F30="",F30=0),"",D30/F30)</f>
        <v>0.421455938697318</v>
      </c>
      <c r="H30" s="52" t="n">
        <f aca="false">IF(OR(F30="",F30=0),"",E30/F30)</f>
        <v>0.578544061302682</v>
      </c>
      <c r="I30" s="21" t="s">
        <v>122</v>
      </c>
      <c r="J30" s="53" t="n">
        <v>3.15466234357281</v>
      </c>
      <c r="K30" s="52" t="n">
        <f aca="false">IF(G30="","",MAX(0,G30-J30/100))</f>
        <v>0.38990931526159</v>
      </c>
      <c r="L30" s="52" t="n">
        <f aca="false">IF(G30="","",MIN(1,G30+J30/100))</f>
        <v>0.453002562133046</v>
      </c>
      <c r="M30" s="37" t="n">
        <f aca="false">IF(F30="","",ROUND(F30*J30/100,0))</f>
        <v>8</v>
      </c>
      <c r="P30" s="54" t="n">
        <v>-6.95011448391853</v>
      </c>
      <c r="Q30" s="55" t="n">
        <f aca="false">T30*$H$5</f>
        <v>260.883392226148</v>
      </c>
      <c r="R30" s="56" t="n">
        <f aca="false">MAX(0,MIN(1,P30/100+$D$5))</f>
        <v>0.422715978542345</v>
      </c>
      <c r="S30" s="57" t="s">
        <v>123</v>
      </c>
      <c r="T30" s="55" t="n">
        <v>260.883392226148</v>
      </c>
    </row>
    <row r="31" customFormat="false" ht="15" hidden="false" customHeight="false" outlineLevel="0" collapsed="false">
      <c r="A31" s="21" t="s">
        <v>120</v>
      </c>
      <c r="B31" s="21" t="s">
        <v>148</v>
      </c>
      <c r="C31" s="21" t="s">
        <v>148</v>
      </c>
      <c r="D31" s="37" t="n">
        <f aca="false">ROUND(Q31*R31,0)</f>
        <v>31</v>
      </c>
      <c r="E31" s="37" t="n">
        <f aca="false">ROUND(Q31,0)-D31</f>
        <v>87</v>
      </c>
      <c r="F31" s="37" t="n">
        <f aca="false">IF(COUNTA(D31:E31)=0,"",SUM(D31:E31))</f>
        <v>118</v>
      </c>
      <c r="G31" s="52" t="n">
        <f aca="false">IF(OR(F31="",F31=0),"",D31/F31)</f>
        <v>0.26271186440678</v>
      </c>
      <c r="H31" s="52" t="n">
        <f aca="false">IF(OR(F31="",F31=0),"",E31/F31)</f>
        <v>0.73728813559322</v>
      </c>
      <c r="I31" s="21" t="s">
        <v>122</v>
      </c>
      <c r="J31" s="53" t="n">
        <v>3.15466234357281</v>
      </c>
      <c r="K31" s="52" t="n">
        <f aca="false">IF(G31="","",MAX(0,G31-J31/100))</f>
        <v>0.231165240971052</v>
      </c>
      <c r="L31" s="52" t="n">
        <f aca="false">IF(G31="","",MIN(1,G31+J31/100))</f>
        <v>0.294258487842508</v>
      </c>
      <c r="M31" s="37" t="n">
        <f aca="false">IF(F31="","",ROUND(F31*J31/100,0))</f>
        <v>4</v>
      </c>
      <c r="P31" s="54" t="n">
        <v>-22.7934093157282</v>
      </c>
      <c r="Q31" s="55" t="n">
        <f aca="false">T31*$H$5</f>
        <v>118.285714285714</v>
      </c>
      <c r="R31" s="56" t="n">
        <f aca="false">MAX(0,MIN(1,P31/100+$D$5))</f>
        <v>0.264283030224248</v>
      </c>
      <c r="S31" s="57" t="s">
        <v>123</v>
      </c>
      <c r="T31" s="55" t="n">
        <v>118.285714285714</v>
      </c>
    </row>
    <row r="32" customFormat="false" ht="15" hidden="false" customHeight="false" outlineLevel="0" collapsed="false">
      <c r="A32" s="21" t="s">
        <v>120</v>
      </c>
      <c r="B32" s="21" t="s">
        <v>149</v>
      </c>
      <c r="C32" s="21" t="s">
        <v>149</v>
      </c>
      <c r="D32" s="37" t="n">
        <f aca="false">ROUND(Q32*R32,0)</f>
        <v>49</v>
      </c>
      <c r="E32" s="37" t="n">
        <f aca="false">ROUND(Q32,0)-D32</f>
        <v>188</v>
      </c>
      <c r="F32" s="37" t="n">
        <f aca="false">IF(COUNTA(D32:E32)=0,"",SUM(D32:E32))</f>
        <v>237</v>
      </c>
      <c r="G32" s="52" t="n">
        <f aca="false">IF(OR(F32="",F32=0),"",D32/F32)</f>
        <v>0.206751054852321</v>
      </c>
      <c r="H32" s="52" t="n">
        <f aca="false">IF(OR(F32="",F32=0),"",E32/F32)</f>
        <v>0.793248945147679</v>
      </c>
      <c r="I32" s="21" t="s">
        <v>122</v>
      </c>
      <c r="J32" s="53" t="n">
        <v>3.15466234357281</v>
      </c>
      <c r="K32" s="52" t="n">
        <f aca="false">IF(G32="","",MAX(0,G32-J32/100))</f>
        <v>0.175204431416593</v>
      </c>
      <c r="L32" s="52" t="n">
        <f aca="false">IF(G32="","",MIN(1,G32+J32/100))</f>
        <v>0.238297678288049</v>
      </c>
      <c r="M32" s="37" t="n">
        <f aca="false">IF(F32="","",ROUND(F32*J32/100,0))</f>
        <v>7</v>
      </c>
      <c r="P32" s="54" t="n">
        <v>-28.6548804615942</v>
      </c>
      <c r="Q32" s="55" t="n">
        <f aca="false">T32*$H$5</f>
        <v>236.844827586207</v>
      </c>
      <c r="R32" s="56" t="n">
        <f aca="false">MAX(0,MIN(1,P32/100+$D$5))</f>
        <v>0.205668318765589</v>
      </c>
      <c r="S32" s="57" t="s">
        <v>123</v>
      </c>
      <c r="T32" s="55" t="n">
        <v>236.844827586207</v>
      </c>
    </row>
    <row r="33" customFormat="false" ht="15" hidden="false" customHeight="false" outlineLevel="0" collapsed="false">
      <c r="A33" s="21" t="s">
        <v>120</v>
      </c>
      <c r="B33" s="21" t="s">
        <v>150</v>
      </c>
      <c r="C33" s="21" t="s">
        <v>151</v>
      </c>
      <c r="D33" s="37" t="n">
        <f aca="false">ROUND(Q33*R33,0)</f>
        <v>236</v>
      </c>
      <c r="E33" s="37" t="n">
        <f aca="false">ROUND(Q33,0)-D33</f>
        <v>360</v>
      </c>
      <c r="F33" s="37" t="n">
        <f aca="false">IF(COUNTA(D33:E33)=0,"",SUM(D33:E33))</f>
        <v>596</v>
      </c>
      <c r="G33" s="52" t="n">
        <f aca="false">IF(OR(F33="",F33=0),"",D33/F33)</f>
        <v>0.395973154362416</v>
      </c>
      <c r="H33" s="52" t="n">
        <f aca="false">IF(OR(F33="",F33=0),"",E33/F33)</f>
        <v>0.604026845637584</v>
      </c>
      <c r="I33" s="21" t="s">
        <v>122</v>
      </c>
      <c r="J33" s="53" t="n">
        <v>3.15466234357281</v>
      </c>
      <c r="K33" s="52" t="n">
        <f aca="false">IF(G33="","",MAX(0,G33-J33/100))</f>
        <v>0.364426530926688</v>
      </c>
      <c r="L33" s="52" t="n">
        <f aca="false">IF(G33="","",MIN(1,G33+J33/100))</f>
        <v>0.427519777798144</v>
      </c>
      <c r="M33" s="37" t="n">
        <f aca="false">IF(F33="","",ROUND(F33*J33/100,0))</f>
        <v>19</v>
      </c>
      <c r="P33" s="54" t="n">
        <v>-9.63232224460964</v>
      </c>
      <c r="Q33" s="55" t="n">
        <f aca="false">T33*$H$5</f>
        <v>596.457399103139</v>
      </c>
      <c r="R33" s="56" t="n">
        <f aca="false">MAX(0,MIN(1,P33/100+$D$5))</f>
        <v>0.395893900935434</v>
      </c>
      <c r="S33" s="57" t="s">
        <v>123</v>
      </c>
      <c r="T33" s="55" t="n">
        <v>596.457399103139</v>
      </c>
    </row>
    <row r="34" customFormat="false" ht="15" hidden="false" customHeight="false" outlineLevel="0" collapsed="false">
      <c r="A34" s="21" t="s">
        <v>120</v>
      </c>
      <c r="B34" s="21" t="s">
        <v>150</v>
      </c>
      <c r="C34" s="21" t="s">
        <v>152</v>
      </c>
      <c r="D34" s="37" t="n">
        <f aca="false">ROUND(Q34*R34,0)</f>
        <v>219</v>
      </c>
      <c r="E34" s="37" t="n">
        <f aca="false">ROUND(Q34,0)-D34</f>
        <v>344</v>
      </c>
      <c r="F34" s="37" t="n">
        <f aca="false">IF(COUNTA(D34:E34)=0,"",SUM(D34:E34))</f>
        <v>563</v>
      </c>
      <c r="G34" s="52" t="n">
        <f aca="false">IF(OR(F34="",F34=0),"",D34/F34)</f>
        <v>0.38898756660746</v>
      </c>
      <c r="H34" s="52" t="n">
        <f aca="false">IF(OR(F34="",F34=0),"",E34/F34)</f>
        <v>0.61101243339254</v>
      </c>
      <c r="I34" s="21" t="s">
        <v>122</v>
      </c>
      <c r="J34" s="53" t="n">
        <v>3.15466234357281</v>
      </c>
      <c r="K34" s="52" t="n">
        <f aca="false">IF(G34="","",MAX(0,G34-J34/100))</f>
        <v>0.357440943171732</v>
      </c>
      <c r="L34" s="52" t="n">
        <f aca="false">IF(G34="","",MIN(1,G34+J34/100))</f>
        <v>0.420534190043188</v>
      </c>
      <c r="M34" s="37" t="n">
        <f aca="false">IF(F34="","",ROUND(F34*J34/100,0))</f>
        <v>18</v>
      </c>
      <c r="P34" s="54" t="n">
        <v>-10.3998286228793</v>
      </c>
      <c r="Q34" s="55" t="n">
        <f aca="false">T34*$H$5</f>
        <v>563.161453077699</v>
      </c>
      <c r="R34" s="56" t="n">
        <f aca="false">MAX(0,MIN(1,P34/100+$D$5))</f>
        <v>0.388218837152738</v>
      </c>
      <c r="S34" s="57" t="s">
        <v>123</v>
      </c>
      <c r="T34" s="55" t="n">
        <v>563.161453077699</v>
      </c>
    </row>
    <row r="35" customFormat="false" ht="15" hidden="false" customHeight="false" outlineLevel="0" collapsed="false">
      <c r="A35" s="21" t="s">
        <v>120</v>
      </c>
      <c r="B35" s="21" t="s">
        <v>150</v>
      </c>
      <c r="C35" s="21" t="s">
        <v>153</v>
      </c>
      <c r="D35" s="37" t="n">
        <f aca="false">ROUND(Q35*R35,0)</f>
        <v>230</v>
      </c>
      <c r="E35" s="37" t="n">
        <f aca="false">ROUND(Q35,0)-D35</f>
        <v>364</v>
      </c>
      <c r="F35" s="37" t="n">
        <f aca="false">IF(COUNTA(D35:E35)=0,"",SUM(D35:E35))</f>
        <v>594</v>
      </c>
      <c r="G35" s="52" t="n">
        <f aca="false">IF(OR(F35="",F35=0),"",D35/F35)</f>
        <v>0.387205387205387</v>
      </c>
      <c r="H35" s="52" t="n">
        <f aca="false">IF(OR(F35="",F35=0),"",E35/F35)</f>
        <v>0.612794612794613</v>
      </c>
      <c r="I35" s="21" t="s">
        <v>122</v>
      </c>
      <c r="J35" s="53" t="n">
        <v>3.15466234357281</v>
      </c>
      <c r="K35" s="52" t="n">
        <f aca="false">IF(G35="","",MAX(0,G35-J35/100))</f>
        <v>0.355658763769659</v>
      </c>
      <c r="L35" s="52" t="n">
        <f aca="false">IF(G35="","",MIN(1,G35+J35/100))</f>
        <v>0.418752010641115</v>
      </c>
      <c r="M35" s="37" t="n">
        <f aca="false">IF(F35="","",ROUND(F35*J35/100,0))</f>
        <v>19</v>
      </c>
      <c r="P35" s="54" t="n">
        <v>-10.4704556903662</v>
      </c>
      <c r="Q35" s="55" t="n">
        <f aca="false">T35*$H$5</f>
        <v>593.941784037559</v>
      </c>
      <c r="R35" s="56" t="n">
        <f aca="false">MAX(0,MIN(1,P35/100+$D$5))</f>
        <v>0.387512566477869</v>
      </c>
      <c r="S35" s="57" t="s">
        <v>123</v>
      </c>
      <c r="T35" s="55" t="n">
        <v>593.941784037559</v>
      </c>
    </row>
    <row r="36" customFormat="false" ht="15" hidden="false" customHeight="false" outlineLevel="0" collapsed="false">
      <c r="A36" s="21" t="s">
        <v>120</v>
      </c>
      <c r="B36" s="21" t="s">
        <v>154</v>
      </c>
      <c r="C36" s="21" t="s">
        <v>155</v>
      </c>
      <c r="D36" s="37" t="n">
        <f aca="false">ROUND(Q36*R36,0)</f>
        <v>237</v>
      </c>
      <c r="E36" s="37" t="n">
        <f aca="false">ROUND(Q36,0)-D36</f>
        <v>593</v>
      </c>
      <c r="F36" s="37" t="n">
        <f aca="false">IF(COUNTA(D36:E36)=0,"",SUM(D36:E36))</f>
        <v>830</v>
      </c>
      <c r="G36" s="52" t="n">
        <f aca="false">IF(OR(F36="",F36=0),"",D36/F36)</f>
        <v>0.285542168674699</v>
      </c>
      <c r="H36" s="52" t="n">
        <f aca="false">IF(OR(F36="",F36=0),"",E36/F36)</f>
        <v>0.714457831325301</v>
      </c>
      <c r="I36" s="21" t="s">
        <v>122</v>
      </c>
      <c r="J36" s="53" t="n">
        <v>1.88510957763259</v>
      </c>
      <c r="K36" s="52" t="n">
        <f aca="false">IF(G36="","",MAX(0,G36-J36/100))</f>
        <v>0.266691072898373</v>
      </c>
      <c r="L36" s="52" t="n">
        <f aca="false">IF(G36="","",MIN(1,G36+J36/100))</f>
        <v>0.304393264451025</v>
      </c>
      <c r="M36" s="37" t="n">
        <f aca="false">IF(F36="","",ROUND(F36*J36/100,0))</f>
        <v>16</v>
      </c>
      <c r="P36" s="54" t="n">
        <v>-20.6524338847204</v>
      </c>
      <c r="Q36" s="55" t="n">
        <f aca="false">T36*$H$5</f>
        <v>830.121621621622</v>
      </c>
      <c r="R36" s="56" t="n">
        <f aca="false">MAX(0,MIN(1,P36/100+$D$5))</f>
        <v>0.285692784534327</v>
      </c>
      <c r="S36" s="57" t="s">
        <v>132</v>
      </c>
      <c r="T36" s="55" t="n">
        <v>830.121621621622</v>
      </c>
    </row>
    <row r="37" customFormat="false" ht="15" hidden="false" customHeight="false" outlineLevel="0" collapsed="false">
      <c r="A37" s="21" t="s">
        <v>120</v>
      </c>
      <c r="B37" s="21" t="s">
        <v>154</v>
      </c>
      <c r="C37" s="21" t="s">
        <v>156</v>
      </c>
      <c r="D37" s="37" t="n">
        <f aca="false">ROUND(Q37*R37,0)</f>
        <v>171</v>
      </c>
      <c r="E37" s="37" t="n">
        <f aca="false">ROUND(Q37,0)-D37</f>
        <v>400</v>
      </c>
      <c r="F37" s="37" t="n">
        <f aca="false">IF(COUNTA(D37:E37)=0,"",SUM(D37:E37))</f>
        <v>571</v>
      </c>
      <c r="G37" s="52" t="n">
        <f aca="false">IF(OR(F37="",F37=0),"",D37/F37)</f>
        <v>0.299474605954466</v>
      </c>
      <c r="H37" s="52" t="n">
        <f aca="false">IF(OR(F37="",F37=0),"",E37/F37)</f>
        <v>0.700525394045534</v>
      </c>
      <c r="I37" s="21" t="s">
        <v>122</v>
      </c>
      <c r="J37" s="53" t="n">
        <v>3.15466234357281</v>
      </c>
      <c r="K37" s="52" t="n">
        <f aca="false">IF(G37="","",MAX(0,G37-J37/100))</f>
        <v>0.267927982518738</v>
      </c>
      <c r="L37" s="52" t="n">
        <f aca="false">IF(G37="","",MIN(1,G37+J37/100))</f>
        <v>0.331021229390194</v>
      </c>
      <c r="M37" s="37" t="n">
        <f aca="false">IF(F37="","",ROUND(F37*J37/100,0))</f>
        <v>18</v>
      </c>
      <c r="P37" s="54" t="n">
        <v>-19.1946953029867</v>
      </c>
      <c r="Q37" s="55" t="n">
        <f aca="false">T37*$H$5</f>
        <v>570.942760942761</v>
      </c>
      <c r="R37" s="56" t="n">
        <f aca="false">MAX(0,MIN(1,P37/100+$D$5))</f>
        <v>0.300270170351663</v>
      </c>
      <c r="S37" s="57" t="s">
        <v>123</v>
      </c>
      <c r="T37" s="55" t="n">
        <v>570.942760942761</v>
      </c>
    </row>
    <row r="38" customFormat="false" ht="15" hidden="false" customHeight="false" outlineLevel="0" collapsed="false">
      <c r="A38" s="21" t="s">
        <v>120</v>
      </c>
      <c r="B38" s="21" t="s">
        <v>157</v>
      </c>
      <c r="C38" s="21" t="s">
        <v>158</v>
      </c>
      <c r="D38" s="37" t="n">
        <f aca="false">ROUND(Q38*R38,0)</f>
        <v>110</v>
      </c>
      <c r="E38" s="37" t="n">
        <f aca="false">ROUND(Q38,0)-D38</f>
        <v>336</v>
      </c>
      <c r="F38" s="37" t="n">
        <f aca="false">IF(COUNTA(D38:E38)=0,"",SUM(D38:E38))</f>
        <v>446</v>
      </c>
      <c r="G38" s="52" t="n">
        <f aca="false">IF(OR(F38="",F38=0),"",D38/F38)</f>
        <v>0.246636771300448</v>
      </c>
      <c r="H38" s="52" t="n">
        <f aca="false">IF(OR(F38="",F38=0),"",E38/F38)</f>
        <v>0.753363228699552</v>
      </c>
      <c r="I38" s="21" t="s">
        <v>122</v>
      </c>
      <c r="J38" s="53" t="n">
        <v>3.15466234357281</v>
      </c>
      <c r="K38" s="52" t="n">
        <f aca="false">IF(G38="","",MAX(0,G38-J38/100))</f>
        <v>0.21509014786472</v>
      </c>
      <c r="L38" s="52" t="n">
        <f aca="false">IF(G38="","",MIN(1,G38+J38/100))</f>
        <v>0.278183394736177</v>
      </c>
      <c r="M38" s="37" t="n">
        <f aca="false">IF(F38="","",ROUND(F38*J38/100,0))</f>
        <v>14</v>
      </c>
      <c r="P38" s="54" t="n">
        <v>-24.5279965646288</v>
      </c>
      <c r="Q38" s="55" t="n">
        <f aca="false">T38*$H$5</f>
        <v>446.130363036304</v>
      </c>
      <c r="R38" s="56" t="n">
        <f aca="false">MAX(0,MIN(1,P38/100+$D$5))</f>
        <v>0.246937157735243</v>
      </c>
      <c r="S38" s="57" t="s">
        <v>123</v>
      </c>
      <c r="T38" s="55" t="n">
        <v>446.130363036304</v>
      </c>
    </row>
    <row r="39" customFormat="false" ht="15" hidden="false" customHeight="false" outlineLevel="0" collapsed="false">
      <c r="A39" s="21" t="s">
        <v>120</v>
      </c>
      <c r="B39" s="21" t="s">
        <v>157</v>
      </c>
      <c r="C39" s="21" t="s">
        <v>159</v>
      </c>
      <c r="D39" s="37" t="n">
        <f aca="false">ROUND(Q39*R39,0)</f>
        <v>90</v>
      </c>
      <c r="E39" s="37" t="n">
        <f aca="false">ROUND(Q39,0)-D39</f>
        <v>211</v>
      </c>
      <c r="F39" s="37" t="n">
        <f aca="false">IF(COUNTA(D39:E39)=0,"",SUM(D39:E39))</f>
        <v>301</v>
      </c>
      <c r="G39" s="52" t="n">
        <f aca="false">IF(OR(F39="",F39=0),"",D39/F39)</f>
        <v>0.299003322259136</v>
      </c>
      <c r="H39" s="52" t="n">
        <f aca="false">IF(OR(F39="",F39=0),"",E39/F39)</f>
        <v>0.700996677740864</v>
      </c>
      <c r="I39" s="21" t="s">
        <v>122</v>
      </c>
      <c r="J39" s="53" t="n">
        <v>3.15466234357281</v>
      </c>
      <c r="K39" s="52" t="n">
        <f aca="false">IF(G39="","",MAX(0,G39-J39/100))</f>
        <v>0.267456698823408</v>
      </c>
      <c r="L39" s="52" t="n">
        <f aca="false">IF(G39="","",MIN(1,G39+J39/100))</f>
        <v>0.330549945694864</v>
      </c>
      <c r="M39" s="37" t="n">
        <f aca="false">IF(F39="","",ROUND(F39*J39/100,0))</f>
        <v>9</v>
      </c>
      <c r="P39" s="54" t="n">
        <v>-19.4129103009536</v>
      </c>
      <c r="Q39" s="55" t="n">
        <f aca="false">T39*$H$5</f>
        <v>301.151408450704</v>
      </c>
      <c r="R39" s="56" t="n">
        <f aca="false">MAX(0,MIN(1,P39/100+$D$5))</f>
        <v>0.298088020371995</v>
      </c>
      <c r="S39" s="57" t="s">
        <v>123</v>
      </c>
      <c r="T39" s="55" t="n">
        <v>301.151408450704</v>
      </c>
    </row>
    <row r="40" customFormat="false" ht="15" hidden="false" customHeight="false" outlineLevel="0" collapsed="false">
      <c r="A40" s="21" t="s">
        <v>120</v>
      </c>
      <c r="B40" s="21" t="s">
        <v>157</v>
      </c>
      <c r="C40" s="21" t="s">
        <v>160</v>
      </c>
      <c r="D40" s="37" t="n">
        <f aca="false">ROUND(Q40*R40,0)</f>
        <v>336</v>
      </c>
      <c r="E40" s="37" t="n">
        <f aca="false">ROUND(Q40,0)-D40</f>
        <v>800</v>
      </c>
      <c r="F40" s="37" t="n">
        <f aca="false">IF(COUNTA(D40:E40)=0,"",SUM(D40:E40))</f>
        <v>1136</v>
      </c>
      <c r="G40" s="52" t="n">
        <f aca="false">IF(OR(F40="",F40=0),"",D40/F40)</f>
        <v>0.295774647887324</v>
      </c>
      <c r="H40" s="52" t="n">
        <f aca="false">IF(OR(F40="",F40=0),"",E40/F40)</f>
        <v>0.704225352112676</v>
      </c>
      <c r="I40" s="21" t="s">
        <v>122</v>
      </c>
      <c r="J40" s="53" t="n">
        <v>1.88510957763259</v>
      </c>
      <c r="K40" s="52" t="n">
        <f aca="false">IF(G40="","",MAX(0,G40-J40/100))</f>
        <v>0.276923552110998</v>
      </c>
      <c r="L40" s="52" t="n">
        <f aca="false">IF(G40="","",MIN(1,G40+J40/100))</f>
        <v>0.31462574366365</v>
      </c>
      <c r="M40" s="37" t="n">
        <f aca="false">IF(F40="","",ROUND(F40*J40/100,0))</f>
        <v>21</v>
      </c>
      <c r="P40" s="54" t="n">
        <v>-19.6622312254062</v>
      </c>
      <c r="Q40" s="55" t="n">
        <f aca="false">T40*$H$5</f>
        <v>1135.63689776733</v>
      </c>
      <c r="R40" s="56" t="n">
        <f aca="false">MAX(0,MIN(1,P40/100+$D$5))</f>
        <v>0.295594811127469</v>
      </c>
      <c r="S40" s="57" t="s">
        <v>132</v>
      </c>
      <c r="T40" s="55" t="n">
        <v>1135.63689776733</v>
      </c>
    </row>
    <row r="41" customFormat="false" ht="15" hidden="false" customHeight="false" outlineLevel="0" collapsed="false">
      <c r="A41" s="21" t="s">
        <v>120</v>
      </c>
      <c r="B41" s="21" t="s">
        <v>161</v>
      </c>
      <c r="C41" s="21" t="s">
        <v>162</v>
      </c>
      <c r="D41" s="37" t="n">
        <f aca="false">ROUND(Q41*R41,0)</f>
        <v>237</v>
      </c>
      <c r="E41" s="37" t="n">
        <f aca="false">ROUND(Q41,0)-D41</f>
        <v>349</v>
      </c>
      <c r="F41" s="37" t="n">
        <f aca="false">IF(COUNTA(D41:E41)=0,"",SUM(D41:E41))</f>
        <v>586</v>
      </c>
      <c r="G41" s="52" t="n">
        <f aca="false">IF(OR(F41="",F41=0),"",D41/F41)</f>
        <v>0.404436860068259</v>
      </c>
      <c r="H41" s="52" t="n">
        <f aca="false">IF(OR(F41="",F41=0),"",E41/F41)</f>
        <v>0.595563139931741</v>
      </c>
      <c r="I41" s="21" t="s">
        <v>122</v>
      </c>
      <c r="J41" s="53" t="n">
        <v>3.15466234357281</v>
      </c>
      <c r="K41" s="52" t="n">
        <f aca="false">IF(G41="","",MAX(0,G41-J41/100))</f>
        <v>0.372890236632531</v>
      </c>
      <c r="L41" s="52" t="n">
        <f aca="false">IF(G41="","",MIN(1,G41+J41/100))</f>
        <v>0.435983483503988</v>
      </c>
      <c r="M41" s="37" t="n">
        <f aca="false">IF(F41="","",ROUND(F41*J41/100,0))</f>
        <v>18</v>
      </c>
      <c r="P41" s="54" t="n">
        <v>-8.79919231884331</v>
      </c>
      <c r="Q41" s="55" t="n">
        <f aca="false">T41*$H$5</f>
        <v>585.940362087327</v>
      </c>
      <c r="R41" s="56" t="n">
        <f aca="false">MAX(0,MIN(1,P41/100+$D$5))</f>
        <v>0.404225200193098</v>
      </c>
      <c r="S41" s="57" t="s">
        <v>123</v>
      </c>
      <c r="T41" s="55" t="n">
        <v>585.940362087327</v>
      </c>
    </row>
    <row r="42" customFormat="false" ht="15" hidden="false" customHeight="false" outlineLevel="0" collapsed="false">
      <c r="A42" s="21" t="s">
        <v>120</v>
      </c>
      <c r="B42" s="21" t="s">
        <v>161</v>
      </c>
      <c r="C42" s="21" t="s">
        <v>163</v>
      </c>
      <c r="D42" s="37" t="n">
        <f aca="false">ROUND(Q42*R42,0)</f>
        <v>247</v>
      </c>
      <c r="E42" s="37" t="n">
        <f aca="false">ROUND(Q42,0)-D42</f>
        <v>382</v>
      </c>
      <c r="F42" s="37" t="n">
        <f aca="false">IF(COUNTA(D42:E42)=0,"",SUM(D42:E42))</f>
        <v>629</v>
      </c>
      <c r="G42" s="52" t="n">
        <f aca="false">IF(OR(F42="",F42=0),"",D42/F42)</f>
        <v>0.39268680445151</v>
      </c>
      <c r="H42" s="52" t="n">
        <f aca="false">IF(OR(F42="",F42=0),"",E42/F42)</f>
        <v>0.60731319554849</v>
      </c>
      <c r="I42" s="21" t="s">
        <v>122</v>
      </c>
      <c r="J42" s="53" t="n">
        <v>3.15466234357281</v>
      </c>
      <c r="K42" s="52" t="n">
        <f aca="false">IF(G42="","",MAX(0,G42-J42/100))</f>
        <v>0.361140181015782</v>
      </c>
      <c r="L42" s="52" t="n">
        <f aca="false">IF(G42="","",MIN(1,G42+J42/100))</f>
        <v>0.424233427887238</v>
      </c>
      <c r="M42" s="37" t="n">
        <f aca="false">IF(F42="","",ROUND(F42*J42/100,0))</f>
        <v>20</v>
      </c>
      <c r="P42" s="54" t="n">
        <v>-9.92815086097814</v>
      </c>
      <c r="Q42" s="55" t="n">
        <f aca="false">T42*$H$5</f>
        <v>629.208480565371</v>
      </c>
      <c r="R42" s="56" t="n">
        <f aca="false">MAX(0,MIN(1,P42/100+$D$5))</f>
        <v>0.392935614771749</v>
      </c>
      <c r="S42" s="57" t="s">
        <v>123</v>
      </c>
      <c r="T42" s="55" t="n">
        <v>629.208480565371</v>
      </c>
    </row>
    <row r="43" customFormat="false" ht="15" hidden="false" customHeight="false" outlineLevel="0" collapsed="false">
      <c r="A43" s="21" t="s">
        <v>120</v>
      </c>
      <c r="B43" s="21" t="s">
        <v>164</v>
      </c>
      <c r="C43" s="21" t="s">
        <v>164</v>
      </c>
      <c r="D43" s="37" t="n">
        <f aca="false">ROUND(Q43*R43,0)</f>
        <v>103</v>
      </c>
      <c r="E43" s="37" t="n">
        <f aca="false">ROUND(Q43,0)-D43</f>
        <v>427</v>
      </c>
      <c r="F43" s="37" t="n">
        <f aca="false">IF(COUNTA(D43:E43)=0,"",SUM(D43:E43))</f>
        <v>530</v>
      </c>
      <c r="G43" s="52" t="n">
        <f aca="false">IF(OR(F43="",F43=0),"",D43/F43)</f>
        <v>0.194339622641509</v>
      </c>
      <c r="H43" s="52" t="n">
        <f aca="false">IF(OR(F43="",F43=0),"",E43/F43)</f>
        <v>0.805660377358491</v>
      </c>
      <c r="I43" s="21" t="s">
        <v>122</v>
      </c>
      <c r="J43" s="53" t="n">
        <v>3.15466234357281</v>
      </c>
      <c r="K43" s="52" t="n">
        <f aca="false">IF(G43="","",MAX(0,G43-J43/100))</f>
        <v>0.162792999205781</v>
      </c>
      <c r="L43" s="52" t="n">
        <f aca="false">IF(G43="","",MIN(1,G43+J43/100))</f>
        <v>0.225886246077238</v>
      </c>
      <c r="M43" s="37" t="n">
        <f aca="false">IF(F43="","",ROUND(F43*J43/100,0))</f>
        <v>17</v>
      </c>
      <c r="P43" s="54" t="n">
        <v>-29.7584837291525</v>
      </c>
      <c r="Q43" s="55" t="n">
        <f aca="false">T43*$H$5</f>
        <v>530.117647058823</v>
      </c>
      <c r="R43" s="56" t="n">
        <f aca="false">MAX(0,MIN(1,P43/100+$D$5))</f>
        <v>0.194632286090006</v>
      </c>
      <c r="S43" s="57" t="s">
        <v>123</v>
      </c>
      <c r="T43" s="55" t="n">
        <v>530.117647058823</v>
      </c>
    </row>
    <row r="44" customFormat="false" ht="15" hidden="false" customHeight="false" outlineLevel="0" collapsed="false">
      <c r="A44" s="21" t="s">
        <v>120</v>
      </c>
      <c r="B44" s="21" t="s">
        <v>165</v>
      </c>
      <c r="C44" s="21" t="s">
        <v>166</v>
      </c>
      <c r="D44" s="37" t="n">
        <f aca="false">ROUND(Q44*R44,0)</f>
        <v>240</v>
      </c>
      <c r="E44" s="37" t="n">
        <f aca="false">ROUND(Q44,0)-D44</f>
        <v>455</v>
      </c>
      <c r="F44" s="37" t="n">
        <f aca="false">IF(COUNTA(D44:E44)=0,"",SUM(D44:E44))</f>
        <v>695</v>
      </c>
      <c r="G44" s="52" t="n">
        <f aca="false">IF(OR(F44="",F44=0),"",D44/F44)</f>
        <v>0.345323741007194</v>
      </c>
      <c r="H44" s="52" t="n">
        <f aca="false">IF(OR(F44="",F44=0),"",E44/F44)</f>
        <v>0.654676258992806</v>
      </c>
      <c r="I44" s="21" t="s">
        <v>122</v>
      </c>
      <c r="J44" s="53" t="n">
        <v>3.15466234357281</v>
      </c>
      <c r="K44" s="52" t="n">
        <f aca="false">IF(G44="","",MAX(0,G44-J44/100))</f>
        <v>0.313777117571466</v>
      </c>
      <c r="L44" s="52" t="n">
        <f aca="false">IF(G44="","",MIN(1,G44+J44/100))</f>
        <v>0.376870364442922</v>
      </c>
      <c r="M44" s="37" t="n">
        <f aca="false">IF(F44="","",ROUND(F44*J44/100,0))</f>
        <v>22</v>
      </c>
      <c r="P44" s="54" t="n">
        <v>-14.719075895271</v>
      </c>
      <c r="Q44" s="55" t="n">
        <f aca="false">T44*$H$5</f>
        <v>695.209549071618</v>
      </c>
      <c r="R44" s="56" t="n">
        <f aca="false">MAX(0,MIN(1,P44/100+$D$5))</f>
        <v>0.345026364428821</v>
      </c>
      <c r="S44" s="57" t="s">
        <v>123</v>
      </c>
      <c r="T44" s="55" t="n">
        <v>695.209549071618</v>
      </c>
    </row>
    <row r="45" customFormat="false" ht="15" hidden="false" customHeight="false" outlineLevel="0" collapsed="false">
      <c r="A45" s="21" t="s">
        <v>120</v>
      </c>
      <c r="B45" s="21" t="s">
        <v>165</v>
      </c>
      <c r="C45" s="21" t="s">
        <v>167</v>
      </c>
      <c r="D45" s="37" t="n">
        <f aca="false">ROUND(Q45*R45,0)</f>
        <v>388</v>
      </c>
      <c r="E45" s="37" t="n">
        <f aca="false">ROUND(Q45,0)-D45</f>
        <v>596</v>
      </c>
      <c r="F45" s="37" t="n">
        <f aca="false">IF(COUNTA(D45:E45)=0,"",SUM(D45:E45))</f>
        <v>984</v>
      </c>
      <c r="G45" s="52" t="n">
        <f aca="false">IF(OR(F45="",F45=0),"",D45/F45)</f>
        <v>0.394308943089431</v>
      </c>
      <c r="H45" s="52" t="n">
        <f aca="false">IF(OR(F45="",F45=0),"",E45/F45)</f>
        <v>0.605691056910569</v>
      </c>
      <c r="I45" s="21" t="s">
        <v>122</v>
      </c>
      <c r="J45" s="53" t="n">
        <v>1.88510957763259</v>
      </c>
      <c r="K45" s="52" t="n">
        <f aca="false">IF(G45="","",MAX(0,G45-J45/100))</f>
        <v>0.375457847313105</v>
      </c>
      <c r="L45" s="52" t="n">
        <f aca="false">IF(G45="","",MIN(1,G45+J45/100))</f>
        <v>0.413160038865757</v>
      </c>
      <c r="M45" s="37" t="n">
        <f aca="false">IF(F45="","",ROUND(F45*J45/100,0))</f>
        <v>19</v>
      </c>
      <c r="P45" s="54" t="n">
        <v>-9.82273329870011</v>
      </c>
      <c r="Q45" s="55" t="n">
        <f aca="false">T45*$H$5</f>
        <v>983.694267515924</v>
      </c>
      <c r="R45" s="56" t="n">
        <f aca="false">MAX(0,MIN(1,P45/100+$D$5))</f>
        <v>0.39398979039453</v>
      </c>
      <c r="S45" s="57" t="s">
        <v>132</v>
      </c>
      <c r="T45" s="55" t="n">
        <v>983.694267515924</v>
      </c>
    </row>
    <row r="46" customFormat="false" ht="15" hidden="false" customHeight="false" outlineLevel="0" collapsed="false">
      <c r="A46" s="21" t="s">
        <v>120</v>
      </c>
      <c r="B46" s="21" t="s">
        <v>165</v>
      </c>
      <c r="C46" s="21" t="s">
        <v>168</v>
      </c>
      <c r="D46" s="37" t="n">
        <f aca="false">ROUND(Q46*R46,0)</f>
        <v>112</v>
      </c>
      <c r="E46" s="37" t="n">
        <f aca="false">ROUND(Q46,0)-D46</f>
        <v>199</v>
      </c>
      <c r="F46" s="37" t="n">
        <f aca="false">IF(COUNTA(D46:E46)=0,"",SUM(D46:E46))</f>
        <v>311</v>
      </c>
      <c r="G46" s="52" t="n">
        <f aca="false">IF(OR(F46="",F46=0),"",D46/F46)</f>
        <v>0.360128617363344</v>
      </c>
      <c r="H46" s="52" t="n">
        <f aca="false">IF(OR(F46="",F46=0),"",E46/F46)</f>
        <v>0.639871382636656</v>
      </c>
      <c r="I46" s="21" t="s">
        <v>122</v>
      </c>
      <c r="J46" s="53" t="n">
        <v>3.15466234357281</v>
      </c>
      <c r="K46" s="52" t="n">
        <f aca="false">IF(G46="","",MAX(0,G46-J46/100))</f>
        <v>0.328581993927616</v>
      </c>
      <c r="L46" s="52" t="n">
        <f aca="false">IF(G46="","",MIN(1,G46+J46/100))</f>
        <v>0.391675240799072</v>
      </c>
      <c r="M46" s="37" t="n">
        <f aca="false">IF(F46="","",ROUND(F46*J46/100,0))</f>
        <v>10</v>
      </c>
      <c r="P46" s="54" t="n">
        <v>-13.3488267023351</v>
      </c>
      <c r="Q46" s="55" t="n">
        <f aca="false">T46*$H$5</f>
        <v>310.913705583756</v>
      </c>
      <c r="R46" s="56" t="n">
        <f aca="false">MAX(0,MIN(1,P46/100+$D$5))</f>
        <v>0.35872885635818</v>
      </c>
      <c r="S46" s="57" t="s">
        <v>123</v>
      </c>
      <c r="T46" s="55" t="n">
        <v>310.913705583756</v>
      </c>
    </row>
    <row r="47" customFormat="false" ht="15" hidden="false" customHeight="false" outlineLevel="0" collapsed="false">
      <c r="A47" s="21" t="s">
        <v>120</v>
      </c>
      <c r="B47" s="21" t="s">
        <v>169</v>
      </c>
      <c r="C47" s="21" t="s">
        <v>169</v>
      </c>
      <c r="D47" s="37" t="n">
        <f aca="false">ROUND(Q47*R47,0)</f>
        <v>58</v>
      </c>
      <c r="E47" s="37" t="n">
        <f aca="false">ROUND(Q47,0)-D47</f>
        <v>127</v>
      </c>
      <c r="F47" s="37" t="n">
        <f aca="false">IF(COUNTA(D47:E47)=0,"",SUM(D47:E47))</f>
        <v>185</v>
      </c>
      <c r="G47" s="52" t="n">
        <f aca="false">IF(OR(F47="",F47=0),"",D47/F47)</f>
        <v>0.313513513513514</v>
      </c>
      <c r="H47" s="52" t="n">
        <f aca="false">IF(OR(F47="",F47=0),"",E47/F47)</f>
        <v>0.686486486486487</v>
      </c>
      <c r="I47" s="21" t="s">
        <v>122</v>
      </c>
      <c r="J47" s="53" t="n">
        <v>3.15466234357281</v>
      </c>
      <c r="K47" s="52" t="n">
        <f aca="false">IF(G47="","",MAX(0,G47-J47/100))</f>
        <v>0.281966890077785</v>
      </c>
      <c r="L47" s="52" t="n">
        <f aca="false">IF(G47="","",MIN(1,G47+J47/100))</f>
        <v>0.345060136949242</v>
      </c>
      <c r="M47" s="37" t="n">
        <f aca="false">IF(F47="","",ROUND(F47*J47/100,0))</f>
        <v>6</v>
      </c>
      <c r="P47" s="54" t="n">
        <v>-17.977887701335</v>
      </c>
      <c r="Q47" s="55" t="n">
        <f aca="false">T47*$H$5</f>
        <v>184.547540983607</v>
      </c>
      <c r="R47" s="56" t="n">
        <f aca="false">MAX(0,MIN(1,P47/100+$D$5))</f>
        <v>0.312438246368181</v>
      </c>
      <c r="S47" s="57" t="s">
        <v>123</v>
      </c>
      <c r="T47" s="55" t="n">
        <v>184.547540983607</v>
      </c>
    </row>
    <row r="48" customFormat="false" ht="15" hidden="false" customHeight="false" outlineLevel="0" collapsed="false">
      <c r="A48" s="21" t="s">
        <v>120</v>
      </c>
      <c r="B48" s="21" t="s">
        <v>170</v>
      </c>
      <c r="C48" s="21" t="s">
        <v>171</v>
      </c>
      <c r="D48" s="37" t="n">
        <f aca="false">ROUND(Q48*R48,0)</f>
        <v>317</v>
      </c>
      <c r="E48" s="37" t="n">
        <f aca="false">ROUND(Q48,0)-D48</f>
        <v>522</v>
      </c>
      <c r="F48" s="37" t="n">
        <f aca="false">IF(COUNTA(D48:E48)=0,"",SUM(D48:E48))</f>
        <v>839</v>
      </c>
      <c r="G48" s="52" t="n">
        <f aca="false">IF(OR(F48="",F48=0),"",D48/F48)</f>
        <v>0.377830750893921</v>
      </c>
      <c r="H48" s="52" t="n">
        <f aca="false">IF(OR(F48="",F48=0),"",E48/F48)</f>
        <v>0.622169249106079</v>
      </c>
      <c r="I48" s="21" t="s">
        <v>122</v>
      </c>
      <c r="J48" s="53" t="n">
        <v>1.88510957763259</v>
      </c>
      <c r="K48" s="52" t="n">
        <f aca="false">IF(G48="","",MAX(0,G48-J48/100))</f>
        <v>0.358979655117595</v>
      </c>
      <c r="L48" s="52" t="n">
        <f aca="false">IF(G48="","",MIN(1,G48+J48/100))</f>
        <v>0.396681846670247</v>
      </c>
      <c r="M48" s="37" t="n">
        <f aca="false">IF(F48="","",ROUND(F48*J48/100,0))</f>
        <v>16</v>
      </c>
      <c r="P48" s="54" t="n">
        <v>-11.44617177274</v>
      </c>
      <c r="Q48" s="55" t="n">
        <f aca="false">T48*$H$5</f>
        <v>839.29959746981</v>
      </c>
      <c r="R48" s="56" t="n">
        <f aca="false">MAX(0,MIN(1,P48/100+$D$5))</f>
        <v>0.377755405654131</v>
      </c>
      <c r="S48" s="57" t="s">
        <v>132</v>
      </c>
      <c r="T48" s="55" t="n">
        <v>839.29959746981</v>
      </c>
    </row>
    <row r="49" customFormat="false" ht="15" hidden="false" customHeight="false" outlineLevel="0" collapsed="false">
      <c r="A49" s="21" t="s">
        <v>120</v>
      </c>
      <c r="B49" s="21" t="s">
        <v>170</v>
      </c>
      <c r="C49" s="21" t="s">
        <v>172</v>
      </c>
      <c r="D49" s="37" t="n">
        <f aca="false">ROUND(Q49*R49,0)</f>
        <v>242</v>
      </c>
      <c r="E49" s="37" t="n">
        <f aca="false">ROUND(Q49,0)-D49</f>
        <v>409</v>
      </c>
      <c r="F49" s="37" t="n">
        <f aca="false">IF(COUNTA(D49:E49)=0,"",SUM(D49:E49))</f>
        <v>651</v>
      </c>
      <c r="G49" s="52" t="n">
        <f aca="false">IF(OR(F49="",F49=0),"",D49/F49)</f>
        <v>0.37173579109063</v>
      </c>
      <c r="H49" s="52" t="n">
        <f aca="false">IF(OR(F49="",F49=0),"",E49/F49)</f>
        <v>0.62826420890937</v>
      </c>
      <c r="I49" s="21" t="s">
        <v>122</v>
      </c>
      <c r="J49" s="53" t="n">
        <v>3.15466234357281</v>
      </c>
      <c r="K49" s="52" t="n">
        <f aca="false">IF(G49="","",MAX(0,G49-J49/100))</f>
        <v>0.340189167654902</v>
      </c>
      <c r="L49" s="52" t="n">
        <f aca="false">IF(G49="","",MIN(1,G49+J49/100))</f>
        <v>0.403282414526358</v>
      </c>
      <c r="M49" s="37" t="n">
        <f aca="false">IF(F49="","",ROUND(F49*J49/100,0))</f>
        <v>21</v>
      </c>
      <c r="P49" s="54" t="n">
        <v>-12.1185892051384</v>
      </c>
      <c r="Q49" s="55" t="n">
        <f aca="false">T49*$H$5</f>
        <v>650.966977138019</v>
      </c>
      <c r="R49" s="56" t="n">
        <f aca="false">MAX(0,MIN(1,P49/100+$D$5))</f>
        <v>0.371031231330147</v>
      </c>
      <c r="S49" s="57" t="s">
        <v>123</v>
      </c>
      <c r="T49" s="55" t="n">
        <v>650.966977138019</v>
      </c>
    </row>
    <row r="50" customFormat="false" ht="15" hidden="false" customHeight="false" outlineLevel="0" collapsed="false">
      <c r="A50" s="21" t="s">
        <v>120</v>
      </c>
      <c r="B50" s="21" t="s">
        <v>170</v>
      </c>
      <c r="C50" s="21" t="s">
        <v>173</v>
      </c>
      <c r="D50" s="37" t="n">
        <f aca="false">ROUND(Q50*R50,0)</f>
        <v>361</v>
      </c>
      <c r="E50" s="37" t="n">
        <f aca="false">ROUND(Q50,0)-D50</f>
        <v>584</v>
      </c>
      <c r="F50" s="37" t="n">
        <f aca="false">IF(COUNTA(D50:E50)=0,"",SUM(D50:E50))</f>
        <v>945</v>
      </c>
      <c r="G50" s="52" t="n">
        <f aca="false">IF(OR(F50="",F50=0),"",D50/F50)</f>
        <v>0.382010582010582</v>
      </c>
      <c r="H50" s="52" t="n">
        <f aca="false">IF(OR(F50="",F50=0),"",E50/F50)</f>
        <v>0.617989417989418</v>
      </c>
      <c r="I50" s="21" t="s">
        <v>122</v>
      </c>
      <c r="J50" s="53" t="n">
        <v>1.88510957763259</v>
      </c>
      <c r="K50" s="52" t="n">
        <f aca="false">IF(G50="","",MAX(0,G50-J50/100))</f>
        <v>0.363159486234256</v>
      </c>
      <c r="L50" s="52" t="n">
        <f aca="false">IF(G50="","",MIN(1,G50+J50/100))</f>
        <v>0.400861677786908</v>
      </c>
      <c r="M50" s="37" t="n">
        <f aca="false">IF(F50="","",ROUND(F50*J50/100,0))</f>
        <v>18</v>
      </c>
      <c r="P50" s="54" t="n">
        <v>-11.0281811031191</v>
      </c>
      <c r="Q50" s="55" t="n">
        <f aca="false">T50*$H$5</f>
        <v>945.214912280702</v>
      </c>
      <c r="R50" s="56" t="n">
        <f aca="false">MAX(0,MIN(1,P50/100+$D$5))</f>
        <v>0.38193531235034</v>
      </c>
      <c r="S50" s="57" t="s">
        <v>132</v>
      </c>
      <c r="T50" s="55" t="n">
        <v>945.214912280702</v>
      </c>
    </row>
    <row r="51" customFormat="false" ht="15" hidden="false" customHeight="false" outlineLevel="0" collapsed="false">
      <c r="A51" s="21" t="s">
        <v>120</v>
      </c>
      <c r="B51" s="21" t="s">
        <v>170</v>
      </c>
      <c r="C51" s="21" t="s">
        <v>174</v>
      </c>
      <c r="D51" s="37" t="n">
        <f aca="false">ROUND(Q51*R51,0)</f>
        <v>354</v>
      </c>
      <c r="E51" s="37" t="n">
        <f aca="false">ROUND(Q51,0)-D51</f>
        <v>762</v>
      </c>
      <c r="F51" s="37" t="n">
        <f aca="false">IF(COUNTA(D51:E51)=0,"",SUM(D51:E51))</f>
        <v>1116</v>
      </c>
      <c r="G51" s="52" t="n">
        <f aca="false">IF(OR(F51="",F51=0),"",D51/F51)</f>
        <v>0.317204301075269</v>
      </c>
      <c r="H51" s="52" t="n">
        <f aca="false">IF(OR(F51="",F51=0),"",E51/F51)</f>
        <v>0.682795698924731</v>
      </c>
      <c r="I51" s="21" t="s">
        <v>122</v>
      </c>
      <c r="J51" s="53" t="n">
        <v>1.88510957763259</v>
      </c>
      <c r="K51" s="52" t="n">
        <f aca="false">IF(G51="","",MAX(0,G51-J51/100))</f>
        <v>0.298353205298943</v>
      </c>
      <c r="L51" s="52" t="n">
        <f aca="false">IF(G51="","",MIN(1,G51+J51/100))</f>
        <v>0.336055396851595</v>
      </c>
      <c r="M51" s="37" t="n">
        <f aca="false">IF(F51="","",ROUND(F51*J51/100,0))</f>
        <v>21</v>
      </c>
      <c r="P51" s="54" t="n">
        <v>-17.4872005313822</v>
      </c>
      <c r="Q51" s="55" t="n">
        <f aca="false">T51*$H$5</f>
        <v>1115.89731051345</v>
      </c>
      <c r="R51" s="56" t="n">
        <f aca="false">MAX(0,MIN(1,P51/100+$D$5))</f>
        <v>0.317345118067709</v>
      </c>
      <c r="S51" s="57" t="s">
        <v>132</v>
      </c>
      <c r="T51" s="55" t="n">
        <v>1115.89731051345</v>
      </c>
    </row>
    <row r="52" customFormat="false" ht="15" hidden="false" customHeight="false" outlineLevel="0" collapsed="false">
      <c r="A52" s="21" t="s">
        <v>120</v>
      </c>
      <c r="B52" s="21" t="s">
        <v>170</v>
      </c>
      <c r="C52" s="21" t="s">
        <v>175</v>
      </c>
      <c r="D52" s="37" t="n">
        <f aca="false">ROUND(Q52*R52,0)</f>
        <v>337</v>
      </c>
      <c r="E52" s="37" t="n">
        <f aca="false">ROUND(Q52,0)-D52</f>
        <v>595</v>
      </c>
      <c r="F52" s="37" t="n">
        <f aca="false">IF(COUNTA(D52:E52)=0,"",SUM(D52:E52))</f>
        <v>932</v>
      </c>
      <c r="G52" s="52" t="n">
        <f aca="false">IF(OR(F52="",F52=0),"",D52/F52)</f>
        <v>0.361587982832618</v>
      </c>
      <c r="H52" s="52" t="n">
        <f aca="false">IF(OR(F52="",F52=0),"",E52/F52)</f>
        <v>0.638412017167382</v>
      </c>
      <c r="I52" s="21" t="s">
        <v>122</v>
      </c>
      <c r="J52" s="53" t="n">
        <v>1.88510957763259</v>
      </c>
      <c r="K52" s="52" t="n">
        <f aca="false">IF(G52="","",MAX(0,G52-J52/100))</f>
        <v>0.342736887056292</v>
      </c>
      <c r="L52" s="52" t="n">
        <f aca="false">IF(G52="","",MIN(1,G52+J52/100))</f>
        <v>0.380439078608944</v>
      </c>
      <c r="M52" s="37" t="n">
        <f aca="false">IF(F52="","",ROUND(F52*J52/100,0))</f>
        <v>18</v>
      </c>
      <c r="P52" s="54" t="n">
        <v>-13.0510152079667</v>
      </c>
      <c r="Q52" s="55" t="n">
        <f aca="false">T52*$H$5</f>
        <v>932.161434977579</v>
      </c>
      <c r="R52" s="56" t="n">
        <f aca="false">MAX(0,MIN(1,P52/100+$D$5))</f>
        <v>0.361706971301864</v>
      </c>
      <c r="S52" s="57" t="s">
        <v>132</v>
      </c>
      <c r="T52" s="55" t="n">
        <v>932.161434977579</v>
      </c>
    </row>
    <row r="53" customFormat="false" ht="15" hidden="false" customHeight="false" outlineLevel="0" collapsed="false">
      <c r="A53" s="21" t="s">
        <v>120</v>
      </c>
      <c r="B53" s="21" t="s">
        <v>176</v>
      </c>
      <c r="C53" s="21" t="s">
        <v>177</v>
      </c>
      <c r="D53" s="37" t="n">
        <f aca="false">ROUND(Q53*R53,0)</f>
        <v>144</v>
      </c>
      <c r="E53" s="37" t="n">
        <f aca="false">ROUND(Q53,0)-D53</f>
        <v>160</v>
      </c>
      <c r="F53" s="37" t="n">
        <f aca="false">IF(COUNTA(D53:E53)=0,"",SUM(D53:E53))</f>
        <v>304</v>
      </c>
      <c r="G53" s="52" t="n">
        <f aca="false">IF(OR(F53="",F53=0),"",D53/F53)</f>
        <v>0.473684210526316</v>
      </c>
      <c r="H53" s="52" t="n">
        <f aca="false">IF(OR(F53="",F53=0),"",E53/F53)</f>
        <v>0.526315789473684</v>
      </c>
      <c r="I53" s="21" t="s">
        <v>122</v>
      </c>
      <c r="J53" s="53" t="n">
        <v>3.15466234357281</v>
      </c>
      <c r="K53" s="52" t="n">
        <f aca="false">IF(G53="","",MAX(0,G53-J53/100))</f>
        <v>0.442137587090588</v>
      </c>
      <c r="L53" s="52" t="n">
        <f aca="false">IF(G53="","",MIN(1,G53+J53/100))</f>
        <v>0.505230833962044</v>
      </c>
      <c r="M53" s="37" t="n">
        <f aca="false">IF(F53="","",ROUND(F53*J53/100,0))</f>
        <v>10</v>
      </c>
      <c r="P53" s="54" t="n">
        <v>-2.00782084734919</v>
      </c>
      <c r="Q53" s="55" t="n">
        <f aca="false">T53*$H$5</f>
        <v>304.095808383234</v>
      </c>
      <c r="R53" s="56" t="n">
        <f aca="false">MAX(0,MIN(1,P53/100+$D$5))</f>
        <v>0.472138914908039</v>
      </c>
      <c r="S53" s="57" t="s">
        <v>123</v>
      </c>
      <c r="T53" s="55" t="n">
        <v>304.095808383234</v>
      </c>
    </row>
    <row r="54" customFormat="false" ht="15" hidden="false" customHeight="false" outlineLevel="0" collapsed="false">
      <c r="A54" s="21" t="s">
        <v>120</v>
      </c>
      <c r="B54" s="21" t="s">
        <v>176</v>
      </c>
      <c r="C54" s="21" t="s">
        <v>178</v>
      </c>
      <c r="D54" s="37" t="n">
        <f aca="false">ROUND(Q54*R54,0)</f>
        <v>163</v>
      </c>
      <c r="E54" s="37" t="n">
        <f aca="false">ROUND(Q54,0)-D54</f>
        <v>176</v>
      </c>
      <c r="F54" s="37" t="n">
        <f aca="false">IF(COUNTA(D54:E54)=0,"",SUM(D54:E54))</f>
        <v>339</v>
      </c>
      <c r="G54" s="52" t="n">
        <f aca="false">IF(OR(F54="",F54=0),"",D54/F54)</f>
        <v>0.480825958702065</v>
      </c>
      <c r="H54" s="52" t="n">
        <f aca="false">IF(OR(F54="",F54=0),"",E54/F54)</f>
        <v>0.519174041297935</v>
      </c>
      <c r="I54" s="21" t="s">
        <v>122</v>
      </c>
      <c r="J54" s="53" t="n">
        <v>3.15466234357281</v>
      </c>
      <c r="K54" s="52" t="n">
        <f aca="false">IF(G54="","",MAX(0,G54-J54/100))</f>
        <v>0.449279335266337</v>
      </c>
      <c r="L54" s="52" t="n">
        <f aca="false">IF(G54="","",MIN(1,G54+J54/100))</f>
        <v>0.512372582137793</v>
      </c>
      <c r="M54" s="37" t="n">
        <f aca="false">IF(F54="","",ROUND(F54*J54/100,0))</f>
        <v>11</v>
      </c>
      <c r="P54" s="54" t="n">
        <v>-1.06502023508276</v>
      </c>
      <c r="Q54" s="55" t="n">
        <f aca="false">T54*$H$5</f>
        <v>338.993963782696</v>
      </c>
      <c r="R54" s="56" t="n">
        <f aca="false">MAX(0,MIN(1,P54/100+$D$5))</f>
        <v>0.481566921030703</v>
      </c>
      <c r="S54" s="57" t="s">
        <v>123</v>
      </c>
      <c r="T54" s="55" t="n">
        <v>338.993963782696</v>
      </c>
    </row>
    <row r="55" customFormat="false" ht="15" hidden="false" customHeight="false" outlineLevel="0" collapsed="false">
      <c r="A55" s="21" t="s">
        <v>120</v>
      </c>
      <c r="B55" s="21" t="s">
        <v>176</v>
      </c>
      <c r="C55" s="21" t="s">
        <v>179</v>
      </c>
      <c r="D55" s="37" t="n">
        <f aca="false">ROUND(Q55*R55,0)</f>
        <v>92</v>
      </c>
      <c r="E55" s="37" t="n">
        <f aca="false">ROUND(Q55,0)-D55</f>
        <v>151</v>
      </c>
      <c r="F55" s="37" t="n">
        <f aca="false">IF(COUNTA(D55:E55)=0,"",SUM(D55:E55))</f>
        <v>243</v>
      </c>
      <c r="G55" s="52" t="n">
        <f aca="false">IF(OR(F55="",F55=0),"",D55/F55)</f>
        <v>0.378600823045268</v>
      </c>
      <c r="H55" s="52" t="n">
        <f aca="false">IF(OR(F55="",F55=0),"",E55/F55)</f>
        <v>0.621399176954733</v>
      </c>
      <c r="I55" s="21" t="s">
        <v>122</v>
      </c>
      <c r="J55" s="53" t="n">
        <v>3.15466234357281</v>
      </c>
      <c r="K55" s="52" t="n">
        <f aca="false">IF(G55="","",MAX(0,G55-J55/100))</f>
        <v>0.347054199609539</v>
      </c>
      <c r="L55" s="52" t="n">
        <f aca="false">IF(G55="","",MIN(1,G55+J55/100))</f>
        <v>0.410147446480996</v>
      </c>
      <c r="M55" s="37" t="n">
        <f aca="false">IF(F55="","",ROUND(F55*J55/100,0))</f>
        <v>8</v>
      </c>
      <c r="P55" s="54" t="n">
        <v>-11.5436596663541</v>
      </c>
      <c r="Q55" s="55" t="n">
        <f aca="false">T55*$H$5</f>
        <v>242.881401617251</v>
      </c>
      <c r="R55" s="56" t="n">
        <f aca="false">MAX(0,MIN(1,P55/100+$D$5))</f>
        <v>0.37678052671799</v>
      </c>
      <c r="S55" s="57" t="s">
        <v>123</v>
      </c>
      <c r="T55" s="55" t="n">
        <v>242.881401617251</v>
      </c>
    </row>
    <row r="56" customFormat="false" ht="15" hidden="false" customHeight="false" outlineLevel="0" collapsed="false">
      <c r="A56" s="21" t="s">
        <v>120</v>
      </c>
      <c r="B56" s="21" t="s">
        <v>176</v>
      </c>
      <c r="C56" s="21" t="s">
        <v>180</v>
      </c>
      <c r="D56" s="37" t="n">
        <f aca="false">ROUND(Q56*R56,0)</f>
        <v>167</v>
      </c>
      <c r="E56" s="37" t="n">
        <f aca="false">ROUND(Q56,0)-D56</f>
        <v>238</v>
      </c>
      <c r="F56" s="37" t="n">
        <f aca="false">IF(COUNTA(D56:E56)=0,"",SUM(D56:E56))</f>
        <v>405</v>
      </c>
      <c r="G56" s="52" t="n">
        <f aca="false">IF(OR(F56="",F56=0),"",D56/F56)</f>
        <v>0.412345679012346</v>
      </c>
      <c r="H56" s="52" t="n">
        <f aca="false">IF(OR(F56="",F56=0),"",E56/F56)</f>
        <v>0.587654320987654</v>
      </c>
      <c r="I56" s="21" t="s">
        <v>122</v>
      </c>
      <c r="J56" s="53" t="n">
        <v>3.15466234357281</v>
      </c>
      <c r="K56" s="52" t="n">
        <f aca="false">IF(G56="","",MAX(0,G56-J56/100))</f>
        <v>0.380799055576618</v>
      </c>
      <c r="L56" s="52" t="n">
        <f aca="false">IF(G56="","",MIN(1,G56+J56/100))</f>
        <v>0.443892302448074</v>
      </c>
      <c r="M56" s="37" t="n">
        <f aca="false">IF(F56="","",ROUND(F56*J56/100,0))</f>
        <v>13</v>
      </c>
      <c r="P56" s="54" t="n">
        <v>-8.05624701221457</v>
      </c>
      <c r="Q56" s="55" t="n">
        <f aca="false">T56*$H$5</f>
        <v>405.365413533835</v>
      </c>
      <c r="R56" s="56" t="n">
        <f aca="false">MAX(0,MIN(1,P56/100+$D$5))</f>
        <v>0.411654653259385</v>
      </c>
      <c r="S56" s="57" t="s">
        <v>123</v>
      </c>
      <c r="T56" s="55" t="n">
        <v>405.365413533835</v>
      </c>
    </row>
    <row r="57" customFormat="false" ht="15" hidden="false" customHeight="false" outlineLevel="0" collapsed="false">
      <c r="A57" s="21" t="s">
        <v>120</v>
      </c>
      <c r="B57" s="21" t="s">
        <v>181</v>
      </c>
      <c r="C57" s="21" t="s">
        <v>182</v>
      </c>
      <c r="D57" s="37" t="n">
        <f aca="false">ROUND(Q57*R57,0)</f>
        <v>233</v>
      </c>
      <c r="E57" s="37" t="n">
        <f aca="false">ROUND(Q57,0)-D57</f>
        <v>537</v>
      </c>
      <c r="F57" s="37" t="n">
        <f aca="false">IF(COUNTA(D57:E57)=0,"",SUM(D57:E57))</f>
        <v>770</v>
      </c>
      <c r="G57" s="52" t="n">
        <f aca="false">IF(OR(F57="",F57=0),"",D57/F57)</f>
        <v>0.302597402597403</v>
      </c>
      <c r="H57" s="52" t="n">
        <f aca="false">IF(OR(F57="",F57=0),"",E57/F57)</f>
        <v>0.697402597402597</v>
      </c>
      <c r="I57" s="21" t="s">
        <v>122</v>
      </c>
      <c r="J57" s="53" t="n">
        <v>3.15466234357281</v>
      </c>
      <c r="K57" s="52" t="n">
        <f aca="false">IF(G57="","",MAX(0,G57-J57/100))</f>
        <v>0.271050779161674</v>
      </c>
      <c r="L57" s="52" t="n">
        <f aca="false">IF(G57="","",MIN(1,G57+J57/100))</f>
        <v>0.334144026033131</v>
      </c>
      <c r="M57" s="37" t="n">
        <f aca="false">IF(F57="","",ROUND(F57*J57/100,0))</f>
        <v>24</v>
      </c>
      <c r="P57" s="54" t="n">
        <v>-18.9016457143896</v>
      </c>
      <c r="Q57" s="55" t="n">
        <f aca="false">T57*$H$5</f>
        <v>769.717741935484</v>
      </c>
      <c r="R57" s="56" t="n">
        <f aca="false">MAX(0,MIN(1,P57/100+$D$5))</f>
        <v>0.303200666237634</v>
      </c>
      <c r="S57" s="57" t="s">
        <v>123</v>
      </c>
      <c r="T57" s="55" t="n">
        <v>769.717741935484</v>
      </c>
    </row>
    <row r="58" customFormat="false" ht="15" hidden="false" customHeight="false" outlineLevel="0" collapsed="false">
      <c r="A58" s="21" t="s">
        <v>120</v>
      </c>
      <c r="B58" s="21" t="s">
        <v>181</v>
      </c>
      <c r="C58" s="21" t="s">
        <v>183</v>
      </c>
      <c r="D58" s="37" t="n">
        <f aca="false">ROUND(Q58*R58,0)</f>
        <v>212</v>
      </c>
      <c r="E58" s="37" t="n">
        <f aca="false">ROUND(Q58,0)-D58</f>
        <v>574</v>
      </c>
      <c r="F58" s="37" t="n">
        <f aca="false">IF(COUNTA(D58:E58)=0,"",SUM(D58:E58))</f>
        <v>786</v>
      </c>
      <c r="G58" s="52" t="n">
        <f aca="false">IF(OR(F58="",F58=0),"",D58/F58)</f>
        <v>0.269720101781171</v>
      </c>
      <c r="H58" s="52" t="n">
        <f aca="false">IF(OR(F58="",F58=0),"",E58/F58)</f>
        <v>0.73027989821883</v>
      </c>
      <c r="I58" s="21" t="s">
        <v>122</v>
      </c>
      <c r="J58" s="53" t="n">
        <v>1.88510957763259</v>
      </c>
      <c r="K58" s="52" t="n">
        <f aca="false">IF(G58="","",MAX(0,G58-J58/100))</f>
        <v>0.250869006004845</v>
      </c>
      <c r="L58" s="52" t="n">
        <f aca="false">IF(G58="","",MIN(1,G58+J58/100))</f>
        <v>0.288571197557496</v>
      </c>
      <c r="M58" s="37" t="n">
        <f aca="false">IF(F58="","",ROUND(F58*J58/100,0))</f>
        <v>15</v>
      </c>
      <c r="P58" s="54" t="n">
        <v>-22.2226322140185</v>
      </c>
      <c r="Q58" s="55" t="n">
        <f aca="false">T58*$H$5</f>
        <v>786.289198606272</v>
      </c>
      <c r="R58" s="56" t="n">
        <f aca="false">MAX(0,MIN(1,P58/100+$D$5))</f>
        <v>0.269990801241346</v>
      </c>
      <c r="S58" s="57" t="s">
        <v>132</v>
      </c>
      <c r="T58" s="55" t="n">
        <v>786.289198606272</v>
      </c>
    </row>
    <row r="59" customFormat="false" ht="15" hidden="false" customHeight="false" outlineLevel="0" collapsed="false">
      <c r="A59" s="21" t="s">
        <v>120</v>
      </c>
      <c r="B59" s="21" t="s">
        <v>181</v>
      </c>
      <c r="C59" s="21" t="s">
        <v>184</v>
      </c>
      <c r="D59" s="37" t="n">
        <f aca="false">ROUND(Q59*R59,0)</f>
        <v>199</v>
      </c>
      <c r="E59" s="37" t="n">
        <f aca="false">ROUND(Q59,0)-D59</f>
        <v>502</v>
      </c>
      <c r="F59" s="37" t="n">
        <f aca="false">IF(COUNTA(D59:E59)=0,"",SUM(D59:E59))</f>
        <v>701</v>
      </c>
      <c r="G59" s="52" t="n">
        <f aca="false">IF(OR(F59="",F59=0),"",D59/F59)</f>
        <v>0.283880171184023</v>
      </c>
      <c r="H59" s="52" t="n">
        <f aca="false">IF(OR(F59="",F59=0),"",E59/F59)</f>
        <v>0.716119828815977</v>
      </c>
      <c r="I59" s="21" t="s">
        <v>122</v>
      </c>
      <c r="J59" s="53" t="n">
        <v>3.15466234357281</v>
      </c>
      <c r="K59" s="52" t="n">
        <f aca="false">IF(G59="","",MAX(0,G59-J59/100))</f>
        <v>0.252333547748295</v>
      </c>
      <c r="L59" s="52" t="n">
        <f aca="false">IF(G59="","",MIN(1,G59+J59/100))</f>
        <v>0.315426794619751</v>
      </c>
      <c r="M59" s="37" t="n">
        <f aca="false">IF(F59="","",ROUND(F59*J59/100,0))</f>
        <v>22</v>
      </c>
      <c r="P59" s="54" t="n">
        <v>-20.8837805570201</v>
      </c>
      <c r="Q59" s="55" t="n">
        <f aca="false">T59*$H$5</f>
        <v>700.937313432836</v>
      </c>
      <c r="R59" s="56" t="n">
        <f aca="false">MAX(0,MIN(1,P59/100+$D$5))</f>
        <v>0.28337931781133</v>
      </c>
      <c r="S59" s="57" t="s">
        <v>123</v>
      </c>
      <c r="T59" s="55" t="n">
        <v>700.937313432836</v>
      </c>
    </row>
    <row r="60" customFormat="false" ht="15" hidden="false" customHeight="false" outlineLevel="0" collapsed="false">
      <c r="A60" s="21" t="s">
        <v>120</v>
      </c>
      <c r="B60" s="21" t="s">
        <v>185</v>
      </c>
      <c r="C60" s="21" t="s">
        <v>186</v>
      </c>
      <c r="D60" s="37" t="n">
        <f aca="false">ROUND(Q60*R60,0)</f>
        <v>175</v>
      </c>
      <c r="E60" s="37" t="n">
        <f aca="false">ROUND(Q60,0)-D60</f>
        <v>426</v>
      </c>
      <c r="F60" s="37" t="n">
        <f aca="false">IF(COUNTA(D60:E60)=0,"",SUM(D60:E60))</f>
        <v>601</v>
      </c>
      <c r="G60" s="52" t="n">
        <f aca="false">IF(OR(F60="",F60=0),"",D60/F60)</f>
        <v>0.291181364392679</v>
      </c>
      <c r="H60" s="52" t="n">
        <f aca="false">IF(OR(F60="",F60=0),"",E60/F60)</f>
        <v>0.708818635607321</v>
      </c>
      <c r="I60" s="21" t="s">
        <v>122</v>
      </c>
      <c r="J60" s="53" t="n">
        <v>3.15466234357281</v>
      </c>
      <c r="K60" s="52" t="n">
        <f aca="false">IF(G60="","",MAX(0,G60-J60/100))</f>
        <v>0.259634740956951</v>
      </c>
      <c r="L60" s="52" t="n">
        <f aca="false">IF(G60="","",MIN(1,G60+J60/100))</f>
        <v>0.322727987828407</v>
      </c>
      <c r="M60" s="37" t="n">
        <f aca="false">IF(F60="","",ROUND(F60*J60/100,0))</f>
        <v>19</v>
      </c>
      <c r="P60" s="54" t="n">
        <v>-20.0603622542214</v>
      </c>
      <c r="Q60" s="55" t="n">
        <f aca="false">T60*$H$5</f>
        <v>601.421153846154</v>
      </c>
      <c r="R60" s="56" t="n">
        <f aca="false">MAX(0,MIN(1,P60/100+$D$5))</f>
        <v>0.291613500839316</v>
      </c>
      <c r="S60" s="57" t="s">
        <v>123</v>
      </c>
      <c r="T60" s="55" t="n">
        <v>601.421153846154</v>
      </c>
    </row>
    <row r="61" customFormat="false" ht="15" hidden="false" customHeight="false" outlineLevel="0" collapsed="false">
      <c r="A61" s="21" t="s">
        <v>120</v>
      </c>
      <c r="B61" s="21" t="s">
        <v>185</v>
      </c>
      <c r="C61" s="21" t="s">
        <v>187</v>
      </c>
      <c r="D61" s="37" t="n">
        <f aca="false">ROUND(Q61*R61,0)</f>
        <v>84</v>
      </c>
      <c r="E61" s="37" t="n">
        <f aca="false">ROUND(Q61,0)-D61</f>
        <v>228</v>
      </c>
      <c r="F61" s="37" t="n">
        <f aca="false">IF(COUNTA(D61:E61)=0,"",SUM(D61:E61))</f>
        <v>312</v>
      </c>
      <c r="G61" s="52" t="n">
        <f aca="false">IF(OR(F61="",F61=0),"",D61/F61)</f>
        <v>0.269230769230769</v>
      </c>
      <c r="H61" s="52" t="n">
        <f aca="false">IF(OR(F61="",F61=0),"",E61/F61)</f>
        <v>0.730769230769231</v>
      </c>
      <c r="I61" s="21" t="s">
        <v>122</v>
      </c>
      <c r="J61" s="53" t="n">
        <v>3.15466234357281</v>
      </c>
      <c r="K61" s="52" t="n">
        <f aca="false">IF(G61="","",MAX(0,G61-J61/100))</f>
        <v>0.237684145795041</v>
      </c>
      <c r="L61" s="52" t="n">
        <f aca="false">IF(G61="","",MIN(1,G61+J61/100))</f>
        <v>0.300777392666497</v>
      </c>
      <c r="M61" s="37" t="n">
        <f aca="false">IF(F61="","",ROUND(F61*J61/100,0))</f>
        <v>10</v>
      </c>
      <c r="P61" s="54" t="n">
        <v>-22.4029114618055</v>
      </c>
      <c r="Q61" s="55" t="n">
        <f aca="false">T61*$H$5</f>
        <v>312.431640625</v>
      </c>
      <c r="R61" s="56" t="n">
        <f aca="false">MAX(0,MIN(1,P61/100+$D$5))</f>
        <v>0.268188008763476</v>
      </c>
      <c r="S61" s="57" t="s">
        <v>123</v>
      </c>
      <c r="T61" s="55" t="n">
        <v>312.431640625</v>
      </c>
    </row>
    <row r="62" customFormat="false" ht="15" hidden="false" customHeight="false" outlineLevel="0" collapsed="false">
      <c r="A62" s="21" t="s">
        <v>120</v>
      </c>
      <c r="B62" s="21" t="s">
        <v>188</v>
      </c>
      <c r="C62" s="21" t="s">
        <v>188</v>
      </c>
      <c r="D62" s="37" t="n">
        <f aca="false">ROUND(Q62*R62,0)</f>
        <v>39</v>
      </c>
      <c r="E62" s="37" t="n">
        <f aca="false">ROUND(Q62,0)-D62</f>
        <v>68</v>
      </c>
      <c r="F62" s="37" t="n">
        <f aca="false">IF(COUNTA(D62:E62)=0,"",SUM(D62:E62))</f>
        <v>107</v>
      </c>
      <c r="G62" s="52" t="n">
        <f aca="false">IF(OR(F62="",F62=0),"",D62/F62)</f>
        <v>0.364485981308411</v>
      </c>
      <c r="H62" s="52" t="n">
        <f aca="false">IF(OR(F62="",F62=0),"",E62/F62)</f>
        <v>0.635514018691589</v>
      </c>
      <c r="I62" s="21" t="s">
        <v>122</v>
      </c>
      <c r="J62" s="53" t="n">
        <v>3.15466234357281</v>
      </c>
      <c r="K62" s="52" t="n">
        <f aca="false">IF(G62="","",MAX(0,G62-J62/100))</f>
        <v>0.332939357872683</v>
      </c>
      <c r="L62" s="52" t="n">
        <f aca="false">IF(G62="","",MIN(1,G62+J62/100))</f>
        <v>0.396032604744139</v>
      </c>
      <c r="M62" s="37" t="n">
        <f aca="false">IF(F62="","",ROUND(F62*J62/100,0))</f>
        <v>3</v>
      </c>
      <c r="P62" s="54" t="n">
        <v>-12.2797404696779</v>
      </c>
      <c r="Q62" s="55" t="n">
        <f aca="false">T62*$H$5</f>
        <v>106.666666666667</v>
      </c>
      <c r="R62" s="56" t="n">
        <f aca="false">MAX(0,MIN(1,P62/100+$D$5))</f>
        <v>0.369419718684752</v>
      </c>
      <c r="S62" s="57" t="s">
        <v>123</v>
      </c>
      <c r="T62" s="55" t="n">
        <v>106.666666666667</v>
      </c>
    </row>
    <row r="63" customFormat="false" ht="15" hidden="false" customHeight="false" outlineLevel="0" collapsed="false">
      <c r="A63" s="21" t="s">
        <v>189</v>
      </c>
      <c r="B63" s="21" t="s">
        <v>190</v>
      </c>
      <c r="C63" s="21" t="s">
        <v>190</v>
      </c>
      <c r="D63" s="37" t="n">
        <f aca="false">ROUND(Q63*R63,0)</f>
        <v>493</v>
      </c>
      <c r="E63" s="37" t="n">
        <f aca="false">ROUND(Q63,0)-D63</f>
        <v>568</v>
      </c>
      <c r="F63" s="37" t="n">
        <f aca="false">IF(COUNTA(D63:E63)=0,"",SUM(D63:E63))</f>
        <v>1061</v>
      </c>
      <c r="G63" s="52" t="n">
        <f aca="false">IF(OR(F63="",F63=0),"",D63/F63)</f>
        <v>0.464655984919887</v>
      </c>
      <c r="H63" s="52" t="n">
        <f aca="false">IF(OR(F63="",F63=0),"",E63/F63)</f>
        <v>0.535344015080113</v>
      </c>
      <c r="I63" s="21" t="s">
        <v>122</v>
      </c>
      <c r="J63" s="53" t="n">
        <v>1.88510957763259</v>
      </c>
      <c r="K63" s="52" t="n">
        <f aca="false">IF(G63="","",MAX(0,G63-J63/100))</f>
        <v>0.445804889143561</v>
      </c>
      <c r="L63" s="52" t="n">
        <f aca="false">IF(G63="","",MIN(1,G63+J63/100))</f>
        <v>0.483507080696213</v>
      </c>
      <c r="M63" s="37" t="n">
        <f aca="false">IF(F63="","",ROUND(F63*J63/100,0))</f>
        <v>20</v>
      </c>
      <c r="P63" s="54" t="n">
        <v>-2.78139044078126</v>
      </c>
      <c r="Q63" s="55" t="n">
        <f aca="false">T63*$H$5</f>
        <v>1060.80585424134</v>
      </c>
      <c r="R63" s="56" t="n">
        <f aca="false">MAX(0,MIN(1,P63/100+$D$5))</f>
        <v>0.464403218973718</v>
      </c>
      <c r="S63" s="57" t="s">
        <v>132</v>
      </c>
      <c r="T63" s="55" t="n">
        <v>1060.80585424134</v>
      </c>
    </row>
    <row r="64" customFormat="false" ht="15" hidden="false" customHeight="false" outlineLevel="0" collapsed="false">
      <c r="A64" s="21" t="s">
        <v>189</v>
      </c>
      <c r="B64" s="21" t="s">
        <v>191</v>
      </c>
      <c r="C64" s="21" t="s">
        <v>192</v>
      </c>
      <c r="D64" s="37" t="n">
        <f aca="false">ROUND(Q64*R64,0)</f>
        <v>248</v>
      </c>
      <c r="E64" s="37" t="n">
        <f aca="false">ROUND(Q64,0)-D64</f>
        <v>91</v>
      </c>
      <c r="F64" s="37" t="n">
        <f aca="false">IF(COUNTA(D64:E64)=0,"",SUM(D64:E64))</f>
        <v>339</v>
      </c>
      <c r="G64" s="52" t="n">
        <f aca="false">IF(OR(F64="",F64=0),"",D64/F64)</f>
        <v>0.731563421828909</v>
      </c>
      <c r="H64" s="52" t="n">
        <f aca="false">IF(OR(F64="",F64=0),"",E64/F64)</f>
        <v>0.268436578171091</v>
      </c>
      <c r="I64" s="21" t="s">
        <v>122</v>
      </c>
      <c r="J64" s="53" t="n">
        <v>3.15466234357281</v>
      </c>
      <c r="K64" s="52" t="n">
        <f aca="false">IF(G64="","",MAX(0,G64-J64/100))</f>
        <v>0.70001679839318</v>
      </c>
      <c r="L64" s="52" t="n">
        <f aca="false">IF(G64="","",MIN(1,G64+J64/100))</f>
        <v>0.763110045264637</v>
      </c>
      <c r="M64" s="37" t="n">
        <f aca="false">IF(F64="","",ROUND(F64*J64/100,0))</f>
        <v>11</v>
      </c>
      <c r="P64" s="54" t="n">
        <v>23.9464702664406</v>
      </c>
      <c r="Q64" s="55" t="n">
        <f aca="false">T64*$H$5</f>
        <v>338.759820426487</v>
      </c>
      <c r="R64" s="56" t="n">
        <f aca="false">MAX(0,MIN(1,P64/100+$D$5))</f>
        <v>0.731681826045937</v>
      </c>
      <c r="S64" s="57" t="s">
        <v>123</v>
      </c>
      <c r="T64" s="55" t="n">
        <v>338.759820426487</v>
      </c>
    </row>
    <row r="65" customFormat="false" ht="15" hidden="false" customHeight="false" outlineLevel="0" collapsed="false">
      <c r="A65" s="21" t="s">
        <v>189</v>
      </c>
      <c r="B65" s="21" t="s">
        <v>191</v>
      </c>
      <c r="C65" s="21" t="s">
        <v>193</v>
      </c>
      <c r="D65" s="37" t="n">
        <f aca="false">ROUND(Q65*R65,0)</f>
        <v>135</v>
      </c>
      <c r="E65" s="37" t="n">
        <f aca="false">ROUND(Q65,0)-D65</f>
        <v>66</v>
      </c>
      <c r="F65" s="37" t="n">
        <f aca="false">IF(COUNTA(D65:E65)=0,"",SUM(D65:E65))</f>
        <v>201</v>
      </c>
      <c r="G65" s="52" t="n">
        <f aca="false">IF(OR(F65="",F65=0),"",D65/F65)</f>
        <v>0.671641791044776</v>
      </c>
      <c r="H65" s="52" t="n">
        <f aca="false">IF(OR(F65="",F65=0),"",E65/F65)</f>
        <v>0.328358208955224</v>
      </c>
      <c r="I65" s="21" t="s">
        <v>122</v>
      </c>
      <c r="J65" s="53" t="n">
        <v>3.15466234357281</v>
      </c>
      <c r="K65" s="52" t="n">
        <f aca="false">IF(G65="","",MAX(0,G65-J65/100))</f>
        <v>0.640095167609048</v>
      </c>
      <c r="L65" s="52" t="n">
        <f aca="false">IF(G65="","",MIN(1,G65+J65/100))</f>
        <v>0.703188414480504</v>
      </c>
      <c r="M65" s="37" t="n">
        <f aca="false">IF(F65="","",ROUND(F65*J65/100,0))</f>
        <v>6</v>
      </c>
      <c r="P65" s="54" t="n">
        <v>18.2800072361935</v>
      </c>
      <c r="Q65" s="55" t="n">
        <f aca="false">T65*$H$5</f>
        <v>200.692863595303</v>
      </c>
      <c r="R65" s="56" t="n">
        <f aca="false">MAX(0,MIN(1,P65/100+$D$5))</f>
        <v>0.675017195743466</v>
      </c>
      <c r="S65" s="57" t="s">
        <v>123</v>
      </c>
      <c r="T65" s="55" t="n">
        <v>200.692863595303</v>
      </c>
    </row>
    <row r="66" customFormat="false" ht="15" hidden="false" customHeight="false" outlineLevel="0" collapsed="false">
      <c r="A66" s="21" t="s">
        <v>189</v>
      </c>
      <c r="B66" s="21" t="s">
        <v>191</v>
      </c>
      <c r="C66" s="21" t="s">
        <v>194</v>
      </c>
      <c r="D66" s="37" t="n">
        <f aca="false">ROUND(Q66*R66,0)</f>
        <v>165</v>
      </c>
      <c r="E66" s="37" t="n">
        <f aca="false">ROUND(Q66,0)-D66</f>
        <v>68</v>
      </c>
      <c r="F66" s="37" t="n">
        <f aca="false">IF(COUNTA(D66:E66)=0,"",SUM(D66:E66))</f>
        <v>233</v>
      </c>
      <c r="G66" s="52" t="n">
        <f aca="false">IF(OR(F66="",F66=0),"",D66/F66)</f>
        <v>0.708154506437768</v>
      </c>
      <c r="H66" s="52" t="n">
        <f aca="false">IF(OR(F66="",F66=0),"",E66/F66)</f>
        <v>0.291845493562232</v>
      </c>
      <c r="I66" s="21" t="s">
        <v>122</v>
      </c>
      <c r="J66" s="53" t="n">
        <v>3.15466234357281</v>
      </c>
      <c r="K66" s="52" t="n">
        <f aca="false">IF(G66="","",MAX(0,G66-J66/100))</f>
        <v>0.67660788300204</v>
      </c>
      <c r="L66" s="52" t="n">
        <f aca="false">IF(G66="","",MIN(1,G66+J66/100))</f>
        <v>0.739701129873496</v>
      </c>
      <c r="M66" s="37" t="n">
        <f aca="false">IF(F66="","",ROUND(F66*J66/100,0))</f>
        <v>7</v>
      </c>
      <c r="P66" s="54" t="n">
        <v>21.7479551520497</v>
      </c>
      <c r="Q66" s="55" t="n">
        <f aca="false">T66*$H$5</f>
        <v>232.72650296359</v>
      </c>
      <c r="R66" s="56" t="n">
        <f aca="false">MAX(0,MIN(1,P66/100+$D$5))</f>
        <v>0.709696674902028</v>
      </c>
      <c r="S66" s="57" t="s">
        <v>123</v>
      </c>
      <c r="T66" s="55" t="n">
        <v>232.72650296359</v>
      </c>
    </row>
    <row r="67" customFormat="false" ht="15" hidden="false" customHeight="false" outlineLevel="0" collapsed="false">
      <c r="A67" s="21" t="s">
        <v>189</v>
      </c>
      <c r="B67" s="21" t="s">
        <v>191</v>
      </c>
      <c r="C67" s="21" t="s">
        <v>195</v>
      </c>
      <c r="D67" s="37" t="n">
        <f aca="false">ROUND(Q67*R67,0)</f>
        <v>161</v>
      </c>
      <c r="E67" s="37" t="n">
        <f aca="false">ROUND(Q67,0)-D67</f>
        <v>74</v>
      </c>
      <c r="F67" s="37" t="n">
        <f aca="false">IF(COUNTA(D67:E67)=0,"",SUM(D67:E67))</f>
        <v>235</v>
      </c>
      <c r="G67" s="52" t="n">
        <f aca="false">IF(OR(F67="",F67=0),"",D67/F67)</f>
        <v>0.685106382978723</v>
      </c>
      <c r="H67" s="52" t="n">
        <f aca="false">IF(OR(F67="",F67=0),"",E67/F67)</f>
        <v>0.314893617021277</v>
      </c>
      <c r="I67" s="21" t="s">
        <v>122</v>
      </c>
      <c r="J67" s="53" t="n">
        <v>3.15466234357281</v>
      </c>
      <c r="K67" s="52" t="n">
        <f aca="false">IF(G67="","",MAX(0,G67-J67/100))</f>
        <v>0.653559759542995</v>
      </c>
      <c r="L67" s="52" t="n">
        <f aca="false">IF(G67="","",MIN(1,G67+J67/100))</f>
        <v>0.716653006414452</v>
      </c>
      <c r="M67" s="37" t="n">
        <f aca="false">IF(F67="","",ROUND(F67*J67/100,0))</f>
        <v>7</v>
      </c>
      <c r="P67" s="54" t="n">
        <v>19.6038972266823</v>
      </c>
      <c r="Q67" s="55" t="n">
        <f aca="false">T67*$H$5</f>
        <v>234.521920668059</v>
      </c>
      <c r="R67" s="56" t="n">
        <f aca="false">MAX(0,MIN(1,P67/100+$D$5))</f>
        <v>0.688256095648354</v>
      </c>
      <c r="S67" s="57" t="s">
        <v>123</v>
      </c>
      <c r="T67" s="55" t="n">
        <v>234.521920668059</v>
      </c>
    </row>
    <row r="68" customFormat="false" ht="15" hidden="false" customHeight="false" outlineLevel="0" collapsed="false">
      <c r="A68" s="21" t="s">
        <v>189</v>
      </c>
      <c r="B68" s="21" t="s">
        <v>191</v>
      </c>
      <c r="C68" s="21" t="s">
        <v>196</v>
      </c>
      <c r="D68" s="37" t="n">
        <f aca="false">ROUND(Q68*R68,0)</f>
        <v>170</v>
      </c>
      <c r="E68" s="37" t="n">
        <f aca="false">ROUND(Q68,0)-D68</f>
        <v>57</v>
      </c>
      <c r="F68" s="37" t="n">
        <f aca="false">IF(COUNTA(D68:E68)=0,"",SUM(D68:E68))</f>
        <v>227</v>
      </c>
      <c r="G68" s="52" t="n">
        <f aca="false">IF(OR(F68="",F68=0),"",D68/F68)</f>
        <v>0.748898678414097</v>
      </c>
      <c r="H68" s="52" t="n">
        <f aca="false">IF(OR(F68="",F68=0),"",E68/F68)</f>
        <v>0.251101321585903</v>
      </c>
      <c r="I68" s="21" t="s">
        <v>122</v>
      </c>
      <c r="J68" s="53" t="n">
        <v>3.15466234357281</v>
      </c>
      <c r="K68" s="52" t="n">
        <f aca="false">IF(G68="","",MAX(0,G68-J68/100))</f>
        <v>0.717352054978369</v>
      </c>
      <c r="L68" s="52" t="n">
        <f aca="false">IF(G68="","",MIN(1,G68+J68/100))</f>
        <v>0.780445301849825</v>
      </c>
      <c r="M68" s="37" t="n">
        <f aca="false">IF(F68="","",ROUND(F68*J68/100,0))</f>
        <v>7</v>
      </c>
      <c r="P68" s="54" t="n">
        <v>25.7250687520981</v>
      </c>
      <c r="Q68" s="55" t="n">
        <f aca="false">T68*$H$5</f>
        <v>227.321723189734</v>
      </c>
      <c r="R68" s="56" t="n">
        <f aca="false">MAX(0,MIN(1,P68/100+$D$5))</f>
        <v>0.749467810902512</v>
      </c>
      <c r="S68" s="57" t="s">
        <v>123</v>
      </c>
      <c r="T68" s="55" t="n">
        <v>227.321723189734</v>
      </c>
    </row>
    <row r="69" customFormat="false" ht="15" hidden="false" customHeight="false" outlineLevel="0" collapsed="false">
      <c r="A69" s="21" t="s">
        <v>189</v>
      </c>
      <c r="B69" s="21" t="s">
        <v>191</v>
      </c>
      <c r="C69" s="21" t="s">
        <v>197</v>
      </c>
      <c r="D69" s="37" t="n">
        <f aca="false">ROUND(Q69*R69,0)</f>
        <v>251</v>
      </c>
      <c r="E69" s="37" t="n">
        <f aca="false">ROUND(Q69,0)-D69</f>
        <v>110</v>
      </c>
      <c r="F69" s="37" t="n">
        <f aca="false">IF(COUNTA(D69:E69)=0,"",SUM(D69:E69))</f>
        <v>361</v>
      </c>
      <c r="G69" s="52" t="n">
        <f aca="false">IF(OR(F69="",F69=0),"",D69/F69)</f>
        <v>0.695290858725762</v>
      </c>
      <c r="H69" s="52" t="n">
        <f aca="false">IF(OR(F69="",F69=0),"",E69/F69)</f>
        <v>0.304709141274238</v>
      </c>
      <c r="I69" s="21" t="s">
        <v>122</v>
      </c>
      <c r="J69" s="53" t="n">
        <v>3.15466234357281</v>
      </c>
      <c r="K69" s="52" t="n">
        <f aca="false">IF(G69="","",MAX(0,G69-J69/100))</f>
        <v>0.663744235290034</v>
      </c>
      <c r="L69" s="52" t="n">
        <f aca="false">IF(G69="","",MIN(1,G69+J69/100))</f>
        <v>0.72683748216149</v>
      </c>
      <c r="M69" s="37" t="n">
        <f aca="false">IF(F69="","",ROUND(F69*J69/100,0))</f>
        <v>11</v>
      </c>
      <c r="P69" s="54" t="n">
        <v>20.3459593580035</v>
      </c>
      <c r="Q69" s="55" t="n">
        <f aca="false">T69*$H$5</f>
        <v>360.922448979592</v>
      </c>
      <c r="R69" s="56" t="n">
        <f aca="false">MAX(0,MIN(1,P69/100+$D$5))</f>
        <v>0.695676716961566</v>
      </c>
      <c r="S69" s="57" t="s">
        <v>123</v>
      </c>
      <c r="T69" s="55" t="n">
        <v>360.922448979592</v>
      </c>
    </row>
    <row r="70" customFormat="false" ht="15" hidden="false" customHeight="false" outlineLevel="0" collapsed="false">
      <c r="A70" s="21" t="s">
        <v>189</v>
      </c>
      <c r="B70" s="21" t="s">
        <v>191</v>
      </c>
      <c r="C70" s="21" t="s">
        <v>198</v>
      </c>
      <c r="D70" s="37" t="n">
        <f aca="false">ROUND(Q70*R70,0)</f>
        <v>586</v>
      </c>
      <c r="E70" s="37" t="n">
        <f aca="false">ROUND(Q70,0)-D70</f>
        <v>172</v>
      </c>
      <c r="F70" s="37" t="n">
        <f aca="false">IF(COUNTA(D70:E70)=0,"",SUM(D70:E70))</f>
        <v>758</v>
      </c>
      <c r="G70" s="52" t="n">
        <f aca="false">IF(OR(F70="",F70=0),"",D70/F70)</f>
        <v>0.773087071240106</v>
      </c>
      <c r="H70" s="52" t="n">
        <f aca="false">IF(OR(F70="",F70=0),"",E70/F70)</f>
        <v>0.226912928759894</v>
      </c>
      <c r="I70" s="21" t="s">
        <v>122</v>
      </c>
      <c r="J70" s="53" t="n">
        <v>3.15466234357281</v>
      </c>
      <c r="K70" s="52" t="n">
        <f aca="false">IF(G70="","",MAX(0,G70-J70/100))</f>
        <v>0.741540447804377</v>
      </c>
      <c r="L70" s="52" t="n">
        <f aca="false">IF(G70="","",MIN(1,G70+J70/100))</f>
        <v>0.804633694675834</v>
      </c>
      <c r="M70" s="37" t="n">
        <f aca="false">IF(F70="","",ROUND(F70*J70/100,0))</f>
        <v>24</v>
      </c>
      <c r="P70" s="54" t="n">
        <v>28.121289847475</v>
      </c>
      <c r="Q70" s="55" t="n">
        <f aca="false">T70*$H$5</f>
        <v>757.916666666666</v>
      </c>
      <c r="R70" s="56" t="n">
        <f aca="false">MAX(0,MIN(1,P70/100+$D$5))</f>
        <v>0.773430021856281</v>
      </c>
      <c r="S70" s="57" t="s">
        <v>123</v>
      </c>
      <c r="T70" s="55" t="n">
        <v>757.916666666666</v>
      </c>
    </row>
    <row r="71" customFormat="false" ht="15" hidden="false" customHeight="false" outlineLevel="0" collapsed="false">
      <c r="A71" s="21" t="s">
        <v>189</v>
      </c>
      <c r="B71" s="21" t="s">
        <v>191</v>
      </c>
      <c r="C71" s="21" t="s">
        <v>199</v>
      </c>
      <c r="D71" s="37" t="n">
        <f aca="false">ROUND(Q71*R71,0)</f>
        <v>273</v>
      </c>
      <c r="E71" s="37" t="n">
        <f aca="false">ROUND(Q71,0)-D71</f>
        <v>138</v>
      </c>
      <c r="F71" s="37" t="n">
        <f aca="false">IF(COUNTA(D71:E71)=0,"",SUM(D71:E71))</f>
        <v>411</v>
      </c>
      <c r="G71" s="52" t="n">
        <f aca="false">IF(OR(F71="",F71=0),"",D71/F71)</f>
        <v>0.664233576642336</v>
      </c>
      <c r="H71" s="52" t="n">
        <f aca="false">IF(OR(F71="",F71=0),"",E71/F71)</f>
        <v>0.335766423357664</v>
      </c>
      <c r="I71" s="21" t="s">
        <v>122</v>
      </c>
      <c r="J71" s="53" t="n">
        <v>3.15466234357281</v>
      </c>
      <c r="K71" s="52" t="n">
        <f aca="false">IF(G71="","",MAX(0,G71-J71/100))</f>
        <v>0.632686953206608</v>
      </c>
      <c r="L71" s="52" t="n">
        <f aca="false">IF(G71="","",MIN(1,G71+J71/100))</f>
        <v>0.695780200078064</v>
      </c>
      <c r="M71" s="37" t="n">
        <f aca="false">IF(F71="","",ROUND(F71*J71/100,0))</f>
        <v>13</v>
      </c>
      <c r="P71" s="54" t="n">
        <v>17.2579849013797</v>
      </c>
      <c r="Q71" s="55" t="n">
        <f aca="false">T71*$H$5</f>
        <v>411.119158878505</v>
      </c>
      <c r="R71" s="56" t="n">
        <f aca="false">MAX(0,MIN(1,P71/100+$D$5))</f>
        <v>0.664796972395328</v>
      </c>
      <c r="S71" s="57" t="s">
        <v>123</v>
      </c>
      <c r="T71" s="55" t="n">
        <v>411.119158878505</v>
      </c>
    </row>
    <row r="72" customFormat="false" ht="15" hidden="false" customHeight="false" outlineLevel="0" collapsed="false">
      <c r="A72" s="21" t="s">
        <v>189</v>
      </c>
      <c r="B72" s="21" t="s">
        <v>191</v>
      </c>
      <c r="C72" s="21" t="s">
        <v>200</v>
      </c>
      <c r="D72" s="37" t="n">
        <f aca="false">ROUND(Q72*R72,0)</f>
        <v>413</v>
      </c>
      <c r="E72" s="37" t="n">
        <f aca="false">ROUND(Q72,0)-D72</f>
        <v>257</v>
      </c>
      <c r="F72" s="37" t="n">
        <f aca="false">IF(COUNTA(D72:E72)=0,"",SUM(D72:E72))</f>
        <v>670</v>
      </c>
      <c r="G72" s="52" t="n">
        <f aca="false">IF(OR(F72="",F72=0),"",D72/F72)</f>
        <v>0.616417910447761</v>
      </c>
      <c r="H72" s="52" t="n">
        <f aca="false">IF(OR(F72="",F72=0),"",E72/F72)</f>
        <v>0.383582089552239</v>
      </c>
      <c r="I72" s="21" t="s">
        <v>122</v>
      </c>
      <c r="J72" s="53" t="n">
        <v>3.15466234357281</v>
      </c>
      <c r="K72" s="52" t="n">
        <f aca="false">IF(G72="","",MAX(0,G72-J72/100))</f>
        <v>0.584871287012033</v>
      </c>
      <c r="L72" s="52" t="n">
        <f aca="false">IF(G72="","",MIN(1,G72+J72/100))</f>
        <v>0.647964533883489</v>
      </c>
      <c r="M72" s="37" t="n">
        <f aca="false">IF(F72="","",ROUND(F72*J72/100,0))</f>
        <v>21</v>
      </c>
      <c r="P72" s="54" t="n">
        <v>12.4859637363369</v>
      </c>
      <c r="Q72" s="55" t="n">
        <f aca="false">T72*$H$5</f>
        <v>669.509193776521</v>
      </c>
      <c r="R72" s="56" t="n">
        <f aca="false">MAX(0,MIN(1,P72/100+$D$5))</f>
        <v>0.6170767607449</v>
      </c>
      <c r="S72" s="57" t="s">
        <v>123</v>
      </c>
      <c r="T72" s="55" t="n">
        <v>669.509193776521</v>
      </c>
    </row>
    <row r="73" customFormat="false" ht="15" hidden="false" customHeight="false" outlineLevel="0" collapsed="false">
      <c r="A73" s="21" t="s">
        <v>189</v>
      </c>
      <c r="B73" s="21" t="s">
        <v>191</v>
      </c>
      <c r="C73" s="21" t="s">
        <v>201</v>
      </c>
      <c r="D73" s="37" t="n">
        <f aca="false">ROUND(Q73*R73,0)</f>
        <v>351</v>
      </c>
      <c r="E73" s="37" t="n">
        <f aca="false">ROUND(Q73,0)-D73</f>
        <v>198</v>
      </c>
      <c r="F73" s="37" t="n">
        <f aca="false">IF(COUNTA(D73:E73)=0,"",SUM(D73:E73))</f>
        <v>549</v>
      </c>
      <c r="G73" s="52" t="n">
        <f aca="false">IF(OR(F73="",F73=0),"",D73/F73)</f>
        <v>0.639344262295082</v>
      </c>
      <c r="H73" s="52" t="n">
        <f aca="false">IF(OR(F73="",F73=0),"",E73/F73)</f>
        <v>0.360655737704918</v>
      </c>
      <c r="I73" s="21" t="s">
        <v>122</v>
      </c>
      <c r="J73" s="53" t="n">
        <v>3.15466234357281</v>
      </c>
      <c r="K73" s="52" t="n">
        <f aca="false">IF(G73="","",MAX(0,G73-J73/100))</f>
        <v>0.607797638859354</v>
      </c>
      <c r="L73" s="52" t="n">
        <f aca="false">IF(G73="","",MIN(1,G73+J73/100))</f>
        <v>0.67089088573081</v>
      </c>
      <c r="M73" s="37" t="n">
        <f aca="false">IF(F73="","",ROUND(F73*J73/100,0))</f>
        <v>17</v>
      </c>
      <c r="P73" s="54" t="n">
        <v>14.615764586672</v>
      </c>
      <c r="Q73" s="55" t="n">
        <f aca="false">T73*$H$5</f>
        <v>549.287257019439</v>
      </c>
      <c r="R73" s="56" t="n">
        <f aca="false">MAX(0,MIN(1,P73/100+$D$5))</f>
        <v>0.63837476924825</v>
      </c>
      <c r="S73" s="57" t="s">
        <v>123</v>
      </c>
      <c r="T73" s="55" t="n">
        <v>549.287257019439</v>
      </c>
    </row>
    <row r="74" customFormat="false" ht="15" hidden="false" customHeight="false" outlineLevel="0" collapsed="false">
      <c r="A74" s="21" t="s">
        <v>189</v>
      </c>
      <c r="B74" s="21" t="s">
        <v>191</v>
      </c>
      <c r="C74" s="21" t="s">
        <v>202</v>
      </c>
      <c r="D74" s="37" t="n">
        <f aca="false">ROUND(Q74*R74,0)</f>
        <v>261</v>
      </c>
      <c r="E74" s="37" t="n">
        <f aca="false">ROUND(Q74,0)-D74</f>
        <v>117</v>
      </c>
      <c r="F74" s="37" t="n">
        <f aca="false">IF(COUNTA(D74:E74)=0,"",SUM(D74:E74))</f>
        <v>378</v>
      </c>
      <c r="G74" s="52" t="n">
        <f aca="false">IF(OR(F74="",F74=0),"",D74/F74)</f>
        <v>0.690476190476191</v>
      </c>
      <c r="H74" s="52" t="n">
        <f aca="false">IF(OR(F74="",F74=0),"",E74/F74)</f>
        <v>0.30952380952381</v>
      </c>
      <c r="I74" s="21" t="s">
        <v>122</v>
      </c>
      <c r="J74" s="53" t="n">
        <v>3.15466234357281</v>
      </c>
      <c r="K74" s="52" t="n">
        <f aca="false">IF(G74="","",MAX(0,G74-J74/100))</f>
        <v>0.658929567040462</v>
      </c>
      <c r="L74" s="52" t="n">
        <f aca="false">IF(G74="","",MIN(1,G74+J74/100))</f>
        <v>0.722022813911919</v>
      </c>
      <c r="M74" s="37" t="n">
        <f aca="false">IF(F74="","",ROUND(F74*J74/100,0))</f>
        <v>12</v>
      </c>
      <c r="P74" s="54" t="n">
        <v>19.8179660595523</v>
      </c>
      <c r="Q74" s="55" t="n">
        <f aca="false">T74*$H$5</f>
        <v>378.339066339066</v>
      </c>
      <c r="R74" s="56" t="n">
        <f aca="false">MAX(0,MIN(1,P74/100+$D$5))</f>
        <v>0.690396783977054</v>
      </c>
      <c r="S74" s="57" t="s">
        <v>123</v>
      </c>
      <c r="T74" s="55" t="n">
        <v>378.339066339066</v>
      </c>
    </row>
    <row r="75" customFormat="false" ht="15" hidden="false" customHeight="false" outlineLevel="0" collapsed="false">
      <c r="A75" s="21" t="s">
        <v>189</v>
      </c>
      <c r="B75" s="21" t="s">
        <v>191</v>
      </c>
      <c r="C75" s="21" t="s">
        <v>203</v>
      </c>
      <c r="D75" s="37" t="n">
        <f aca="false">ROUND(Q75*R75,0)</f>
        <v>310</v>
      </c>
      <c r="E75" s="37" t="n">
        <f aca="false">ROUND(Q75,0)-D75</f>
        <v>175</v>
      </c>
      <c r="F75" s="37" t="n">
        <f aca="false">IF(COUNTA(D75:E75)=0,"",SUM(D75:E75))</f>
        <v>485</v>
      </c>
      <c r="G75" s="52" t="n">
        <f aca="false">IF(OR(F75="",F75=0),"",D75/F75)</f>
        <v>0.639175257731959</v>
      </c>
      <c r="H75" s="52" t="n">
        <f aca="false">IF(OR(F75="",F75=0),"",E75/F75)</f>
        <v>0.360824742268041</v>
      </c>
      <c r="I75" s="21" t="s">
        <v>122</v>
      </c>
      <c r="J75" s="53" t="n">
        <v>3.15466234357281</v>
      </c>
      <c r="K75" s="52" t="n">
        <f aca="false">IF(G75="","",MAX(0,G75-J75/100))</f>
        <v>0.607628634296231</v>
      </c>
      <c r="L75" s="52" t="n">
        <f aca="false">IF(G75="","",MIN(1,G75+J75/100))</f>
        <v>0.670721881167687</v>
      </c>
      <c r="M75" s="37" t="n">
        <f aca="false">IF(F75="","",ROUND(F75*J75/100,0))</f>
        <v>15</v>
      </c>
      <c r="P75" s="54" t="n">
        <v>14.743398633349</v>
      </c>
      <c r="Q75" s="55" t="n">
        <f aca="false">T75*$H$5</f>
        <v>484.695302013423</v>
      </c>
      <c r="R75" s="56" t="n">
        <f aca="false">MAX(0,MIN(1,P75/100+$D$5))</f>
        <v>0.639651109715021</v>
      </c>
      <c r="S75" s="57" t="s">
        <v>123</v>
      </c>
      <c r="T75" s="55" t="n">
        <v>484.695302013423</v>
      </c>
    </row>
    <row r="76" customFormat="false" ht="15" hidden="false" customHeight="false" outlineLevel="0" collapsed="false">
      <c r="A76" s="21" t="s">
        <v>189</v>
      </c>
      <c r="B76" s="21" t="s">
        <v>191</v>
      </c>
      <c r="C76" s="21" t="s">
        <v>204</v>
      </c>
      <c r="D76" s="37" t="n">
        <f aca="false">ROUND(Q76*R76,0)</f>
        <v>364</v>
      </c>
      <c r="E76" s="37" t="n">
        <f aca="false">ROUND(Q76,0)-D76</f>
        <v>210</v>
      </c>
      <c r="F76" s="37" t="n">
        <f aca="false">IF(COUNTA(D76:E76)=0,"",SUM(D76:E76))</f>
        <v>574</v>
      </c>
      <c r="G76" s="52" t="n">
        <f aca="false">IF(OR(F76="",F76=0),"",D76/F76)</f>
        <v>0.634146341463415</v>
      </c>
      <c r="H76" s="52" t="n">
        <f aca="false">IF(OR(F76="",F76=0),"",E76/F76)</f>
        <v>0.365853658536585</v>
      </c>
      <c r="I76" s="21" t="s">
        <v>122</v>
      </c>
      <c r="J76" s="53" t="n">
        <v>3.15466234357281</v>
      </c>
      <c r="K76" s="52" t="n">
        <f aca="false">IF(G76="","",MAX(0,G76-J76/100))</f>
        <v>0.602599718027687</v>
      </c>
      <c r="L76" s="52" t="n">
        <f aca="false">IF(G76="","",MIN(1,G76+J76/100))</f>
        <v>0.665692964899143</v>
      </c>
      <c r="M76" s="37" t="n">
        <f aca="false">IF(F76="","",ROUND(F76*J76/100,0))</f>
        <v>18</v>
      </c>
      <c r="P76" s="54" t="n">
        <v>14.1169551914376</v>
      </c>
      <c r="Q76" s="55" t="n">
        <f aca="false">T76*$H$5</f>
        <v>574.422997946612</v>
      </c>
      <c r="R76" s="56" t="n">
        <f aca="false">MAX(0,MIN(1,P76/100+$D$5))</f>
        <v>0.633386675295907</v>
      </c>
      <c r="S76" s="57" t="s">
        <v>123</v>
      </c>
      <c r="T76" s="55" t="n">
        <v>574.422997946612</v>
      </c>
    </row>
    <row r="77" customFormat="false" ht="15" hidden="false" customHeight="false" outlineLevel="0" collapsed="false">
      <c r="A77" s="21" t="s">
        <v>189</v>
      </c>
      <c r="B77" s="21" t="s">
        <v>191</v>
      </c>
      <c r="C77" s="21" t="s">
        <v>205</v>
      </c>
      <c r="D77" s="37" t="n">
        <f aca="false">ROUND(Q77*R77,0)</f>
        <v>337</v>
      </c>
      <c r="E77" s="37" t="n">
        <f aca="false">ROUND(Q77,0)-D77</f>
        <v>242</v>
      </c>
      <c r="F77" s="37" t="n">
        <f aca="false">IF(COUNTA(D77:E77)=0,"",SUM(D77:E77))</f>
        <v>579</v>
      </c>
      <c r="G77" s="52" t="n">
        <f aca="false">IF(OR(F77="",F77=0),"",D77/F77)</f>
        <v>0.582037996545769</v>
      </c>
      <c r="H77" s="52" t="n">
        <f aca="false">IF(OR(F77="",F77=0),"",E77/F77)</f>
        <v>0.417962003454231</v>
      </c>
      <c r="I77" s="21" t="s">
        <v>122</v>
      </c>
      <c r="J77" s="53" t="n">
        <v>3.15466234357281</v>
      </c>
      <c r="K77" s="52" t="n">
        <f aca="false">IF(G77="","",MAX(0,G77-J77/100))</f>
        <v>0.550491373110041</v>
      </c>
      <c r="L77" s="52" t="n">
        <f aca="false">IF(G77="","",MIN(1,G77+J77/100))</f>
        <v>0.613584619981497</v>
      </c>
      <c r="M77" s="37" t="n">
        <f aca="false">IF(F77="","",ROUND(F77*J77/100,0))</f>
        <v>18</v>
      </c>
      <c r="P77" s="54" t="n">
        <v>9.01978384810723</v>
      </c>
      <c r="Q77" s="55" t="n">
        <f aca="false">T77*$H$5</f>
        <v>579.434468524251</v>
      </c>
      <c r="R77" s="56" t="n">
        <f aca="false">MAX(0,MIN(1,P77/100+$D$5))</f>
        <v>0.582414961862603</v>
      </c>
      <c r="S77" s="57" t="s">
        <v>123</v>
      </c>
      <c r="T77" s="55" t="n">
        <v>579.434468524251</v>
      </c>
    </row>
    <row r="78" customFormat="false" ht="15" hidden="false" customHeight="false" outlineLevel="0" collapsed="false">
      <c r="A78" s="21" t="s">
        <v>189</v>
      </c>
      <c r="B78" s="21" t="s">
        <v>191</v>
      </c>
      <c r="C78" s="21" t="s">
        <v>206</v>
      </c>
      <c r="D78" s="37" t="n">
        <f aca="false">ROUND(Q78*R78,0)</f>
        <v>265</v>
      </c>
      <c r="E78" s="37" t="n">
        <f aca="false">ROUND(Q78,0)-D78</f>
        <v>167</v>
      </c>
      <c r="F78" s="37" t="n">
        <f aca="false">IF(COUNTA(D78:E78)=0,"",SUM(D78:E78))</f>
        <v>432</v>
      </c>
      <c r="G78" s="52" t="n">
        <f aca="false">IF(OR(F78="",F78=0),"",D78/F78)</f>
        <v>0.613425925925926</v>
      </c>
      <c r="H78" s="52" t="n">
        <f aca="false">IF(OR(F78="",F78=0),"",E78/F78)</f>
        <v>0.386574074074074</v>
      </c>
      <c r="I78" s="21" t="s">
        <v>122</v>
      </c>
      <c r="J78" s="53" t="n">
        <v>3.15466234357281</v>
      </c>
      <c r="K78" s="52" t="n">
        <f aca="false">IF(G78="","",MAX(0,G78-J78/100))</f>
        <v>0.581879302490198</v>
      </c>
      <c r="L78" s="52" t="n">
        <f aca="false">IF(G78="","",MIN(1,G78+J78/100))</f>
        <v>0.644972549361654</v>
      </c>
      <c r="M78" s="37" t="n">
        <f aca="false">IF(F78="","",ROUND(F78*J78/100,0))</f>
        <v>14</v>
      </c>
      <c r="P78" s="54" t="n">
        <v>12.0379988707004</v>
      </c>
      <c r="Q78" s="55" t="n">
        <f aca="false">T78*$H$5</f>
        <v>431.913793103448</v>
      </c>
      <c r="R78" s="56" t="n">
        <f aca="false">MAX(0,MIN(1,P78/100+$D$5))</f>
        <v>0.612597112088535</v>
      </c>
      <c r="S78" s="57" t="s">
        <v>123</v>
      </c>
      <c r="T78" s="55" t="n">
        <v>431.913793103448</v>
      </c>
    </row>
    <row r="79" customFormat="false" ht="15" hidden="false" customHeight="false" outlineLevel="0" collapsed="false">
      <c r="A79" s="21" t="s">
        <v>189</v>
      </c>
      <c r="B79" s="21" t="s">
        <v>191</v>
      </c>
      <c r="C79" s="21" t="s">
        <v>207</v>
      </c>
      <c r="D79" s="37" t="n">
        <f aca="false">ROUND(Q79*R79,0)</f>
        <v>255</v>
      </c>
      <c r="E79" s="37" t="n">
        <f aca="false">ROUND(Q79,0)-D79</f>
        <v>109</v>
      </c>
      <c r="F79" s="37" t="n">
        <f aca="false">IF(COUNTA(D79:E79)=0,"",SUM(D79:E79))</f>
        <v>364</v>
      </c>
      <c r="G79" s="52" t="n">
        <f aca="false">IF(OR(F79="",F79=0),"",D79/F79)</f>
        <v>0.700549450549451</v>
      </c>
      <c r="H79" s="52" t="n">
        <f aca="false">IF(OR(F79="",F79=0),"",E79/F79)</f>
        <v>0.299450549450549</v>
      </c>
      <c r="I79" s="21" t="s">
        <v>122</v>
      </c>
      <c r="J79" s="53" t="n">
        <v>3.15466234357281</v>
      </c>
      <c r="K79" s="52" t="n">
        <f aca="false">IF(G79="","",MAX(0,G79-J79/100))</f>
        <v>0.669002827113722</v>
      </c>
      <c r="L79" s="52" t="n">
        <f aca="false">IF(G79="","",MIN(1,G79+J79/100))</f>
        <v>0.732096073985179</v>
      </c>
      <c r="M79" s="37" t="n">
        <f aca="false">IF(F79="","",ROUND(F79*J79/100,0))</f>
        <v>11</v>
      </c>
      <c r="P79" s="54" t="n">
        <v>20.7850028533835</v>
      </c>
      <c r="Q79" s="55" t="n">
        <f aca="false">T79*$H$5</f>
        <v>363.966015293118</v>
      </c>
      <c r="R79" s="56" t="n">
        <f aca="false">MAX(0,MIN(1,P79/100+$D$5))</f>
        <v>0.700067151915365</v>
      </c>
      <c r="S79" s="57" t="s">
        <v>123</v>
      </c>
      <c r="T79" s="55" t="n">
        <v>363.966015293118</v>
      </c>
    </row>
    <row r="80" customFormat="false" ht="15" hidden="false" customHeight="false" outlineLevel="0" collapsed="false">
      <c r="A80" s="21" t="s">
        <v>189</v>
      </c>
      <c r="B80" s="21" t="s">
        <v>191</v>
      </c>
      <c r="C80" s="21" t="s">
        <v>208</v>
      </c>
      <c r="D80" s="37" t="n">
        <f aca="false">ROUND(Q80*R80,0)</f>
        <v>198</v>
      </c>
      <c r="E80" s="37" t="n">
        <f aca="false">ROUND(Q80,0)-D80</f>
        <v>106</v>
      </c>
      <c r="F80" s="37" t="n">
        <f aca="false">IF(COUNTA(D80:E80)=0,"",SUM(D80:E80))</f>
        <v>304</v>
      </c>
      <c r="G80" s="52" t="n">
        <f aca="false">IF(OR(F80="",F80=0),"",D80/F80)</f>
        <v>0.651315789473684</v>
      </c>
      <c r="H80" s="52" t="n">
        <f aca="false">IF(OR(F80="",F80=0),"",E80/F80)</f>
        <v>0.348684210526316</v>
      </c>
      <c r="I80" s="21" t="s">
        <v>122</v>
      </c>
      <c r="J80" s="53" t="n">
        <v>3.15466234357281</v>
      </c>
      <c r="K80" s="52" t="n">
        <f aca="false">IF(G80="","",MAX(0,G80-J80/100))</f>
        <v>0.619769166037956</v>
      </c>
      <c r="L80" s="52" t="n">
        <f aca="false">IF(G80="","",MIN(1,G80+J80/100))</f>
        <v>0.682862412909412</v>
      </c>
      <c r="M80" s="37" t="n">
        <f aca="false">IF(F80="","",ROUND(F80*J80/100,0))</f>
        <v>10</v>
      </c>
      <c r="P80" s="54" t="n">
        <v>15.9386169241842</v>
      </c>
      <c r="Q80" s="55" t="n">
        <f aca="false">T80*$H$5</f>
        <v>303.644444444444</v>
      </c>
      <c r="R80" s="56" t="n">
        <f aca="false">MAX(0,MIN(1,P80/100+$D$5))</f>
        <v>0.651603292623373</v>
      </c>
      <c r="S80" s="57" t="s">
        <v>123</v>
      </c>
      <c r="T80" s="55" t="n">
        <v>303.644444444444</v>
      </c>
    </row>
    <row r="81" customFormat="false" ht="15" hidden="false" customHeight="false" outlineLevel="0" collapsed="false">
      <c r="A81" s="21" t="s">
        <v>189</v>
      </c>
      <c r="B81" s="21" t="s">
        <v>191</v>
      </c>
      <c r="C81" s="21" t="s">
        <v>209</v>
      </c>
      <c r="D81" s="37" t="n">
        <f aca="false">ROUND(Q81*R81,0)</f>
        <v>259</v>
      </c>
      <c r="E81" s="37" t="n">
        <f aca="false">ROUND(Q81,0)-D81</f>
        <v>136</v>
      </c>
      <c r="F81" s="37" t="n">
        <f aca="false">IF(COUNTA(D81:E81)=0,"",SUM(D81:E81))</f>
        <v>395</v>
      </c>
      <c r="G81" s="52" t="n">
        <f aca="false">IF(OR(F81="",F81=0),"",D81/F81)</f>
        <v>0.655696202531646</v>
      </c>
      <c r="H81" s="52" t="n">
        <f aca="false">IF(OR(F81="",F81=0),"",E81/F81)</f>
        <v>0.344303797468354</v>
      </c>
      <c r="I81" s="21" t="s">
        <v>122</v>
      </c>
      <c r="J81" s="53" t="n">
        <v>3.15466234357281</v>
      </c>
      <c r="K81" s="52" t="n">
        <f aca="false">IF(G81="","",MAX(0,G81-J81/100))</f>
        <v>0.624149579095918</v>
      </c>
      <c r="L81" s="52" t="n">
        <f aca="false">IF(G81="","",MIN(1,G81+J81/100))</f>
        <v>0.687242825967374</v>
      </c>
      <c r="M81" s="37" t="n">
        <f aca="false">IF(F81="","",ROUND(F81*J81/100,0))</f>
        <v>12</v>
      </c>
      <c r="P81" s="54" t="n">
        <v>16.199468584242</v>
      </c>
      <c r="Q81" s="55" t="n">
        <f aca="false">T81*$H$5</f>
        <v>395.313313313313</v>
      </c>
      <c r="R81" s="56" t="n">
        <f aca="false">MAX(0,MIN(1,P81/100+$D$5))</f>
        <v>0.654211809223951</v>
      </c>
      <c r="S81" s="57" t="s">
        <v>123</v>
      </c>
      <c r="T81" s="55" t="n">
        <v>395.313313313313</v>
      </c>
    </row>
    <row r="82" customFormat="false" ht="15" hidden="false" customHeight="false" outlineLevel="0" collapsed="false">
      <c r="A82" s="21" t="s">
        <v>189</v>
      </c>
      <c r="B82" s="21" t="s">
        <v>191</v>
      </c>
      <c r="C82" s="21" t="s">
        <v>210</v>
      </c>
      <c r="D82" s="37" t="n">
        <f aca="false">ROUND(Q82*R82,0)</f>
        <v>205</v>
      </c>
      <c r="E82" s="37" t="n">
        <f aca="false">ROUND(Q82,0)-D82</f>
        <v>96</v>
      </c>
      <c r="F82" s="37" t="n">
        <f aca="false">IF(COUNTA(D82:E82)=0,"",SUM(D82:E82))</f>
        <v>301</v>
      </c>
      <c r="G82" s="52" t="n">
        <f aca="false">IF(OR(F82="",F82=0),"",D82/F82)</f>
        <v>0.681063122923588</v>
      </c>
      <c r="H82" s="52" t="n">
        <f aca="false">IF(OR(F82="",F82=0),"",E82/F82)</f>
        <v>0.318936877076412</v>
      </c>
      <c r="I82" s="21" t="s">
        <v>122</v>
      </c>
      <c r="J82" s="53" t="n">
        <v>3.15466234357281</v>
      </c>
      <c r="K82" s="52" t="n">
        <f aca="false">IF(G82="","",MAX(0,G82-J82/100))</f>
        <v>0.64951649948786</v>
      </c>
      <c r="L82" s="52" t="n">
        <f aca="false">IF(G82="","",MIN(1,G82+J82/100))</f>
        <v>0.712609746359316</v>
      </c>
      <c r="M82" s="37" t="n">
        <f aca="false">IF(F82="","",ROUND(F82*J82/100,0))</f>
        <v>9</v>
      </c>
      <c r="P82" s="54" t="n">
        <v>19.1113691523396</v>
      </c>
      <c r="Q82" s="55" t="n">
        <f aca="false">T82*$H$5</f>
        <v>300.567123287671</v>
      </c>
      <c r="R82" s="56" t="n">
        <f aca="false">MAX(0,MIN(1,P82/100+$D$5))</f>
        <v>0.683330814904927</v>
      </c>
      <c r="S82" s="57" t="s">
        <v>123</v>
      </c>
      <c r="T82" s="55" t="n">
        <v>300.567123287671</v>
      </c>
    </row>
    <row r="83" customFormat="false" ht="15" hidden="false" customHeight="false" outlineLevel="0" collapsed="false">
      <c r="A83" s="21" t="s">
        <v>189</v>
      </c>
      <c r="B83" s="21" t="s">
        <v>191</v>
      </c>
      <c r="C83" s="21" t="s">
        <v>211</v>
      </c>
      <c r="D83" s="37" t="n">
        <f aca="false">ROUND(Q83*R83,0)</f>
        <v>376</v>
      </c>
      <c r="E83" s="37" t="n">
        <f aca="false">ROUND(Q83,0)-D83</f>
        <v>210</v>
      </c>
      <c r="F83" s="37" t="n">
        <f aca="false">IF(COUNTA(D83:E83)=0,"",SUM(D83:E83))</f>
        <v>586</v>
      </c>
      <c r="G83" s="52" t="n">
        <f aca="false">IF(OR(F83="",F83=0),"",D83/F83)</f>
        <v>0.641638225255973</v>
      </c>
      <c r="H83" s="52" t="n">
        <f aca="false">IF(OR(F83="",F83=0),"",E83/F83)</f>
        <v>0.358361774744027</v>
      </c>
      <c r="I83" s="21" t="s">
        <v>122</v>
      </c>
      <c r="J83" s="53" t="n">
        <v>3.15466234357281</v>
      </c>
      <c r="K83" s="52" t="n">
        <f aca="false">IF(G83="","",MAX(0,G83-J83/100))</f>
        <v>0.610091601820245</v>
      </c>
      <c r="L83" s="52" t="n">
        <f aca="false">IF(G83="","",MIN(1,G83+J83/100))</f>
        <v>0.673184848691701</v>
      </c>
      <c r="M83" s="37" t="n">
        <f aca="false">IF(F83="","",ROUND(F83*J83/100,0))</f>
        <v>18</v>
      </c>
      <c r="P83" s="54" t="n">
        <v>14.9396142824646</v>
      </c>
      <c r="Q83" s="55" t="n">
        <f aca="false">T83*$H$5</f>
        <v>586.485403548941</v>
      </c>
      <c r="R83" s="56" t="n">
        <f aca="false">MAX(0,MIN(1,P83/100+$D$5))</f>
        <v>0.641613266206177</v>
      </c>
      <c r="S83" s="57" t="s">
        <v>123</v>
      </c>
      <c r="T83" s="55" t="n">
        <v>586.485403548941</v>
      </c>
    </row>
    <row r="84" customFormat="false" ht="15" hidden="false" customHeight="false" outlineLevel="0" collapsed="false">
      <c r="A84" s="21" t="s">
        <v>189</v>
      </c>
      <c r="B84" s="21" t="s">
        <v>191</v>
      </c>
      <c r="C84" s="21" t="s">
        <v>212</v>
      </c>
      <c r="D84" s="37" t="n">
        <f aca="false">ROUND(Q84*R84,0)</f>
        <v>369</v>
      </c>
      <c r="E84" s="37" t="n">
        <f aca="false">ROUND(Q84,0)-D84</f>
        <v>202</v>
      </c>
      <c r="F84" s="37" t="n">
        <f aca="false">IF(COUNTA(D84:E84)=0,"",SUM(D84:E84))</f>
        <v>571</v>
      </c>
      <c r="G84" s="52" t="n">
        <f aca="false">IF(OR(F84="",F84=0),"",D84/F84)</f>
        <v>0.646234676007005</v>
      </c>
      <c r="H84" s="52" t="n">
        <f aca="false">IF(OR(F84="",F84=0),"",E84/F84)</f>
        <v>0.353765323992995</v>
      </c>
      <c r="I84" s="21" t="s">
        <v>122</v>
      </c>
      <c r="J84" s="53" t="n">
        <v>3.15466234357281</v>
      </c>
      <c r="K84" s="52" t="n">
        <f aca="false">IF(G84="","",MAX(0,G84-J84/100))</f>
        <v>0.614688052571277</v>
      </c>
      <c r="L84" s="52" t="n">
        <f aca="false">IF(G84="","",MIN(1,G84+J84/100))</f>
        <v>0.677781299442733</v>
      </c>
      <c r="M84" s="37" t="n">
        <f aca="false">IF(F84="","",ROUND(F84*J84/100,0))</f>
        <v>18</v>
      </c>
      <c r="P84" s="54" t="n">
        <v>15.2995556265129</v>
      </c>
      <c r="Q84" s="55" t="n">
        <f aca="false">T84*$H$5</f>
        <v>571.299896587383</v>
      </c>
      <c r="R84" s="56" t="n">
        <f aca="false">MAX(0,MIN(1,P84/100+$D$5))</f>
        <v>0.64521267964666</v>
      </c>
      <c r="S84" s="57" t="s">
        <v>123</v>
      </c>
      <c r="T84" s="55" t="n">
        <v>571.299896587383</v>
      </c>
    </row>
    <row r="85" customFormat="false" ht="15" hidden="false" customHeight="false" outlineLevel="0" collapsed="false">
      <c r="A85" s="21" t="s">
        <v>189</v>
      </c>
      <c r="B85" s="21" t="s">
        <v>191</v>
      </c>
      <c r="C85" s="21" t="s">
        <v>213</v>
      </c>
      <c r="D85" s="37" t="n">
        <f aca="false">ROUND(Q85*R85,0)</f>
        <v>299</v>
      </c>
      <c r="E85" s="37" t="n">
        <f aca="false">ROUND(Q85,0)-D85</f>
        <v>224</v>
      </c>
      <c r="F85" s="37" t="n">
        <f aca="false">IF(COUNTA(D85:E85)=0,"",SUM(D85:E85))</f>
        <v>523</v>
      </c>
      <c r="G85" s="52" t="n">
        <f aca="false">IF(OR(F85="",F85=0),"",D85/F85)</f>
        <v>0.5717017208413</v>
      </c>
      <c r="H85" s="52" t="n">
        <f aca="false">IF(OR(F85="",F85=0),"",E85/F85)</f>
        <v>0.4282982791587</v>
      </c>
      <c r="I85" s="21" t="s">
        <v>122</v>
      </c>
      <c r="J85" s="53" t="n">
        <v>3.15466234357281</v>
      </c>
      <c r="K85" s="52" t="n">
        <f aca="false">IF(G85="","",MAX(0,G85-J85/100))</f>
        <v>0.540155097405572</v>
      </c>
      <c r="L85" s="52" t="n">
        <f aca="false">IF(G85="","",MIN(1,G85+J85/100))</f>
        <v>0.603248344277028</v>
      </c>
      <c r="M85" s="37" t="n">
        <f aca="false">IF(F85="","",ROUND(F85*J85/100,0))</f>
        <v>16</v>
      </c>
      <c r="P85" s="54" t="n">
        <v>7.91902328457001</v>
      </c>
      <c r="Q85" s="55" t="n">
        <f aca="false">T85*$H$5</f>
        <v>522.567052980132</v>
      </c>
      <c r="R85" s="56" t="n">
        <f aca="false">MAX(0,MIN(1,P85/100+$D$5))</f>
        <v>0.571407356227231</v>
      </c>
      <c r="S85" s="57" t="s">
        <v>123</v>
      </c>
      <c r="T85" s="55" t="n">
        <v>522.567052980132</v>
      </c>
    </row>
    <row r="86" customFormat="false" ht="15" hidden="false" customHeight="false" outlineLevel="0" collapsed="false">
      <c r="A86" s="21" t="s">
        <v>189</v>
      </c>
      <c r="B86" s="21" t="s">
        <v>191</v>
      </c>
      <c r="C86" s="21" t="s">
        <v>214</v>
      </c>
      <c r="D86" s="37" t="n">
        <f aca="false">ROUND(Q86*R86,0)</f>
        <v>379</v>
      </c>
      <c r="E86" s="37" t="n">
        <f aca="false">ROUND(Q86,0)-D86</f>
        <v>231</v>
      </c>
      <c r="F86" s="37" t="n">
        <f aca="false">IF(COUNTA(D86:E86)=0,"",SUM(D86:E86))</f>
        <v>610</v>
      </c>
      <c r="G86" s="52" t="n">
        <f aca="false">IF(OR(F86="",F86=0),"",D86/F86)</f>
        <v>0.621311475409836</v>
      </c>
      <c r="H86" s="52" t="n">
        <f aca="false">IF(OR(F86="",F86=0),"",E86/F86)</f>
        <v>0.378688524590164</v>
      </c>
      <c r="I86" s="21" t="s">
        <v>122</v>
      </c>
      <c r="J86" s="53" t="n">
        <v>3.15466234357281</v>
      </c>
      <c r="K86" s="52" t="n">
        <f aca="false">IF(G86="","",MAX(0,G86-J86/100))</f>
        <v>0.589764851974108</v>
      </c>
      <c r="L86" s="52" t="n">
        <f aca="false">IF(G86="","",MIN(1,G86+J86/100))</f>
        <v>0.652858098845564</v>
      </c>
      <c r="M86" s="37" t="n">
        <f aca="false">IF(F86="","",ROUND(F86*J86/100,0))</f>
        <v>19</v>
      </c>
      <c r="P86" s="54" t="n">
        <v>12.907906482835</v>
      </c>
      <c r="Q86" s="55" t="n">
        <f aca="false">T86*$H$5</f>
        <v>610.325752919484</v>
      </c>
      <c r="R86" s="56" t="n">
        <f aca="false">MAX(0,MIN(1,P86/100+$D$5))</f>
        <v>0.621296188209881</v>
      </c>
      <c r="S86" s="57" t="s">
        <v>123</v>
      </c>
      <c r="T86" s="55" t="n">
        <v>610.325752919484</v>
      </c>
    </row>
    <row r="87" customFormat="false" ht="15" hidden="false" customHeight="false" outlineLevel="0" collapsed="false">
      <c r="A87" s="21" t="s">
        <v>189</v>
      </c>
      <c r="B87" s="21" t="s">
        <v>191</v>
      </c>
      <c r="C87" s="21" t="s">
        <v>215</v>
      </c>
      <c r="D87" s="37" t="n">
        <f aca="false">ROUND(Q87*R87,0)</f>
        <v>425</v>
      </c>
      <c r="E87" s="37" t="n">
        <f aca="false">ROUND(Q87,0)-D87</f>
        <v>256</v>
      </c>
      <c r="F87" s="37" t="n">
        <f aca="false">IF(COUNTA(D87:E87)=0,"",SUM(D87:E87))</f>
        <v>681</v>
      </c>
      <c r="G87" s="52" t="n">
        <f aca="false">IF(OR(F87="",F87=0),"",D87/F87)</f>
        <v>0.624082232011747</v>
      </c>
      <c r="H87" s="52" t="n">
        <f aca="false">IF(OR(F87="",F87=0),"",E87/F87)</f>
        <v>0.375917767988253</v>
      </c>
      <c r="I87" s="21" t="s">
        <v>122</v>
      </c>
      <c r="J87" s="53" t="n">
        <v>3.15466234357281</v>
      </c>
      <c r="K87" s="52" t="n">
        <f aca="false">IF(G87="","",MAX(0,G87-J87/100))</f>
        <v>0.592535608576019</v>
      </c>
      <c r="L87" s="52" t="n">
        <f aca="false">IF(G87="","",MIN(1,G87+J87/100))</f>
        <v>0.655628855447476</v>
      </c>
      <c r="M87" s="37" t="n">
        <f aca="false">IF(F87="","",ROUND(F87*J87/100,0))</f>
        <v>21</v>
      </c>
      <c r="P87" s="54" t="n">
        <v>13.1502854630597</v>
      </c>
      <c r="Q87" s="55" t="n">
        <f aca="false">T87*$H$5</f>
        <v>680.907053394859</v>
      </c>
      <c r="R87" s="56" t="n">
        <f aca="false">MAX(0,MIN(1,P87/100+$D$5))</f>
        <v>0.623719978012128</v>
      </c>
      <c r="S87" s="57" t="s">
        <v>123</v>
      </c>
      <c r="T87" s="55" t="n">
        <v>680.907053394859</v>
      </c>
    </row>
    <row r="88" customFormat="false" ht="15" hidden="false" customHeight="false" outlineLevel="0" collapsed="false">
      <c r="A88" s="21" t="s">
        <v>189</v>
      </c>
      <c r="B88" s="21" t="s">
        <v>191</v>
      </c>
      <c r="C88" s="21" t="s">
        <v>216</v>
      </c>
      <c r="D88" s="37" t="n">
        <f aca="false">ROUND(Q88*R88,0)</f>
        <v>287</v>
      </c>
      <c r="E88" s="37" t="n">
        <f aca="false">ROUND(Q88,0)-D88</f>
        <v>205</v>
      </c>
      <c r="F88" s="37" t="n">
        <f aca="false">IF(COUNTA(D88:E88)=0,"",SUM(D88:E88))</f>
        <v>492</v>
      </c>
      <c r="G88" s="52" t="n">
        <f aca="false">IF(OR(F88="",F88=0),"",D88/F88)</f>
        <v>0.583333333333333</v>
      </c>
      <c r="H88" s="52" t="n">
        <f aca="false">IF(OR(F88="",F88=0),"",E88/F88)</f>
        <v>0.416666666666667</v>
      </c>
      <c r="I88" s="21" t="s">
        <v>122</v>
      </c>
      <c r="J88" s="53" t="n">
        <v>3.15466234357281</v>
      </c>
      <c r="K88" s="52" t="n">
        <f aca="false">IF(G88="","",MAX(0,G88-J88/100))</f>
        <v>0.551786709897605</v>
      </c>
      <c r="L88" s="52" t="n">
        <f aca="false">IF(G88="","",MIN(1,G88+J88/100))</f>
        <v>0.614879956769062</v>
      </c>
      <c r="M88" s="37" t="n">
        <f aca="false">IF(F88="","",ROUND(F88*J88/100,0))</f>
        <v>16</v>
      </c>
      <c r="P88" s="54" t="n">
        <v>9.12339366190288</v>
      </c>
      <c r="Q88" s="55" t="n">
        <f aca="false">T88*$H$5</f>
        <v>491.515840779854</v>
      </c>
      <c r="R88" s="56" t="n">
        <f aca="false">MAX(0,MIN(1,P88/100+$D$5))</f>
        <v>0.58345106000056</v>
      </c>
      <c r="S88" s="57" t="s">
        <v>123</v>
      </c>
      <c r="T88" s="55" t="n">
        <v>491.515840779854</v>
      </c>
    </row>
    <row r="89" customFormat="false" ht="15" hidden="false" customHeight="false" outlineLevel="0" collapsed="false">
      <c r="A89" s="21" t="s">
        <v>189</v>
      </c>
      <c r="B89" s="21" t="s">
        <v>191</v>
      </c>
      <c r="C89" s="21" t="s">
        <v>217</v>
      </c>
      <c r="D89" s="37" t="n">
        <f aca="false">ROUND(Q89*R89,0)</f>
        <v>287</v>
      </c>
      <c r="E89" s="37" t="n">
        <f aca="false">ROUND(Q89,0)-D89</f>
        <v>173</v>
      </c>
      <c r="F89" s="37" t="n">
        <f aca="false">IF(COUNTA(D89:E89)=0,"",SUM(D89:E89))</f>
        <v>460</v>
      </c>
      <c r="G89" s="52" t="n">
        <f aca="false">IF(OR(F89="",F89=0),"",D89/F89)</f>
        <v>0.623913043478261</v>
      </c>
      <c r="H89" s="52" t="n">
        <f aca="false">IF(OR(F89="",F89=0),"",E89/F89)</f>
        <v>0.376086956521739</v>
      </c>
      <c r="I89" s="21" t="s">
        <v>122</v>
      </c>
      <c r="J89" s="53" t="n">
        <v>3.15466234357281</v>
      </c>
      <c r="K89" s="52" t="n">
        <f aca="false">IF(G89="","",MAX(0,G89-J89/100))</f>
        <v>0.592366420042533</v>
      </c>
      <c r="L89" s="52" t="n">
        <f aca="false">IF(G89="","",MIN(1,G89+J89/100))</f>
        <v>0.655459666913989</v>
      </c>
      <c r="M89" s="37" t="n">
        <f aca="false">IF(F89="","",ROUND(F89*J89/100,0))</f>
        <v>15</v>
      </c>
      <c r="P89" s="54" t="n">
        <v>13.1234880109319</v>
      </c>
      <c r="Q89" s="55" t="n">
        <f aca="false">T89*$H$5</f>
        <v>460.299781181619</v>
      </c>
      <c r="R89" s="56" t="n">
        <f aca="false">MAX(0,MIN(1,P89/100+$D$5))</f>
        <v>0.62345200349085</v>
      </c>
      <c r="S89" s="57" t="s">
        <v>123</v>
      </c>
      <c r="T89" s="55" t="n">
        <v>460.299781181619</v>
      </c>
    </row>
    <row r="90" customFormat="false" ht="15" hidden="false" customHeight="false" outlineLevel="0" collapsed="false">
      <c r="A90" s="21" t="s">
        <v>189</v>
      </c>
      <c r="B90" s="21" t="s">
        <v>191</v>
      </c>
      <c r="C90" s="21" t="s">
        <v>218</v>
      </c>
      <c r="D90" s="37" t="n">
        <f aca="false">ROUND(Q90*R90,0)</f>
        <v>488</v>
      </c>
      <c r="E90" s="37" t="n">
        <f aca="false">ROUND(Q90,0)-D90</f>
        <v>333</v>
      </c>
      <c r="F90" s="37" t="n">
        <f aca="false">IF(COUNTA(D90:E90)=0,"",SUM(D90:E90))</f>
        <v>821</v>
      </c>
      <c r="G90" s="52" t="n">
        <f aca="false">IF(OR(F90="",F90=0),"",D90/F90)</f>
        <v>0.594397076735688</v>
      </c>
      <c r="H90" s="52" t="n">
        <f aca="false">IF(OR(F90="",F90=0),"",E90/F90)</f>
        <v>0.405602923264312</v>
      </c>
      <c r="I90" s="21" t="s">
        <v>122</v>
      </c>
      <c r="J90" s="53" t="n">
        <v>1.88510957763259</v>
      </c>
      <c r="K90" s="52" t="n">
        <f aca="false">IF(G90="","",MAX(0,G90-J90/100))</f>
        <v>0.575545980959362</v>
      </c>
      <c r="L90" s="52" t="n">
        <f aca="false">IF(G90="","",MIN(1,G90+J90/100))</f>
        <v>0.613248172512014</v>
      </c>
      <c r="M90" s="37" t="n">
        <f aca="false">IF(F90="","",ROUND(F90*J90/100,0))</f>
        <v>15</v>
      </c>
      <c r="P90" s="54" t="n">
        <v>10.1750284050613</v>
      </c>
      <c r="Q90" s="55" t="n">
        <f aca="false">T90*$H$5</f>
        <v>821.477888730385</v>
      </c>
      <c r="R90" s="56" t="n">
        <f aca="false">MAX(0,MIN(1,P90/100+$D$5))</f>
        <v>0.593967407432143</v>
      </c>
      <c r="S90" s="57" t="s">
        <v>132</v>
      </c>
      <c r="T90" s="55" t="n">
        <v>821.477888730385</v>
      </c>
    </row>
    <row r="91" customFormat="false" ht="15" hidden="false" customHeight="false" outlineLevel="0" collapsed="false">
      <c r="A91" s="21" t="s">
        <v>189</v>
      </c>
      <c r="B91" s="21" t="s">
        <v>191</v>
      </c>
      <c r="C91" s="21" t="s">
        <v>219</v>
      </c>
      <c r="D91" s="37" t="n">
        <f aca="false">ROUND(Q91*R91,0)</f>
        <v>355</v>
      </c>
      <c r="E91" s="37" t="n">
        <f aca="false">ROUND(Q91,0)-D91</f>
        <v>165</v>
      </c>
      <c r="F91" s="37" t="n">
        <f aca="false">IF(COUNTA(D91:E91)=0,"",SUM(D91:E91))</f>
        <v>520</v>
      </c>
      <c r="G91" s="52" t="n">
        <f aca="false">IF(OR(F91="",F91=0),"",D91/F91)</f>
        <v>0.682692307692308</v>
      </c>
      <c r="H91" s="52" t="n">
        <f aca="false">IF(OR(F91="",F91=0),"",E91/F91)</f>
        <v>0.317307692307692</v>
      </c>
      <c r="I91" s="21" t="s">
        <v>122</v>
      </c>
      <c r="J91" s="53" t="n">
        <v>3.15466234357281</v>
      </c>
      <c r="K91" s="52" t="n">
        <f aca="false">IF(G91="","",MAX(0,G91-J91/100))</f>
        <v>0.65114568425658</v>
      </c>
      <c r="L91" s="52" t="n">
        <f aca="false">IF(G91="","",MIN(1,G91+J91/100))</f>
        <v>0.714238931128036</v>
      </c>
      <c r="M91" s="37" t="n">
        <f aca="false">IF(F91="","",ROUND(F91*J91/100,0))</f>
        <v>16</v>
      </c>
      <c r="P91" s="54" t="n">
        <v>19.1046608028304</v>
      </c>
      <c r="Q91" s="55" t="n">
        <f aca="false">T91*$H$5</f>
        <v>519.765237020316</v>
      </c>
      <c r="R91" s="56" t="n">
        <f aca="false">MAX(0,MIN(1,P91/100+$D$5))</f>
        <v>0.683263731409835</v>
      </c>
      <c r="S91" s="57" t="s">
        <v>123</v>
      </c>
      <c r="T91" s="55" t="n">
        <v>519.765237020316</v>
      </c>
    </row>
    <row r="92" customFormat="false" ht="15" hidden="false" customHeight="false" outlineLevel="0" collapsed="false">
      <c r="A92" s="21" t="s">
        <v>189</v>
      </c>
      <c r="B92" s="21" t="s">
        <v>191</v>
      </c>
      <c r="C92" s="21" t="s">
        <v>220</v>
      </c>
      <c r="D92" s="37" t="n">
        <f aca="false">ROUND(Q92*R92,0)</f>
        <v>402</v>
      </c>
      <c r="E92" s="37" t="n">
        <f aca="false">ROUND(Q92,0)-D92</f>
        <v>215</v>
      </c>
      <c r="F92" s="37" t="n">
        <f aca="false">IF(COUNTA(D92:E92)=0,"",SUM(D92:E92))</f>
        <v>617</v>
      </c>
      <c r="G92" s="52" t="n">
        <f aca="false">IF(OR(F92="",F92=0),"",D92/F92)</f>
        <v>0.651539708265802</v>
      </c>
      <c r="H92" s="52" t="n">
        <f aca="false">IF(OR(F92="",F92=0),"",E92/F92)</f>
        <v>0.348460291734198</v>
      </c>
      <c r="I92" s="21" t="s">
        <v>122</v>
      </c>
      <c r="J92" s="53" t="n">
        <v>3.15466234357281</v>
      </c>
      <c r="K92" s="52" t="n">
        <f aca="false">IF(G92="","",MAX(0,G92-J92/100))</f>
        <v>0.619993084830074</v>
      </c>
      <c r="L92" s="52" t="n">
        <f aca="false">IF(G92="","",MIN(1,G92+J92/100))</f>
        <v>0.68308633170153</v>
      </c>
      <c r="M92" s="37" t="n">
        <f aca="false">IF(F92="","",ROUND(F92*J92/100,0))</f>
        <v>19</v>
      </c>
      <c r="P92" s="54" t="n">
        <v>15.8959610751525</v>
      </c>
      <c r="Q92" s="55" t="n">
        <f aca="false">T92*$H$5</f>
        <v>617.474012474013</v>
      </c>
      <c r="R92" s="56" t="n">
        <f aca="false">MAX(0,MIN(1,P92/100+$D$5))</f>
        <v>0.651176734133056</v>
      </c>
      <c r="S92" s="57" t="s">
        <v>123</v>
      </c>
      <c r="T92" s="55" t="n">
        <v>617.474012474013</v>
      </c>
    </row>
    <row r="93" customFormat="false" ht="15" hidden="false" customHeight="false" outlineLevel="0" collapsed="false">
      <c r="A93" s="21" t="s">
        <v>189</v>
      </c>
      <c r="B93" s="21" t="s">
        <v>191</v>
      </c>
      <c r="C93" s="21" t="s">
        <v>221</v>
      </c>
      <c r="D93" s="37" t="n">
        <f aca="false">ROUND(Q93*R93,0)</f>
        <v>435</v>
      </c>
      <c r="E93" s="37" t="n">
        <f aca="false">ROUND(Q93,0)-D93</f>
        <v>241</v>
      </c>
      <c r="F93" s="37" t="n">
        <f aca="false">IF(COUNTA(D93:E93)=0,"",SUM(D93:E93))</f>
        <v>676</v>
      </c>
      <c r="G93" s="52" t="n">
        <f aca="false">IF(OR(F93="",F93=0),"",D93/F93)</f>
        <v>0.643491124260355</v>
      </c>
      <c r="H93" s="52" t="n">
        <f aca="false">IF(OR(F93="",F93=0),"",E93/F93)</f>
        <v>0.356508875739645</v>
      </c>
      <c r="I93" s="21" t="s">
        <v>122</v>
      </c>
      <c r="J93" s="53" t="n">
        <v>3.15466234357281</v>
      </c>
      <c r="K93" s="52" t="n">
        <f aca="false">IF(G93="","",MAX(0,G93-J93/100))</f>
        <v>0.611944500824627</v>
      </c>
      <c r="L93" s="52" t="n">
        <f aca="false">IF(G93="","",MIN(1,G93+J93/100))</f>
        <v>0.675037747696083</v>
      </c>
      <c r="M93" s="37" t="n">
        <f aca="false">IF(F93="","",ROUND(F93*J93/100,0))</f>
        <v>21</v>
      </c>
      <c r="P93" s="54" t="n">
        <v>15.1905593894141</v>
      </c>
      <c r="Q93" s="55" t="n">
        <f aca="false">T93*$H$5</f>
        <v>675.646008403362</v>
      </c>
      <c r="R93" s="56" t="n">
        <f aca="false">MAX(0,MIN(1,P93/100+$D$5))</f>
        <v>0.644122717275672</v>
      </c>
      <c r="S93" s="57" t="s">
        <v>123</v>
      </c>
      <c r="T93" s="55" t="n">
        <v>675.646008403362</v>
      </c>
    </row>
    <row r="94" customFormat="false" ht="15" hidden="false" customHeight="false" outlineLevel="0" collapsed="false">
      <c r="A94" s="21" t="s">
        <v>189</v>
      </c>
      <c r="B94" s="21" t="s">
        <v>191</v>
      </c>
      <c r="C94" s="21" t="s">
        <v>222</v>
      </c>
      <c r="D94" s="37" t="n">
        <f aca="false">ROUND(Q94*R94,0)</f>
        <v>311</v>
      </c>
      <c r="E94" s="37" t="n">
        <f aca="false">ROUND(Q94,0)-D94</f>
        <v>244</v>
      </c>
      <c r="F94" s="37" t="n">
        <f aca="false">IF(COUNTA(D94:E94)=0,"",SUM(D94:E94))</f>
        <v>555</v>
      </c>
      <c r="G94" s="52" t="n">
        <f aca="false">IF(OR(F94="",F94=0),"",D94/F94)</f>
        <v>0.56036036036036</v>
      </c>
      <c r="H94" s="52" t="n">
        <f aca="false">IF(OR(F94="",F94=0),"",E94/F94)</f>
        <v>0.43963963963964</v>
      </c>
      <c r="I94" s="21" t="s">
        <v>223</v>
      </c>
      <c r="J94" s="53" t="n">
        <v>3.15466234357281</v>
      </c>
      <c r="K94" s="52" t="n">
        <f aca="false">IF(G94="","",MAX(0,G94-J94/100))</f>
        <v>0.528813736924632</v>
      </c>
      <c r="L94" s="52" t="n">
        <f aca="false">IF(G94="","",MIN(1,G94+J94/100))</f>
        <v>0.591906983796089</v>
      </c>
      <c r="M94" s="37" t="n">
        <f aca="false">IF(F94="","",ROUND(F94*J94/100,0))</f>
        <v>18</v>
      </c>
      <c r="P94" s="54" t="n">
        <v>6.7859322712348</v>
      </c>
      <c r="Q94" s="55" t="n">
        <f aca="false">T94*$H$5</f>
        <v>554.842964315995</v>
      </c>
      <c r="R94" s="56" t="n">
        <f aca="false">MAX(0,MIN(1,P94/100+$D$5))</f>
        <v>0.560076446093879</v>
      </c>
      <c r="S94" s="57" t="s">
        <v>123</v>
      </c>
      <c r="T94" s="55" t="n">
        <v>554.842964315995</v>
      </c>
    </row>
    <row r="95" customFormat="false" ht="15" hidden="false" customHeight="false" outlineLevel="0" collapsed="false">
      <c r="A95" s="21" t="s">
        <v>189</v>
      </c>
      <c r="B95" s="21" t="s">
        <v>191</v>
      </c>
      <c r="C95" s="21" t="s">
        <v>224</v>
      </c>
      <c r="D95" s="37" t="n">
        <f aca="false">ROUND(Q95*R95,0)</f>
        <v>714</v>
      </c>
      <c r="E95" s="37" t="n">
        <f aca="false">ROUND(Q95,0)-D95</f>
        <v>563</v>
      </c>
      <c r="F95" s="37" t="n">
        <f aca="false">IF(COUNTA(D95:E95)=0,"",SUM(D95:E95))</f>
        <v>1277</v>
      </c>
      <c r="G95" s="52" t="n">
        <f aca="false">IF(OR(F95="",F95=0),"",D95/F95)</f>
        <v>0.55912294440094</v>
      </c>
      <c r="H95" s="52" t="n">
        <f aca="false">IF(OR(F95="",F95=0),"",E95/F95)</f>
        <v>0.44087705559906</v>
      </c>
      <c r="I95" s="21" t="s">
        <v>223</v>
      </c>
      <c r="J95" s="53" t="n">
        <v>1.24424911322721</v>
      </c>
      <c r="K95" s="52" t="n">
        <f aca="false">IF(G95="","",MAX(0,G95-J95/100))</f>
        <v>0.546680453268668</v>
      </c>
      <c r="L95" s="52" t="n">
        <f aca="false">IF(G95="","",MIN(1,G95+J95/100))</f>
        <v>0.571565435533212</v>
      </c>
      <c r="M95" s="37" t="n">
        <f aca="false">IF(F95="","",ROUND(F95*J95/100,0))</f>
        <v>16</v>
      </c>
      <c r="P95" s="54" t="n">
        <v>6.69187640588338</v>
      </c>
      <c r="Q95" s="55" t="n">
        <f aca="false">T95*$H$5</f>
        <v>1276.87601973974</v>
      </c>
      <c r="R95" s="56" t="n">
        <f aca="false">MAX(0,MIN(1,P95/100+$D$5))</f>
        <v>0.559135887440365</v>
      </c>
      <c r="S95" s="57" t="s">
        <v>225</v>
      </c>
      <c r="T95" s="55" t="n">
        <v>1276.87601973974</v>
      </c>
    </row>
    <row r="96" customFormat="false" ht="15" hidden="false" customHeight="false" outlineLevel="0" collapsed="false">
      <c r="A96" s="21" t="s">
        <v>189</v>
      </c>
      <c r="B96" s="21" t="s">
        <v>191</v>
      </c>
      <c r="C96" s="21" t="s">
        <v>226</v>
      </c>
      <c r="D96" s="37" t="n">
        <f aca="false">ROUND(Q96*R96,0)</f>
        <v>400</v>
      </c>
      <c r="E96" s="37" t="n">
        <f aca="false">ROUND(Q96,0)-D96</f>
        <v>185</v>
      </c>
      <c r="F96" s="37" t="n">
        <f aca="false">IF(COUNTA(D96:E96)=0,"",SUM(D96:E96))</f>
        <v>585</v>
      </c>
      <c r="G96" s="52" t="n">
        <f aca="false">IF(OR(F96="",F96=0),"",D96/F96)</f>
        <v>0.683760683760684</v>
      </c>
      <c r="H96" s="52" t="n">
        <f aca="false">IF(OR(F96="",F96=0),"",E96/F96)</f>
        <v>0.316239316239316</v>
      </c>
      <c r="I96" s="21" t="s">
        <v>122</v>
      </c>
      <c r="J96" s="53" t="n">
        <v>3.15466234357281</v>
      </c>
      <c r="K96" s="52" t="n">
        <f aca="false">IF(G96="","",MAX(0,G96-J96/100))</f>
        <v>0.652214060324956</v>
      </c>
      <c r="L96" s="52" t="n">
        <f aca="false">IF(G96="","",MIN(1,G96+J96/100))</f>
        <v>0.715307307196412</v>
      </c>
      <c r="M96" s="37" t="n">
        <f aca="false">IF(F96="","",ROUND(F96*J96/100,0))</f>
        <v>18</v>
      </c>
      <c r="P96" s="54" t="n">
        <v>19.1258681974886</v>
      </c>
      <c r="Q96" s="55" t="n">
        <f aca="false">T96*$H$5</f>
        <v>585.1929092805</v>
      </c>
      <c r="R96" s="56" t="n">
        <f aca="false">MAX(0,MIN(1,P96/100+$D$5))</f>
        <v>0.683475805356417</v>
      </c>
      <c r="S96" s="57" t="s">
        <v>123</v>
      </c>
      <c r="T96" s="55" t="n">
        <v>585.1929092805</v>
      </c>
    </row>
    <row r="97" customFormat="false" ht="15" hidden="false" customHeight="false" outlineLevel="0" collapsed="false">
      <c r="A97" s="21" t="s">
        <v>189</v>
      </c>
      <c r="B97" s="21" t="s">
        <v>191</v>
      </c>
      <c r="C97" s="21" t="s">
        <v>227</v>
      </c>
      <c r="D97" s="37" t="n">
        <f aca="false">ROUND(Q97*R97,0)</f>
        <v>491</v>
      </c>
      <c r="E97" s="37" t="n">
        <f aca="false">ROUND(Q97,0)-D97</f>
        <v>294</v>
      </c>
      <c r="F97" s="37" t="n">
        <f aca="false">IF(COUNTA(D97:E97)=0,"",SUM(D97:E97))</f>
        <v>785</v>
      </c>
      <c r="G97" s="52" t="n">
        <f aca="false">IF(OR(F97="",F97=0),"",D97/F97)</f>
        <v>0.625477707006369</v>
      </c>
      <c r="H97" s="52" t="n">
        <f aca="false">IF(OR(F97="",F97=0),"",E97/F97)</f>
        <v>0.374522292993631</v>
      </c>
      <c r="I97" s="21" t="s">
        <v>122</v>
      </c>
      <c r="J97" s="53" t="n">
        <v>1.88510957763259</v>
      </c>
      <c r="K97" s="52" t="n">
        <f aca="false">IF(G97="","",MAX(0,G97-J97/100))</f>
        <v>0.606626611230044</v>
      </c>
      <c r="L97" s="52" t="n">
        <f aca="false">IF(G97="","",MIN(1,G97+J97/100))</f>
        <v>0.644328802782695</v>
      </c>
      <c r="M97" s="37" t="n">
        <f aca="false">IF(F97="","",ROUND(F97*J97/100,0))</f>
        <v>15</v>
      </c>
      <c r="P97" s="54" t="n">
        <v>13.3444506603929</v>
      </c>
      <c r="Q97" s="55" t="n">
        <f aca="false">T97*$H$5</f>
        <v>785.366995073891</v>
      </c>
      <c r="R97" s="56" t="n">
        <f aca="false">MAX(0,MIN(1,P97/100+$D$5))</f>
        <v>0.62566162998546</v>
      </c>
      <c r="S97" s="57" t="s">
        <v>132</v>
      </c>
      <c r="T97" s="55" t="n">
        <v>785.366995073891</v>
      </c>
    </row>
    <row r="98" customFormat="false" ht="15" hidden="false" customHeight="false" outlineLevel="0" collapsed="false">
      <c r="A98" s="21" t="s">
        <v>189</v>
      </c>
      <c r="B98" s="21" t="s">
        <v>191</v>
      </c>
      <c r="C98" s="21" t="s">
        <v>228</v>
      </c>
      <c r="D98" s="37" t="n">
        <f aca="false">ROUND(Q98*R98,0)</f>
        <v>12</v>
      </c>
      <c r="E98" s="37" t="n">
        <f aca="false">ROUND(Q98,0)-D98</f>
        <v>10</v>
      </c>
      <c r="F98" s="37" t="n">
        <f aca="false">IF(COUNTA(D98:E98)=0,"",SUM(D98:E98))</f>
        <v>22</v>
      </c>
      <c r="G98" s="52" t="n">
        <f aca="false">IF(OR(F98="",F98=0),"",D98/F98)</f>
        <v>0.545454545454545</v>
      </c>
      <c r="H98" s="52" t="n">
        <f aca="false">IF(OR(F98="",F98=0),"",E98/F98)</f>
        <v>0.454545454545455</v>
      </c>
      <c r="I98" s="21" t="s">
        <v>223</v>
      </c>
      <c r="J98" s="53" t="n">
        <v>3.15466234357281</v>
      </c>
      <c r="K98" s="52" t="n">
        <f aca="false">IF(G98="","",MAX(0,G98-J98/100))</f>
        <v>0.513907922018817</v>
      </c>
      <c r="L98" s="52" t="n">
        <f aca="false">IF(G98="","",MIN(1,G98+J98/100))</f>
        <v>0.577001168890274</v>
      </c>
      <c r="M98" s="37" t="n">
        <f aca="false">IF(F98="","",ROUND(F98*J98/100,0))</f>
        <v>1</v>
      </c>
      <c r="P98" s="54" t="n">
        <v>3.05988332381404</v>
      </c>
      <c r="Q98" s="55" t="n">
        <f aca="false">T98*$H$5</f>
        <v>22.339451542408</v>
      </c>
      <c r="R98" s="56" t="n">
        <f aca="false">MAX(0,MIN(1,P98/100+$D$5))</f>
        <v>0.522815956619671</v>
      </c>
      <c r="S98" s="57" t="s">
        <v>123</v>
      </c>
      <c r="T98" s="55" t="n">
        <v>22.339451542408</v>
      </c>
    </row>
    <row r="99" customFormat="false" ht="15" hidden="false" customHeight="false" outlineLevel="0" collapsed="false">
      <c r="A99" s="21" t="s">
        <v>189</v>
      </c>
      <c r="B99" s="21" t="s">
        <v>191</v>
      </c>
      <c r="C99" s="21" t="s">
        <v>229</v>
      </c>
      <c r="D99" s="37" t="n">
        <f aca="false">ROUND(Q99*R99,0)</f>
        <v>219</v>
      </c>
      <c r="E99" s="37" t="n">
        <f aca="false">ROUND(Q99,0)-D99</f>
        <v>162</v>
      </c>
      <c r="F99" s="37" t="n">
        <f aca="false">IF(COUNTA(D99:E99)=0,"",SUM(D99:E99))</f>
        <v>381</v>
      </c>
      <c r="G99" s="52" t="n">
        <f aca="false">IF(OR(F99="",F99=0),"",D99/F99)</f>
        <v>0.574803149606299</v>
      </c>
      <c r="H99" s="52" t="n">
        <f aca="false">IF(OR(F99="",F99=0),"",E99/F99)</f>
        <v>0.425196850393701</v>
      </c>
      <c r="I99" s="21" t="s">
        <v>122</v>
      </c>
      <c r="J99" s="53" t="n">
        <v>3.15466234357281</v>
      </c>
      <c r="K99" s="52" t="n">
        <f aca="false">IF(G99="","",MAX(0,G99-J99/100))</f>
        <v>0.543256526170571</v>
      </c>
      <c r="L99" s="52" t="n">
        <f aca="false">IF(G99="","",MIN(1,G99+J99/100))</f>
        <v>0.606349773042027</v>
      </c>
      <c r="M99" s="37" t="n">
        <f aca="false">IF(F99="","",ROUND(F99*J99/100,0))</f>
        <v>12</v>
      </c>
      <c r="P99" s="54" t="n">
        <v>8.20985086040081</v>
      </c>
      <c r="Q99" s="55" t="n">
        <f aca="false">T99*$H$5</f>
        <v>381.16646562123</v>
      </c>
      <c r="R99" s="56" t="n">
        <f aca="false">MAX(0,MIN(1,P99/100+$D$5))</f>
        <v>0.574315631985539</v>
      </c>
      <c r="S99" s="57" t="s">
        <v>123</v>
      </c>
      <c r="T99" s="55" t="n">
        <v>381.16646562123</v>
      </c>
    </row>
    <row r="100" customFormat="false" ht="15" hidden="false" customHeight="false" outlineLevel="0" collapsed="false">
      <c r="A100" s="21" t="s">
        <v>189</v>
      </c>
      <c r="B100" s="21" t="s">
        <v>191</v>
      </c>
      <c r="C100" s="21" t="s">
        <v>230</v>
      </c>
      <c r="D100" s="37" t="n">
        <f aca="false">ROUND(Q100*R100,0)</f>
        <v>362</v>
      </c>
      <c r="E100" s="37" t="n">
        <f aca="false">ROUND(Q100,0)-D100</f>
        <v>198</v>
      </c>
      <c r="F100" s="37" t="n">
        <f aca="false">IF(COUNTA(D100:E100)=0,"",SUM(D100:E100))</f>
        <v>560</v>
      </c>
      <c r="G100" s="52" t="n">
        <f aca="false">IF(OR(F100="",F100=0),"",D100/F100)</f>
        <v>0.646428571428572</v>
      </c>
      <c r="H100" s="52" t="n">
        <f aca="false">IF(OR(F100="",F100=0),"",E100/F100)</f>
        <v>0.353571428571429</v>
      </c>
      <c r="I100" s="21" t="s">
        <v>122</v>
      </c>
      <c r="J100" s="53" t="n">
        <v>3.15466234357281</v>
      </c>
      <c r="K100" s="52" t="n">
        <f aca="false">IF(G100="","",MAX(0,G100-J100/100))</f>
        <v>0.614881947992843</v>
      </c>
      <c r="L100" s="52" t="n">
        <f aca="false">IF(G100="","",MIN(1,G100+J100/100))</f>
        <v>0.6779751948643</v>
      </c>
      <c r="M100" s="37" t="n">
        <f aca="false">IF(F100="","",ROUND(F100*J100/100,0))</f>
        <v>18</v>
      </c>
      <c r="P100" s="54" t="n">
        <v>15.400255902232</v>
      </c>
      <c r="Q100" s="55" t="n">
        <f aca="false">T100*$H$5</f>
        <v>559.617875647668</v>
      </c>
      <c r="R100" s="56" t="n">
        <f aca="false">MAX(0,MIN(1,P100/100+$D$5))</f>
        <v>0.646219682403851</v>
      </c>
      <c r="S100" s="57" t="s">
        <v>123</v>
      </c>
      <c r="T100" s="55" t="n">
        <v>559.617875647668</v>
      </c>
    </row>
    <row r="101" customFormat="false" ht="15" hidden="false" customHeight="false" outlineLevel="0" collapsed="false">
      <c r="A101" s="21" t="s">
        <v>189</v>
      </c>
      <c r="B101" s="21" t="s">
        <v>191</v>
      </c>
      <c r="C101" s="21" t="s">
        <v>231</v>
      </c>
      <c r="D101" s="37" t="n">
        <f aca="false">ROUND(Q101*R101,0)</f>
        <v>265</v>
      </c>
      <c r="E101" s="37" t="n">
        <f aca="false">ROUND(Q101,0)-D101</f>
        <v>174</v>
      </c>
      <c r="F101" s="37" t="n">
        <f aca="false">IF(COUNTA(D101:E101)=0,"",SUM(D101:E101))</f>
        <v>439</v>
      </c>
      <c r="G101" s="52" t="n">
        <f aca="false">IF(OR(F101="",F101=0),"",D101/F101)</f>
        <v>0.603644646924829</v>
      </c>
      <c r="H101" s="52" t="n">
        <f aca="false">IF(OR(F101="",F101=0),"",E101/F101)</f>
        <v>0.396355353075171</v>
      </c>
      <c r="I101" s="21" t="s">
        <v>122</v>
      </c>
      <c r="J101" s="53" t="n">
        <v>3.15466234357281</v>
      </c>
      <c r="K101" s="52" t="n">
        <f aca="false">IF(G101="","",MAX(0,G101-J101/100))</f>
        <v>0.572098023489101</v>
      </c>
      <c r="L101" s="52" t="n">
        <f aca="false">IF(G101="","",MIN(1,G101+J101/100))</f>
        <v>0.635191270360557</v>
      </c>
      <c r="M101" s="37" t="n">
        <f aca="false">IF(F101="","",ROUND(F101*J101/100,0))</f>
        <v>14</v>
      </c>
      <c r="P101" s="54" t="n">
        <v>11.2165320601191</v>
      </c>
      <c r="Q101" s="55" t="n">
        <f aca="false">T101*$H$5</f>
        <v>439.019455252919</v>
      </c>
      <c r="R101" s="56" t="n">
        <f aca="false">MAX(0,MIN(1,P101/100+$D$5))</f>
        <v>0.604382443982721</v>
      </c>
      <c r="S101" s="57" t="s">
        <v>123</v>
      </c>
      <c r="T101" s="55" t="n">
        <v>439.019455252919</v>
      </c>
    </row>
    <row r="102" customFormat="false" ht="15" hidden="false" customHeight="false" outlineLevel="0" collapsed="false">
      <c r="A102" s="21" t="s">
        <v>189</v>
      </c>
      <c r="B102" s="21" t="s">
        <v>191</v>
      </c>
      <c r="C102" s="21" t="s">
        <v>232</v>
      </c>
      <c r="D102" s="37" t="n">
        <f aca="false">ROUND(Q102*R102,0)</f>
        <v>239</v>
      </c>
      <c r="E102" s="37" t="n">
        <f aca="false">ROUND(Q102,0)-D102</f>
        <v>136</v>
      </c>
      <c r="F102" s="37" t="n">
        <f aca="false">IF(COUNTA(D102:E102)=0,"",SUM(D102:E102))</f>
        <v>375</v>
      </c>
      <c r="G102" s="52" t="n">
        <f aca="false">IF(OR(F102="",F102=0),"",D102/F102)</f>
        <v>0.637333333333333</v>
      </c>
      <c r="H102" s="52" t="n">
        <f aca="false">IF(OR(F102="",F102=0),"",E102/F102)</f>
        <v>0.362666666666667</v>
      </c>
      <c r="I102" s="21" t="s">
        <v>122</v>
      </c>
      <c r="J102" s="53" t="n">
        <v>3.15466234357281</v>
      </c>
      <c r="K102" s="52" t="n">
        <f aca="false">IF(G102="","",MAX(0,G102-J102/100))</f>
        <v>0.605786709897605</v>
      </c>
      <c r="L102" s="52" t="n">
        <f aca="false">IF(G102="","",MIN(1,G102+J102/100))</f>
        <v>0.668879956769061</v>
      </c>
      <c r="M102" s="37" t="n">
        <f aca="false">IF(F102="","",ROUND(F102*J102/100,0))</f>
        <v>12</v>
      </c>
      <c r="P102" s="54" t="n">
        <v>14.6089767129724</v>
      </c>
      <c r="Q102" s="55" t="n">
        <f aca="false">T102*$H$5</f>
        <v>374.938159879337</v>
      </c>
      <c r="R102" s="56" t="n">
        <f aca="false">MAX(0,MIN(1,P102/100+$D$5))</f>
        <v>0.638306890511255</v>
      </c>
      <c r="S102" s="57" t="s">
        <v>123</v>
      </c>
      <c r="T102" s="55" t="n">
        <v>374.938159879337</v>
      </c>
    </row>
    <row r="103" customFormat="false" ht="15" hidden="false" customHeight="false" outlineLevel="0" collapsed="false">
      <c r="A103" s="21" t="s">
        <v>189</v>
      </c>
      <c r="B103" s="21" t="s">
        <v>191</v>
      </c>
      <c r="C103" s="21" t="s">
        <v>233</v>
      </c>
      <c r="D103" s="37" t="n">
        <f aca="false">ROUND(Q103*R103,0)</f>
        <v>366</v>
      </c>
      <c r="E103" s="37" t="n">
        <f aca="false">ROUND(Q103,0)-D103</f>
        <v>235</v>
      </c>
      <c r="F103" s="37" t="n">
        <f aca="false">IF(COUNTA(D103:E103)=0,"",SUM(D103:E103))</f>
        <v>601</v>
      </c>
      <c r="G103" s="52" t="n">
        <f aca="false">IF(OR(F103="",F103=0),"",D103/F103)</f>
        <v>0.608985024958403</v>
      </c>
      <c r="H103" s="52" t="n">
        <f aca="false">IF(OR(F103="",F103=0),"",E103/F103)</f>
        <v>0.391014975041597</v>
      </c>
      <c r="I103" s="21" t="s">
        <v>122</v>
      </c>
      <c r="J103" s="53" t="n">
        <v>3.15466234357281</v>
      </c>
      <c r="K103" s="52" t="n">
        <f aca="false">IF(G103="","",MAX(0,G103-J103/100))</f>
        <v>0.577438401522675</v>
      </c>
      <c r="L103" s="52" t="n">
        <f aca="false">IF(G103="","",MIN(1,G103+J103/100))</f>
        <v>0.640531648394131</v>
      </c>
      <c r="M103" s="37" t="n">
        <f aca="false">IF(F103="","",ROUND(F103*J103/100,0))</f>
        <v>19</v>
      </c>
      <c r="P103" s="54" t="n">
        <v>11.6746358519603</v>
      </c>
      <c r="Q103" s="55" t="n">
        <f aca="false">T103*$H$5</f>
        <v>600.916119620715</v>
      </c>
      <c r="R103" s="56" t="n">
        <f aca="false">MAX(0,MIN(1,P103/100+$D$5))</f>
        <v>0.608963481901134</v>
      </c>
      <c r="S103" s="57" t="s">
        <v>123</v>
      </c>
      <c r="T103" s="55" t="n">
        <v>600.916119620715</v>
      </c>
    </row>
    <row r="104" customFormat="false" ht="15" hidden="false" customHeight="false" outlineLevel="0" collapsed="false">
      <c r="A104" s="21" t="s">
        <v>189</v>
      </c>
      <c r="B104" s="21" t="s">
        <v>191</v>
      </c>
      <c r="C104" s="21" t="s">
        <v>234</v>
      </c>
      <c r="D104" s="37" t="n">
        <f aca="false">ROUND(Q104*R104,0)</f>
        <v>1</v>
      </c>
      <c r="E104" s="37" t="n">
        <f aca="false">ROUND(Q104,0)-D104</f>
        <v>1</v>
      </c>
      <c r="F104" s="37" t="n">
        <f aca="false">IF(COUNTA(D104:E104)=0,"",SUM(D104:E104))</f>
        <v>2</v>
      </c>
      <c r="G104" s="52" t="n">
        <f aca="false">IF(OR(F104="",F104=0),"",D104/F104)</f>
        <v>0.5</v>
      </c>
      <c r="H104" s="52" t="n">
        <f aca="false">IF(OR(F104="",F104=0),"",E104/F104)</f>
        <v>0.5</v>
      </c>
      <c r="I104" s="21" t="s">
        <v>223</v>
      </c>
      <c r="J104" s="53" t="n">
        <v>3.15466234357281</v>
      </c>
      <c r="K104" s="52" t="n">
        <f aca="false">IF(G104="","",MAX(0,G104-J104/100))</f>
        <v>0.468453376564272</v>
      </c>
      <c r="L104" s="52" t="n">
        <f aca="false">IF(G104="","",MIN(1,G104+J104/100))</f>
        <v>0.531546623435728</v>
      </c>
      <c r="M104" s="37" t="n">
        <f aca="false">IF(F104="","",ROUND(F104*J104/100,0))</f>
        <v>0</v>
      </c>
      <c r="P104" s="54" t="n">
        <v>-1.04527361498052</v>
      </c>
      <c r="Q104" s="55" t="n">
        <f aca="false">T104*$H$5</f>
        <v>2.35152121499031</v>
      </c>
      <c r="R104" s="56" t="n">
        <f aca="false">MAX(0,MIN(1,P104/100+$D$5))</f>
        <v>0.481764387231726</v>
      </c>
      <c r="S104" s="57" t="s">
        <v>123</v>
      </c>
      <c r="T104" s="55" t="n">
        <v>2.35152121499031</v>
      </c>
    </row>
    <row r="105" customFormat="false" ht="15" hidden="false" customHeight="false" outlineLevel="0" collapsed="false">
      <c r="A105" s="21" t="s">
        <v>189</v>
      </c>
      <c r="B105" s="21" t="s">
        <v>191</v>
      </c>
      <c r="C105" s="21" t="s">
        <v>235</v>
      </c>
      <c r="D105" s="37" t="n">
        <f aca="false">ROUND(Q105*R105,0)</f>
        <v>490</v>
      </c>
      <c r="E105" s="37" t="n">
        <f aca="false">ROUND(Q105,0)-D105</f>
        <v>294</v>
      </c>
      <c r="F105" s="37" t="n">
        <f aca="false">IF(COUNTA(D105:E105)=0,"",SUM(D105:E105))</f>
        <v>784</v>
      </c>
      <c r="G105" s="52" t="n">
        <f aca="false">IF(OR(F105="",F105=0),"",D105/F105)</f>
        <v>0.625</v>
      </c>
      <c r="H105" s="52" t="n">
        <f aca="false">IF(OR(F105="",F105=0),"",E105/F105)</f>
        <v>0.375</v>
      </c>
      <c r="I105" s="21" t="s">
        <v>122</v>
      </c>
      <c r="J105" s="53" t="n">
        <v>1.88510957763259</v>
      </c>
      <c r="K105" s="52" t="n">
        <f aca="false">IF(G105="","",MAX(0,G105-J105/100))</f>
        <v>0.606148904223674</v>
      </c>
      <c r="L105" s="52" t="n">
        <f aca="false">IF(G105="","",MIN(1,G105+J105/100))</f>
        <v>0.643851095776326</v>
      </c>
      <c r="M105" s="37" t="n">
        <f aca="false">IF(F105="","",ROUND(F105*J105/100,0))</f>
        <v>15</v>
      </c>
      <c r="P105" s="54" t="n">
        <v>13.258617863872</v>
      </c>
      <c r="Q105" s="55" t="n">
        <f aca="false">T105*$H$5</f>
        <v>784.118962432916</v>
      </c>
      <c r="R105" s="56" t="n">
        <f aca="false">MAX(0,MIN(1,P105/100+$D$5))</f>
        <v>0.624803302020251</v>
      </c>
      <c r="S105" s="57" t="s">
        <v>132</v>
      </c>
      <c r="T105" s="55" t="n">
        <v>784.118962432916</v>
      </c>
    </row>
    <row r="106" customFormat="false" ht="15" hidden="false" customHeight="false" outlineLevel="0" collapsed="false">
      <c r="A106" s="21" t="s">
        <v>189</v>
      </c>
      <c r="B106" s="21" t="s">
        <v>191</v>
      </c>
      <c r="C106" s="21" t="s">
        <v>236</v>
      </c>
      <c r="D106" s="37" t="n">
        <f aca="false">ROUND(Q106*R106,0)</f>
        <v>227</v>
      </c>
      <c r="E106" s="37" t="n">
        <f aca="false">ROUND(Q106,0)-D106</f>
        <v>81</v>
      </c>
      <c r="F106" s="37" t="n">
        <f aca="false">IF(COUNTA(D106:E106)=0,"",SUM(D106:E106))</f>
        <v>308</v>
      </c>
      <c r="G106" s="52" t="n">
        <f aca="false">IF(OR(F106="",F106=0),"",D106/F106)</f>
        <v>0.737012987012987</v>
      </c>
      <c r="H106" s="52" t="n">
        <f aca="false">IF(OR(F106="",F106=0),"",E106/F106)</f>
        <v>0.262987012987013</v>
      </c>
      <c r="I106" s="21" t="s">
        <v>122</v>
      </c>
      <c r="J106" s="53" t="n">
        <v>3.15466234357281</v>
      </c>
      <c r="K106" s="52" t="n">
        <f aca="false">IF(G106="","",MAX(0,G106-J106/100))</f>
        <v>0.705466363577259</v>
      </c>
      <c r="L106" s="52" t="n">
        <f aca="false">IF(G106="","",MIN(1,G106+J106/100))</f>
        <v>0.768559610448715</v>
      </c>
      <c r="M106" s="37" t="n">
        <f aca="false">IF(F106="","",ROUND(F106*J106/100,0))</f>
        <v>10</v>
      </c>
      <c r="P106" s="54" t="n">
        <v>24.4678545000732</v>
      </c>
      <c r="Q106" s="55" t="n">
        <f aca="false">T106*$H$5</f>
        <v>307.670520231214</v>
      </c>
      <c r="R106" s="56" t="n">
        <f aca="false">MAX(0,MIN(1,P106/100+$D$5))</f>
        <v>0.736895668382263</v>
      </c>
      <c r="S106" s="57" t="s">
        <v>123</v>
      </c>
      <c r="T106" s="55" t="n">
        <v>307.670520231214</v>
      </c>
    </row>
    <row r="107" customFormat="false" ht="15" hidden="false" customHeight="false" outlineLevel="0" collapsed="false">
      <c r="A107" s="21" t="s">
        <v>189</v>
      </c>
      <c r="B107" s="21" t="s">
        <v>191</v>
      </c>
      <c r="C107" s="21" t="s">
        <v>237</v>
      </c>
      <c r="D107" s="37" t="n">
        <f aca="false">ROUND(Q107*R107,0)</f>
        <v>192</v>
      </c>
      <c r="E107" s="37" t="n">
        <f aca="false">ROUND(Q107,0)-D107</f>
        <v>80</v>
      </c>
      <c r="F107" s="37" t="n">
        <f aca="false">IF(COUNTA(D107:E107)=0,"",SUM(D107:E107))</f>
        <v>272</v>
      </c>
      <c r="G107" s="52" t="n">
        <f aca="false">IF(OR(F107="",F107=0),"",D107/F107)</f>
        <v>0.705882352941177</v>
      </c>
      <c r="H107" s="52" t="n">
        <f aca="false">IF(OR(F107="",F107=0),"",E107/F107)</f>
        <v>0.294117647058824</v>
      </c>
      <c r="I107" s="21" t="s">
        <v>122</v>
      </c>
      <c r="J107" s="53" t="n">
        <v>3.15466234357281</v>
      </c>
      <c r="K107" s="52" t="n">
        <f aca="false">IF(G107="","",MAX(0,G107-J107/100))</f>
        <v>0.674335729505448</v>
      </c>
      <c r="L107" s="52" t="n">
        <f aca="false">IF(G107="","",MIN(1,G107+J107/100))</f>
        <v>0.737428976376905</v>
      </c>
      <c r="M107" s="37" t="n">
        <f aca="false">IF(F107="","",ROUND(F107*J107/100,0))</f>
        <v>9</v>
      </c>
      <c r="P107" s="54" t="n">
        <v>21.3829328997003</v>
      </c>
      <c r="Q107" s="55" t="n">
        <f aca="false">T107*$H$5</f>
        <v>271.509527754764</v>
      </c>
      <c r="R107" s="56" t="n">
        <f aca="false">MAX(0,MIN(1,P107/100+$D$5))</f>
        <v>0.706046452378533</v>
      </c>
      <c r="S107" s="57" t="s">
        <v>123</v>
      </c>
      <c r="T107" s="55" t="n">
        <v>271.509527754764</v>
      </c>
    </row>
    <row r="108" customFormat="false" ht="15" hidden="false" customHeight="false" outlineLevel="0" collapsed="false">
      <c r="A108" s="21" t="s">
        <v>189</v>
      </c>
      <c r="B108" s="21" t="s">
        <v>191</v>
      </c>
      <c r="C108" s="21" t="s">
        <v>238</v>
      </c>
      <c r="D108" s="37" t="n">
        <f aca="false">ROUND(Q108*R108,0)</f>
        <v>402</v>
      </c>
      <c r="E108" s="37" t="n">
        <f aca="false">ROUND(Q108,0)-D108</f>
        <v>148</v>
      </c>
      <c r="F108" s="37" t="n">
        <f aca="false">IF(COUNTA(D108:E108)=0,"",SUM(D108:E108))</f>
        <v>550</v>
      </c>
      <c r="G108" s="52" t="n">
        <f aca="false">IF(OR(F108="",F108=0),"",D108/F108)</f>
        <v>0.730909090909091</v>
      </c>
      <c r="H108" s="52" t="n">
        <f aca="false">IF(OR(F108="",F108=0),"",E108/F108)</f>
        <v>0.269090909090909</v>
      </c>
      <c r="I108" s="21" t="s">
        <v>122</v>
      </c>
      <c r="J108" s="53" t="n">
        <v>3.15466234357281</v>
      </c>
      <c r="K108" s="52" t="n">
        <f aca="false">IF(G108="","",MAX(0,G108-J108/100))</f>
        <v>0.699362467473363</v>
      </c>
      <c r="L108" s="52" t="n">
        <f aca="false">IF(G108="","",MIN(1,G108+J108/100))</f>
        <v>0.762455714344819</v>
      </c>
      <c r="M108" s="37" t="n">
        <f aca="false">IF(F108="","",ROUND(F108*J108/100,0))</f>
        <v>17</v>
      </c>
      <c r="P108" s="54" t="n">
        <v>23.8437511660081</v>
      </c>
      <c r="Q108" s="55" t="n">
        <f aca="false">T108*$H$5</f>
        <v>550.335990190067</v>
      </c>
      <c r="R108" s="56" t="n">
        <f aca="false">MAX(0,MIN(1,P108/100+$D$5))</f>
        <v>0.730654635041612</v>
      </c>
      <c r="S108" s="57" t="s">
        <v>123</v>
      </c>
      <c r="T108" s="55" t="n">
        <v>550.335990190067</v>
      </c>
    </row>
    <row r="109" customFormat="false" ht="15" hidden="false" customHeight="false" outlineLevel="0" collapsed="false">
      <c r="A109" s="21" t="s">
        <v>189</v>
      </c>
      <c r="B109" s="21" t="s">
        <v>191</v>
      </c>
      <c r="C109" s="21" t="s">
        <v>239</v>
      </c>
      <c r="D109" s="37" t="n">
        <f aca="false">ROUND(Q109*R109,0)</f>
        <v>162</v>
      </c>
      <c r="E109" s="37" t="n">
        <f aca="false">ROUND(Q109,0)-D109</f>
        <v>71</v>
      </c>
      <c r="F109" s="37" t="n">
        <f aca="false">IF(COUNTA(D109:E109)=0,"",SUM(D109:E109))</f>
        <v>233</v>
      </c>
      <c r="G109" s="52" t="n">
        <f aca="false">IF(OR(F109="",F109=0),"",D109/F109)</f>
        <v>0.695278969957082</v>
      </c>
      <c r="H109" s="52" t="n">
        <f aca="false">IF(OR(F109="",F109=0),"",E109/F109)</f>
        <v>0.304721030042918</v>
      </c>
      <c r="I109" s="21" t="s">
        <v>122</v>
      </c>
      <c r="J109" s="53" t="n">
        <v>3.15466234357281</v>
      </c>
      <c r="K109" s="52" t="n">
        <f aca="false">IF(G109="","",MAX(0,G109-J109/100))</f>
        <v>0.663732346521353</v>
      </c>
      <c r="L109" s="52" t="n">
        <f aca="false">IF(G109="","",MIN(1,G109+J109/100))</f>
        <v>0.72682559339281</v>
      </c>
      <c r="M109" s="37" t="n">
        <f aca="false">IF(F109="","",ROUND(F109*J109/100,0))</f>
        <v>7</v>
      </c>
      <c r="P109" s="54" t="n">
        <v>20.2487450225779</v>
      </c>
      <c r="Q109" s="55" t="n">
        <f aca="false">T109*$H$5</f>
        <v>232.689791873142</v>
      </c>
      <c r="R109" s="56" t="n">
        <f aca="false">MAX(0,MIN(1,P109/100+$D$5))</f>
        <v>0.69470457360731</v>
      </c>
      <c r="S109" s="57" t="s">
        <v>123</v>
      </c>
      <c r="T109" s="55" t="n">
        <v>232.689791873142</v>
      </c>
    </row>
    <row r="110" customFormat="false" ht="15" hidden="false" customHeight="false" outlineLevel="0" collapsed="false">
      <c r="A110" s="21" t="s">
        <v>189</v>
      </c>
      <c r="B110" s="21" t="s">
        <v>191</v>
      </c>
      <c r="C110" s="21" t="s">
        <v>240</v>
      </c>
      <c r="D110" s="37" t="n">
        <f aca="false">ROUND(Q110*R110,0)</f>
        <v>232</v>
      </c>
      <c r="E110" s="37" t="n">
        <f aca="false">ROUND(Q110,0)-D110</f>
        <v>75</v>
      </c>
      <c r="F110" s="37" t="n">
        <f aca="false">IF(COUNTA(D110:E110)=0,"",SUM(D110:E110))</f>
        <v>307</v>
      </c>
      <c r="G110" s="52" t="n">
        <f aca="false">IF(OR(F110="",F110=0),"",D110/F110)</f>
        <v>0.755700325732899</v>
      </c>
      <c r="H110" s="52" t="n">
        <f aca="false">IF(OR(F110="",F110=0),"",E110/F110)</f>
        <v>0.244299674267101</v>
      </c>
      <c r="I110" s="21" t="s">
        <v>122</v>
      </c>
      <c r="J110" s="53" t="n">
        <v>3.15466234357281</v>
      </c>
      <c r="K110" s="52" t="n">
        <f aca="false">IF(G110="","",MAX(0,G110-J110/100))</f>
        <v>0.724153702297171</v>
      </c>
      <c r="L110" s="52" t="n">
        <f aca="false">IF(G110="","",MIN(1,G110+J110/100))</f>
        <v>0.787246949168627</v>
      </c>
      <c r="M110" s="37" t="n">
        <f aca="false">IF(F110="","",ROUND(F110*J110/100,0))</f>
        <v>10</v>
      </c>
      <c r="P110" s="54" t="n">
        <v>26.3447691504978</v>
      </c>
      <c r="Q110" s="55" t="n">
        <f aca="false">T110*$H$5</f>
        <v>306.767588932806</v>
      </c>
      <c r="R110" s="56" t="n">
        <f aca="false">MAX(0,MIN(1,P110/100+$D$5))</f>
        <v>0.755664814886509</v>
      </c>
      <c r="S110" s="57" t="s">
        <v>123</v>
      </c>
      <c r="T110" s="55" t="n">
        <v>306.767588932806</v>
      </c>
    </row>
    <row r="111" customFormat="false" ht="15" hidden="false" customHeight="false" outlineLevel="0" collapsed="false">
      <c r="A111" s="21" t="s">
        <v>189</v>
      </c>
      <c r="B111" s="21" t="s">
        <v>191</v>
      </c>
      <c r="C111" s="21" t="s">
        <v>241</v>
      </c>
      <c r="D111" s="37" t="n">
        <f aca="false">ROUND(Q111*R111,0)</f>
        <v>78</v>
      </c>
      <c r="E111" s="37" t="n">
        <f aca="false">ROUND(Q111,0)-D111</f>
        <v>41</v>
      </c>
      <c r="F111" s="37" t="n">
        <f aca="false">IF(COUNTA(D111:E111)=0,"",SUM(D111:E111))</f>
        <v>119</v>
      </c>
      <c r="G111" s="52" t="n">
        <f aca="false">IF(OR(F111="",F111=0),"",D111/F111)</f>
        <v>0.65546218487395</v>
      </c>
      <c r="H111" s="52" t="n">
        <f aca="false">IF(OR(F111="",F111=0),"",E111/F111)</f>
        <v>0.34453781512605</v>
      </c>
      <c r="I111" s="21" t="s">
        <v>122</v>
      </c>
      <c r="J111" s="53" t="n">
        <v>3.15466234357281</v>
      </c>
      <c r="K111" s="52" t="n">
        <f aca="false">IF(G111="","",MAX(0,G111-J111/100))</f>
        <v>0.623915561438222</v>
      </c>
      <c r="L111" s="52" t="n">
        <f aca="false">IF(G111="","",MIN(1,G111+J111/100))</f>
        <v>0.687008808309678</v>
      </c>
      <c r="M111" s="37" t="n">
        <f aca="false">IF(F111="","",ROUND(F111*J111/100,0))</f>
        <v>4</v>
      </c>
      <c r="P111" s="54" t="n">
        <v>15.8343808035611</v>
      </c>
      <c r="Q111" s="55" t="n">
        <f aca="false">T111*$H$5</f>
        <v>119.188732394366</v>
      </c>
      <c r="R111" s="56" t="n">
        <f aca="false">MAX(0,MIN(1,P111/100+$D$5))</f>
        <v>0.650560931417141</v>
      </c>
      <c r="S111" s="57" t="s">
        <v>123</v>
      </c>
      <c r="T111" s="55" t="n">
        <v>119.188732394366</v>
      </c>
    </row>
    <row r="112" customFormat="false" ht="15" hidden="false" customHeight="false" outlineLevel="0" collapsed="false">
      <c r="A112" s="21" t="s">
        <v>189</v>
      </c>
      <c r="B112" s="21" t="s">
        <v>191</v>
      </c>
      <c r="C112" s="21" t="s">
        <v>242</v>
      </c>
      <c r="D112" s="37" t="n">
        <f aca="false">ROUND(Q112*R112,0)</f>
        <v>185</v>
      </c>
      <c r="E112" s="37" t="n">
        <f aca="false">ROUND(Q112,0)-D112</f>
        <v>106</v>
      </c>
      <c r="F112" s="37" t="n">
        <f aca="false">IF(COUNTA(D112:E112)=0,"",SUM(D112:E112))</f>
        <v>291</v>
      </c>
      <c r="G112" s="52" t="n">
        <f aca="false">IF(OR(F112="",F112=0),"",D112/F112)</f>
        <v>0.63573883161512</v>
      </c>
      <c r="H112" s="52" t="n">
        <f aca="false">IF(OR(F112="",F112=0),"",E112/F112)</f>
        <v>0.36426116838488</v>
      </c>
      <c r="I112" s="21" t="s">
        <v>122</v>
      </c>
      <c r="J112" s="53" t="n">
        <v>3.15466234357281</v>
      </c>
      <c r="K112" s="52" t="n">
        <f aca="false">IF(G112="","",MAX(0,G112-J112/100))</f>
        <v>0.604192208179392</v>
      </c>
      <c r="L112" s="52" t="n">
        <f aca="false">IF(G112="","",MIN(1,G112+J112/100))</f>
        <v>0.667285455050848</v>
      </c>
      <c r="M112" s="37" t="n">
        <f aca="false">IF(F112="","",ROUND(F112*J112/100,0))</f>
        <v>9</v>
      </c>
      <c r="P112" s="54" t="n">
        <v>14.3443032070178</v>
      </c>
      <c r="Q112" s="55" t="n">
        <f aca="false">T112*$H$5</f>
        <v>291.248923341947</v>
      </c>
      <c r="R112" s="56" t="n">
        <f aca="false">MAX(0,MIN(1,P112/100+$D$5))</f>
        <v>0.635660155451709</v>
      </c>
      <c r="S112" s="57" t="s">
        <v>123</v>
      </c>
      <c r="T112" s="55" t="n">
        <v>291.248923341947</v>
      </c>
    </row>
    <row r="113" customFormat="false" ht="15" hidden="false" customHeight="false" outlineLevel="0" collapsed="false">
      <c r="A113" s="21" t="s">
        <v>189</v>
      </c>
      <c r="B113" s="21" t="s">
        <v>191</v>
      </c>
      <c r="C113" s="21" t="s">
        <v>243</v>
      </c>
      <c r="D113" s="37" t="n">
        <f aca="false">ROUND(Q113*R113,0)</f>
        <v>276</v>
      </c>
      <c r="E113" s="37" t="n">
        <f aca="false">ROUND(Q113,0)-D113</f>
        <v>99</v>
      </c>
      <c r="F113" s="37" t="n">
        <f aca="false">IF(COUNTA(D113:E113)=0,"",SUM(D113:E113))</f>
        <v>375</v>
      </c>
      <c r="G113" s="52" t="n">
        <f aca="false">IF(OR(F113="",F113=0),"",D113/F113)</f>
        <v>0.736</v>
      </c>
      <c r="H113" s="52" t="n">
        <f aca="false">IF(OR(F113="",F113=0),"",E113/F113)</f>
        <v>0.264</v>
      </c>
      <c r="I113" s="21" t="s">
        <v>122</v>
      </c>
      <c r="J113" s="53" t="n">
        <v>3.15466234357281</v>
      </c>
      <c r="K113" s="52" t="n">
        <f aca="false">IF(G113="","",MAX(0,G113-J113/100))</f>
        <v>0.704453376564272</v>
      </c>
      <c r="L113" s="52" t="n">
        <f aca="false">IF(G113="","",MIN(1,G113+J113/100))</f>
        <v>0.767546623435728</v>
      </c>
      <c r="M113" s="37" t="n">
        <f aca="false">IF(F113="","",ROUND(F113*J113/100,0))</f>
        <v>12</v>
      </c>
      <c r="P113" s="54" t="n">
        <v>24.4216777188219</v>
      </c>
      <c r="Q113" s="55" t="n">
        <f aca="false">T113*$H$5</f>
        <v>375.212598425197</v>
      </c>
      <c r="R113" s="56" t="n">
        <f aca="false">MAX(0,MIN(1,P113/100+$D$5))</f>
        <v>0.73643390056975</v>
      </c>
      <c r="S113" s="57" t="s">
        <v>123</v>
      </c>
      <c r="T113" s="55" t="n">
        <v>375.212598425197</v>
      </c>
    </row>
    <row r="114" customFormat="false" ht="15" hidden="false" customHeight="false" outlineLevel="0" collapsed="false">
      <c r="A114" s="21" t="s">
        <v>189</v>
      </c>
      <c r="B114" s="21" t="s">
        <v>191</v>
      </c>
      <c r="C114" s="21" t="s">
        <v>244</v>
      </c>
      <c r="D114" s="37" t="n">
        <f aca="false">ROUND(Q114*R114,0)</f>
        <v>106</v>
      </c>
      <c r="E114" s="37" t="n">
        <f aca="false">ROUND(Q114,0)-D114</f>
        <v>38</v>
      </c>
      <c r="F114" s="37" t="n">
        <f aca="false">IF(COUNTA(D114:E114)=0,"",SUM(D114:E114))</f>
        <v>144</v>
      </c>
      <c r="G114" s="52" t="n">
        <f aca="false">IF(OR(F114="",F114=0),"",D114/F114)</f>
        <v>0.736111111111111</v>
      </c>
      <c r="H114" s="52" t="n">
        <f aca="false">IF(OR(F114="",F114=0),"",E114/F114)</f>
        <v>0.263888888888889</v>
      </c>
      <c r="I114" s="21" t="s">
        <v>122</v>
      </c>
      <c r="J114" s="53" t="n">
        <v>3.15466234357281</v>
      </c>
      <c r="K114" s="52" t="n">
        <f aca="false">IF(G114="","",MAX(0,G114-J114/100))</f>
        <v>0.704564487675383</v>
      </c>
      <c r="L114" s="52" t="n">
        <f aca="false">IF(G114="","",MIN(1,G114+J114/100))</f>
        <v>0.767657734546839</v>
      </c>
      <c r="M114" s="37" t="n">
        <f aca="false">IF(F114="","",ROUND(F114*J114/100,0))</f>
        <v>5</v>
      </c>
      <c r="P114" s="54" t="n">
        <v>24.8866468669666</v>
      </c>
      <c r="Q114" s="55" t="n">
        <f aca="false">T114*$H$5</f>
        <v>143.58320610687</v>
      </c>
      <c r="R114" s="56" t="n">
        <f aca="false">MAX(0,MIN(1,P114/100+$D$5))</f>
        <v>0.741083592051197</v>
      </c>
      <c r="S114" s="57" t="s">
        <v>123</v>
      </c>
      <c r="T114" s="55" t="n">
        <v>143.58320610687</v>
      </c>
    </row>
    <row r="115" customFormat="false" ht="15" hidden="false" customHeight="false" outlineLevel="0" collapsed="false">
      <c r="A115" s="21" t="s">
        <v>189</v>
      </c>
      <c r="B115" s="21" t="s">
        <v>191</v>
      </c>
      <c r="C115" s="21" t="s">
        <v>245</v>
      </c>
      <c r="D115" s="37" t="n">
        <f aca="false">ROUND(Q115*R115,0)</f>
        <v>128</v>
      </c>
      <c r="E115" s="37" t="n">
        <f aca="false">ROUND(Q115,0)-D115</f>
        <v>47</v>
      </c>
      <c r="F115" s="37" t="n">
        <f aca="false">IF(COUNTA(D115:E115)=0,"",SUM(D115:E115))</f>
        <v>175</v>
      </c>
      <c r="G115" s="52" t="n">
        <f aca="false">IF(OR(F115="",F115=0),"",D115/F115)</f>
        <v>0.731428571428571</v>
      </c>
      <c r="H115" s="52" t="n">
        <f aca="false">IF(OR(F115="",F115=0),"",E115/F115)</f>
        <v>0.268571428571429</v>
      </c>
      <c r="I115" s="21" t="s">
        <v>122</v>
      </c>
      <c r="J115" s="53" t="n">
        <v>3.15466234357281</v>
      </c>
      <c r="K115" s="52" t="n">
        <f aca="false">IF(G115="","",MAX(0,G115-J115/100))</f>
        <v>0.699881947992843</v>
      </c>
      <c r="L115" s="52" t="n">
        <f aca="false">IF(G115="","",MIN(1,G115+J115/100))</f>
        <v>0.7629751948643</v>
      </c>
      <c r="M115" s="37" t="n">
        <f aca="false">IF(F115="","",ROUND(F115*J115/100,0))</f>
        <v>6</v>
      </c>
      <c r="P115" s="54" t="n">
        <v>24.0095125775776</v>
      </c>
      <c r="Q115" s="55" t="n">
        <f aca="false">T115*$H$5</f>
        <v>174.69400244798</v>
      </c>
      <c r="R115" s="56" t="n">
        <f aca="false">MAX(0,MIN(1,P115/100+$D$5))</f>
        <v>0.732312249157307</v>
      </c>
      <c r="S115" s="57" t="s">
        <v>123</v>
      </c>
      <c r="T115" s="55" t="n">
        <v>174.69400244798</v>
      </c>
    </row>
    <row r="116" customFormat="false" ht="15" hidden="false" customHeight="false" outlineLevel="0" collapsed="false">
      <c r="A116" s="21" t="s">
        <v>189</v>
      </c>
      <c r="B116" s="21" t="s">
        <v>191</v>
      </c>
      <c r="C116" s="21" t="s">
        <v>246</v>
      </c>
      <c r="D116" s="37" t="n">
        <f aca="false">ROUND(Q116*R116,0)</f>
        <v>194</v>
      </c>
      <c r="E116" s="37" t="n">
        <f aca="false">ROUND(Q116,0)-D116</f>
        <v>69</v>
      </c>
      <c r="F116" s="37" t="n">
        <f aca="false">IF(COUNTA(D116:E116)=0,"",SUM(D116:E116))</f>
        <v>263</v>
      </c>
      <c r="G116" s="52" t="n">
        <f aca="false">IF(OR(F116="",F116=0),"",D116/F116)</f>
        <v>0.737642585551331</v>
      </c>
      <c r="H116" s="52" t="n">
        <f aca="false">IF(OR(F116="",F116=0),"",E116/F116)</f>
        <v>0.262357414448669</v>
      </c>
      <c r="I116" s="21" t="s">
        <v>122</v>
      </c>
      <c r="J116" s="53" t="n">
        <v>3.15466234357281</v>
      </c>
      <c r="K116" s="52" t="n">
        <f aca="false">IF(G116="","",MAX(0,G116-J116/100))</f>
        <v>0.706095962115603</v>
      </c>
      <c r="L116" s="52" t="n">
        <f aca="false">IF(G116="","",MIN(1,G116+J116/100))</f>
        <v>0.769189208987059</v>
      </c>
      <c r="M116" s="37" t="n">
        <f aca="false">IF(F116="","",ROUND(F116*J116/100,0))</f>
        <v>8</v>
      </c>
      <c r="P116" s="54" t="n">
        <v>24.3349870917683</v>
      </c>
      <c r="Q116" s="55" t="n">
        <f aca="false">T116*$H$5</f>
        <v>263.436544342508</v>
      </c>
      <c r="R116" s="56" t="n">
        <f aca="false">MAX(0,MIN(1,P116/100+$D$5))</f>
        <v>0.735566994299214</v>
      </c>
      <c r="S116" s="57" t="s">
        <v>123</v>
      </c>
      <c r="T116" s="55" t="n">
        <v>263.436544342508</v>
      </c>
    </row>
    <row r="117" customFormat="false" ht="15" hidden="false" customHeight="false" outlineLevel="0" collapsed="false">
      <c r="A117" s="21" t="s">
        <v>189</v>
      </c>
      <c r="B117" s="21" t="s">
        <v>191</v>
      </c>
      <c r="C117" s="21" t="s">
        <v>247</v>
      </c>
      <c r="D117" s="37" t="n">
        <f aca="false">ROUND(Q117*R117,0)</f>
        <v>330</v>
      </c>
      <c r="E117" s="37" t="n">
        <f aca="false">ROUND(Q117,0)-D117</f>
        <v>163</v>
      </c>
      <c r="F117" s="37" t="n">
        <f aca="false">IF(COUNTA(D117:E117)=0,"",SUM(D117:E117))</f>
        <v>493</v>
      </c>
      <c r="G117" s="52" t="n">
        <f aca="false">IF(OR(F117="",F117=0),"",D117/F117)</f>
        <v>0.669371196754564</v>
      </c>
      <c r="H117" s="52" t="n">
        <f aca="false">IF(OR(F117="",F117=0),"",E117/F117)</f>
        <v>0.330628803245436</v>
      </c>
      <c r="I117" s="21" t="s">
        <v>122</v>
      </c>
      <c r="J117" s="53" t="n">
        <v>3.15466234357281</v>
      </c>
      <c r="K117" s="52" t="n">
        <f aca="false">IF(G117="","",MAX(0,G117-J117/100))</f>
        <v>0.637824573318836</v>
      </c>
      <c r="L117" s="52" t="n">
        <f aca="false">IF(G117="","",MIN(1,G117+J117/100))</f>
        <v>0.700917820190292</v>
      </c>
      <c r="M117" s="37" t="n">
        <f aca="false">IF(F117="","",ROUND(F117*J117/100,0))</f>
        <v>16</v>
      </c>
      <c r="P117" s="54" t="n">
        <v>17.6609937809614</v>
      </c>
      <c r="Q117" s="55" t="n">
        <f aca="false">T117*$H$5</f>
        <v>493.360186418109</v>
      </c>
      <c r="R117" s="56" t="n">
        <f aca="false">MAX(0,MIN(1,P117/100+$D$5))</f>
        <v>0.668827061191144</v>
      </c>
      <c r="S117" s="57" t="s">
        <v>123</v>
      </c>
      <c r="T117" s="55" t="n">
        <v>493.360186418109</v>
      </c>
    </row>
    <row r="118" customFormat="false" ht="15" hidden="false" customHeight="false" outlineLevel="0" collapsed="false">
      <c r="A118" s="21" t="s">
        <v>189</v>
      </c>
      <c r="B118" s="21" t="s">
        <v>191</v>
      </c>
      <c r="C118" s="21" t="s">
        <v>248</v>
      </c>
      <c r="D118" s="37" t="n">
        <f aca="false">ROUND(Q118*R118,0)</f>
        <v>153</v>
      </c>
      <c r="E118" s="37" t="n">
        <f aca="false">ROUND(Q118,0)-D118</f>
        <v>71</v>
      </c>
      <c r="F118" s="37" t="n">
        <f aca="false">IF(COUNTA(D118:E118)=0,"",SUM(D118:E118))</f>
        <v>224</v>
      </c>
      <c r="G118" s="52" t="n">
        <f aca="false">IF(OR(F118="",F118=0),"",D118/F118)</f>
        <v>0.683035714285714</v>
      </c>
      <c r="H118" s="52" t="n">
        <f aca="false">IF(OR(F118="",F118=0),"",E118/F118)</f>
        <v>0.316964285714286</v>
      </c>
      <c r="I118" s="21" t="s">
        <v>122</v>
      </c>
      <c r="J118" s="53" t="n">
        <v>3.15466234357281</v>
      </c>
      <c r="K118" s="52" t="n">
        <f aca="false">IF(G118="","",MAX(0,G118-J118/100))</f>
        <v>0.651489090849986</v>
      </c>
      <c r="L118" s="52" t="n">
        <f aca="false">IF(G118="","",MIN(1,G118+J118/100))</f>
        <v>0.714582337721442</v>
      </c>
      <c r="M118" s="37" t="n">
        <f aca="false">IF(F118="","",ROUND(F118*J118/100,0))</f>
        <v>7</v>
      </c>
      <c r="P118" s="54" t="n">
        <v>19.3028751773343</v>
      </c>
      <c r="Q118" s="55" t="n">
        <f aca="false">T118*$H$5</f>
        <v>223.817896389325</v>
      </c>
      <c r="R118" s="56" t="n">
        <f aca="false">MAX(0,MIN(1,P118/100+$D$5))</f>
        <v>0.685245875154873</v>
      </c>
      <c r="S118" s="57" t="s">
        <v>123</v>
      </c>
      <c r="T118" s="55" t="n">
        <v>223.817896389325</v>
      </c>
    </row>
    <row r="119" customFormat="false" ht="15" hidden="false" customHeight="false" outlineLevel="0" collapsed="false">
      <c r="A119" s="21" t="s">
        <v>189</v>
      </c>
      <c r="B119" s="21" t="s">
        <v>191</v>
      </c>
      <c r="C119" s="21" t="s">
        <v>249</v>
      </c>
      <c r="D119" s="37" t="n">
        <f aca="false">ROUND(Q119*R119,0)</f>
        <v>168</v>
      </c>
      <c r="E119" s="37" t="n">
        <f aca="false">ROUND(Q119,0)-D119</f>
        <v>74</v>
      </c>
      <c r="F119" s="37" t="n">
        <f aca="false">IF(COUNTA(D119:E119)=0,"",SUM(D119:E119))</f>
        <v>242</v>
      </c>
      <c r="G119" s="52" t="n">
        <f aca="false">IF(OR(F119="",F119=0),"",D119/F119)</f>
        <v>0.694214876033058</v>
      </c>
      <c r="H119" s="52" t="n">
        <f aca="false">IF(OR(F119="",F119=0),"",E119/F119)</f>
        <v>0.305785123966942</v>
      </c>
      <c r="I119" s="21" t="s">
        <v>122</v>
      </c>
      <c r="J119" s="53" t="n">
        <v>3.15466234357281</v>
      </c>
      <c r="K119" s="52" t="n">
        <f aca="false">IF(G119="","",MAX(0,G119-J119/100))</f>
        <v>0.66266825259733</v>
      </c>
      <c r="L119" s="52" t="n">
        <f aca="false">IF(G119="","",MIN(1,G119+J119/100))</f>
        <v>0.725761499468786</v>
      </c>
      <c r="M119" s="37" t="n">
        <f aca="false">IF(F119="","",ROUND(F119*J119/100,0))</f>
        <v>8</v>
      </c>
      <c r="P119" s="54" t="n">
        <v>20.0174187657089</v>
      </c>
      <c r="Q119" s="55" t="n">
        <f aca="false">T119*$H$5</f>
        <v>242.481171548117</v>
      </c>
      <c r="R119" s="56" t="n">
        <f aca="false">MAX(0,MIN(1,P119/100+$D$5))</f>
        <v>0.69239131103862</v>
      </c>
      <c r="S119" s="57" t="s">
        <v>123</v>
      </c>
      <c r="T119" s="55" t="n">
        <v>242.481171548117</v>
      </c>
    </row>
    <row r="120" customFormat="false" ht="15" hidden="false" customHeight="false" outlineLevel="0" collapsed="false">
      <c r="A120" s="21" t="s">
        <v>189</v>
      </c>
      <c r="B120" s="21" t="s">
        <v>191</v>
      </c>
      <c r="C120" s="21" t="s">
        <v>250</v>
      </c>
      <c r="D120" s="37" t="n">
        <f aca="false">ROUND(Q120*R120,0)</f>
        <v>282</v>
      </c>
      <c r="E120" s="37" t="n">
        <f aca="false">ROUND(Q120,0)-D120</f>
        <v>167</v>
      </c>
      <c r="F120" s="37" t="n">
        <f aca="false">IF(COUNTA(D120:E120)=0,"",SUM(D120:E120))</f>
        <v>449</v>
      </c>
      <c r="G120" s="52" t="n">
        <f aca="false">IF(OR(F120="",F120=0),"",D120/F120)</f>
        <v>0.628062360801782</v>
      </c>
      <c r="H120" s="52" t="n">
        <f aca="false">IF(OR(F120="",F120=0),"",E120/F120)</f>
        <v>0.371937639198218</v>
      </c>
      <c r="I120" s="21" t="s">
        <v>122</v>
      </c>
      <c r="J120" s="53" t="n">
        <v>3.15466234357281</v>
      </c>
      <c r="K120" s="52" t="n">
        <f aca="false">IF(G120="","",MAX(0,G120-J120/100))</f>
        <v>0.596515737366054</v>
      </c>
      <c r="L120" s="52" t="n">
        <f aca="false">IF(G120="","",MIN(1,G120+J120/100))</f>
        <v>0.65960898423751</v>
      </c>
      <c r="M120" s="37" t="n">
        <f aca="false">IF(F120="","",ROUND(F120*J120/100,0))</f>
        <v>14</v>
      </c>
      <c r="P120" s="54" t="n">
        <v>13.6810631974728</v>
      </c>
      <c r="Q120" s="55" t="n">
        <f aca="false">T120*$H$5</f>
        <v>448.675647668394</v>
      </c>
      <c r="R120" s="56" t="n">
        <f aca="false">MAX(0,MIN(1,P120/100+$D$5))</f>
        <v>0.629027755356258</v>
      </c>
      <c r="S120" s="57" t="s">
        <v>123</v>
      </c>
      <c r="T120" s="55" t="n">
        <v>448.675647668394</v>
      </c>
    </row>
    <row r="121" customFormat="false" ht="15" hidden="false" customHeight="false" outlineLevel="0" collapsed="false">
      <c r="A121" s="21" t="s">
        <v>189</v>
      </c>
      <c r="B121" s="21" t="s">
        <v>191</v>
      </c>
      <c r="C121" s="21" t="s">
        <v>251</v>
      </c>
      <c r="D121" s="37" t="n">
        <f aca="false">ROUND(Q121*R121,0)</f>
        <v>221</v>
      </c>
      <c r="E121" s="37" t="n">
        <f aca="false">ROUND(Q121,0)-D121</f>
        <v>89</v>
      </c>
      <c r="F121" s="37" t="n">
        <f aca="false">IF(COUNTA(D121:E121)=0,"",SUM(D121:E121))</f>
        <v>310</v>
      </c>
      <c r="G121" s="52" t="n">
        <f aca="false">IF(OR(F121="",F121=0),"",D121/F121)</f>
        <v>0.712903225806452</v>
      </c>
      <c r="H121" s="52" t="n">
        <f aca="false">IF(OR(F121="",F121=0),"",E121/F121)</f>
        <v>0.287096774193548</v>
      </c>
      <c r="I121" s="21" t="s">
        <v>122</v>
      </c>
      <c r="J121" s="53" t="n">
        <v>3.15466234357281</v>
      </c>
      <c r="K121" s="52" t="n">
        <f aca="false">IF(G121="","",MAX(0,G121-J121/100))</f>
        <v>0.681356602370724</v>
      </c>
      <c r="L121" s="52" t="n">
        <f aca="false">IF(G121="","",MIN(1,G121+J121/100))</f>
        <v>0.74444984924218</v>
      </c>
      <c r="M121" s="37" t="n">
        <f aca="false">IF(F121="","",ROUND(F121*J121/100,0))</f>
        <v>10</v>
      </c>
      <c r="P121" s="54" t="n">
        <v>21.9337778325665</v>
      </c>
      <c r="Q121" s="55" t="n">
        <f aca="false">T121*$H$5</f>
        <v>310.16656308266</v>
      </c>
      <c r="R121" s="56" t="n">
        <f aca="false">MAX(0,MIN(1,P121/100+$D$5))</f>
        <v>0.711554901707196</v>
      </c>
      <c r="S121" s="57" t="s">
        <v>123</v>
      </c>
      <c r="T121" s="55" t="n">
        <v>310.16656308266</v>
      </c>
    </row>
    <row r="122" customFormat="false" ht="15" hidden="false" customHeight="false" outlineLevel="0" collapsed="false">
      <c r="A122" s="21" t="s">
        <v>189</v>
      </c>
      <c r="B122" s="21" t="s">
        <v>252</v>
      </c>
      <c r="C122" s="21" t="s">
        <v>253</v>
      </c>
      <c r="D122" s="37" t="n">
        <f aca="false">ROUND(Q122*R122,0)</f>
        <v>467</v>
      </c>
      <c r="E122" s="37" t="n">
        <f aca="false">ROUND(Q122,0)-D122</f>
        <v>190</v>
      </c>
      <c r="F122" s="37" t="n">
        <f aca="false">IF(COUNTA(D122:E122)=0,"",SUM(D122:E122))</f>
        <v>657</v>
      </c>
      <c r="G122" s="52" t="n">
        <f aca="false">IF(OR(F122="",F122=0),"",D122/F122)</f>
        <v>0.710806697108067</v>
      </c>
      <c r="H122" s="52" t="n">
        <f aca="false">IF(OR(F122="",F122=0),"",E122/F122)</f>
        <v>0.289193302891933</v>
      </c>
      <c r="I122" s="21" t="s">
        <v>122</v>
      </c>
      <c r="J122" s="53" t="n">
        <v>3.15466234357281</v>
      </c>
      <c r="K122" s="52" t="n">
        <f aca="false">IF(G122="","",MAX(0,G122-J122/100))</f>
        <v>0.679260073672339</v>
      </c>
      <c r="L122" s="52" t="n">
        <f aca="false">IF(G122="","",MIN(1,G122+J122/100))</f>
        <v>0.742353320543795</v>
      </c>
      <c r="M122" s="37" t="n">
        <f aca="false">IF(F122="","",ROUND(F122*J122/100,0))</f>
        <v>21</v>
      </c>
      <c r="P122" s="54" t="n">
        <v>21.8083860416209</v>
      </c>
      <c r="Q122" s="55" t="n">
        <f aca="false">T122*$H$5</f>
        <v>657.496995708155</v>
      </c>
      <c r="R122" s="56" t="n">
        <f aca="false">MAX(0,MIN(1,P122/100+$D$5))</f>
        <v>0.71030098379774</v>
      </c>
      <c r="S122" s="57" t="s">
        <v>123</v>
      </c>
      <c r="T122" s="55" t="n">
        <v>657.496995708155</v>
      </c>
    </row>
    <row r="123" customFormat="false" ht="15" hidden="false" customHeight="false" outlineLevel="0" collapsed="false">
      <c r="A123" s="21" t="s">
        <v>189</v>
      </c>
      <c r="B123" s="21" t="s">
        <v>252</v>
      </c>
      <c r="C123" s="21" t="s">
        <v>254</v>
      </c>
      <c r="D123" s="37" t="n">
        <f aca="false">ROUND(Q123*R123,0)</f>
        <v>317</v>
      </c>
      <c r="E123" s="37" t="n">
        <f aca="false">ROUND(Q123,0)-D123</f>
        <v>149</v>
      </c>
      <c r="F123" s="37" t="n">
        <f aca="false">IF(COUNTA(D123:E123)=0,"",SUM(D123:E123))</f>
        <v>466</v>
      </c>
      <c r="G123" s="52" t="n">
        <f aca="false">IF(OR(F123="",F123=0),"",D123/F123)</f>
        <v>0.680257510729614</v>
      </c>
      <c r="H123" s="52" t="n">
        <f aca="false">IF(OR(F123="",F123=0),"",E123/F123)</f>
        <v>0.319742489270386</v>
      </c>
      <c r="I123" s="21" t="s">
        <v>122</v>
      </c>
      <c r="J123" s="53" t="n">
        <v>3.15466234357281</v>
      </c>
      <c r="K123" s="52" t="n">
        <f aca="false">IF(G123="","",MAX(0,G123-J123/100))</f>
        <v>0.648710887293886</v>
      </c>
      <c r="L123" s="52" t="n">
        <f aca="false">IF(G123="","",MIN(1,G123+J123/100))</f>
        <v>0.711804134165342</v>
      </c>
      <c r="M123" s="37" t="n">
        <f aca="false">IF(F123="","",ROUND(F123*J123/100,0))</f>
        <v>15</v>
      </c>
      <c r="P123" s="54" t="n">
        <v>18.7885818562367</v>
      </c>
      <c r="Q123" s="55" t="n">
        <f aca="false">T123*$H$5</f>
        <v>465.633707865168</v>
      </c>
      <c r="R123" s="56" t="n">
        <f aca="false">MAX(0,MIN(1,P123/100+$D$5))</f>
        <v>0.680102941943898</v>
      </c>
      <c r="S123" s="57" t="s">
        <v>123</v>
      </c>
      <c r="T123" s="55" t="n">
        <v>465.633707865168</v>
      </c>
    </row>
    <row r="124" customFormat="false" ht="15" hidden="false" customHeight="false" outlineLevel="0" collapsed="false">
      <c r="A124" s="21" t="s">
        <v>189</v>
      </c>
      <c r="B124" s="21" t="s">
        <v>252</v>
      </c>
      <c r="C124" s="21" t="s">
        <v>255</v>
      </c>
      <c r="D124" s="37" t="n">
        <f aca="false">ROUND(Q124*R124,0)</f>
        <v>348</v>
      </c>
      <c r="E124" s="37" t="n">
        <f aca="false">ROUND(Q124,0)-D124</f>
        <v>139</v>
      </c>
      <c r="F124" s="37" t="n">
        <f aca="false">IF(COUNTA(D124:E124)=0,"",SUM(D124:E124))</f>
        <v>487</v>
      </c>
      <c r="G124" s="52" t="n">
        <f aca="false">IF(OR(F124="",F124=0),"",D124/F124)</f>
        <v>0.714579055441479</v>
      </c>
      <c r="H124" s="52" t="n">
        <f aca="false">IF(OR(F124="",F124=0),"",E124/F124)</f>
        <v>0.285420944558522</v>
      </c>
      <c r="I124" s="21" t="s">
        <v>122</v>
      </c>
      <c r="J124" s="53" t="n">
        <v>3.15466234357281</v>
      </c>
      <c r="K124" s="52" t="n">
        <f aca="false">IF(G124="","",MAX(0,G124-J124/100))</f>
        <v>0.68303243200575</v>
      </c>
      <c r="L124" s="52" t="n">
        <f aca="false">IF(G124="","",MIN(1,G124+J124/100))</f>
        <v>0.746125678877207</v>
      </c>
      <c r="M124" s="37" t="n">
        <f aca="false">IF(F124="","",ROUND(F124*J124/100,0))</f>
        <v>15</v>
      </c>
      <c r="P124" s="54" t="n">
        <v>22.3875895027015</v>
      </c>
      <c r="Q124" s="55" t="n">
        <f aca="false">T124*$H$5</f>
        <v>486.64</v>
      </c>
      <c r="R124" s="56" t="n">
        <f aca="false">MAX(0,MIN(1,P124/100+$D$5))</f>
        <v>0.716093018408546</v>
      </c>
      <c r="S124" s="57" t="s">
        <v>123</v>
      </c>
      <c r="T124" s="55" t="n">
        <v>486.64</v>
      </c>
    </row>
    <row r="125" customFormat="false" ht="15" hidden="false" customHeight="false" outlineLevel="0" collapsed="false">
      <c r="A125" s="21" t="s">
        <v>189</v>
      </c>
      <c r="B125" s="21" t="s">
        <v>252</v>
      </c>
      <c r="C125" s="21" t="s">
        <v>256</v>
      </c>
      <c r="D125" s="37" t="n">
        <f aca="false">ROUND(Q125*R125,0)</f>
        <v>380</v>
      </c>
      <c r="E125" s="37" t="n">
        <f aca="false">ROUND(Q125,0)-D125</f>
        <v>167</v>
      </c>
      <c r="F125" s="37" t="n">
        <f aca="false">IF(COUNTA(D125:E125)=0,"",SUM(D125:E125))</f>
        <v>547</v>
      </c>
      <c r="G125" s="52" t="n">
        <f aca="false">IF(OR(F125="",F125=0),"",D125/F125)</f>
        <v>0.694698354661792</v>
      </c>
      <c r="H125" s="52" t="n">
        <f aca="false">IF(OR(F125="",F125=0),"",E125/F125)</f>
        <v>0.305301645338208</v>
      </c>
      <c r="I125" s="21" t="s">
        <v>122</v>
      </c>
      <c r="J125" s="53" t="n">
        <v>3.15466234357281</v>
      </c>
      <c r="K125" s="52" t="n">
        <f aca="false">IF(G125="","",MAX(0,G125-J125/100))</f>
        <v>0.663151731226064</v>
      </c>
      <c r="L125" s="52" t="n">
        <f aca="false">IF(G125="","",MIN(1,G125+J125/100))</f>
        <v>0.72624497809752</v>
      </c>
      <c r="M125" s="37" t="n">
        <f aca="false">IF(F125="","",ROUND(F125*J125/100,0))</f>
        <v>17</v>
      </c>
      <c r="P125" s="54" t="n">
        <v>20.2250879898058</v>
      </c>
      <c r="Q125" s="55" t="n">
        <f aca="false">T125*$H$5</f>
        <v>547.019495412844</v>
      </c>
      <c r="R125" s="56" t="n">
        <f aca="false">MAX(0,MIN(1,P125/100+$D$5))</f>
        <v>0.694468003279589</v>
      </c>
      <c r="S125" s="57" t="s">
        <v>123</v>
      </c>
      <c r="T125" s="55" t="n">
        <v>547.019495412844</v>
      </c>
    </row>
    <row r="126" customFormat="false" ht="15" hidden="false" customHeight="false" outlineLevel="0" collapsed="false">
      <c r="A126" s="21" t="s">
        <v>189</v>
      </c>
      <c r="B126" s="21" t="s">
        <v>252</v>
      </c>
      <c r="C126" s="21" t="s">
        <v>257</v>
      </c>
      <c r="D126" s="37" t="n">
        <f aca="false">ROUND(Q126*R126,0)</f>
        <v>590</v>
      </c>
      <c r="E126" s="37" t="n">
        <f aca="false">ROUND(Q126,0)-D126</f>
        <v>308</v>
      </c>
      <c r="F126" s="37" t="n">
        <f aca="false">IF(COUNTA(D126:E126)=0,"",SUM(D126:E126))</f>
        <v>898</v>
      </c>
      <c r="G126" s="52" t="n">
        <f aca="false">IF(OR(F126="",F126=0),"",D126/F126)</f>
        <v>0.657015590200445</v>
      </c>
      <c r="H126" s="52" t="n">
        <f aca="false">IF(OR(F126="",F126=0),"",E126/F126)</f>
        <v>0.342984409799555</v>
      </c>
      <c r="I126" s="21" t="s">
        <v>122</v>
      </c>
      <c r="J126" s="53" t="n">
        <v>1.88510957763259</v>
      </c>
      <c r="K126" s="52" t="n">
        <f aca="false">IF(G126="","",MAX(0,G126-J126/100))</f>
        <v>0.63816449442412</v>
      </c>
      <c r="L126" s="52" t="n">
        <f aca="false">IF(G126="","",MIN(1,G126+J126/100))</f>
        <v>0.675866685976771</v>
      </c>
      <c r="M126" s="37" t="n">
        <f aca="false">IF(F126="","",ROUND(F126*J126/100,0))</f>
        <v>17</v>
      </c>
      <c r="P126" s="54" t="n">
        <v>16.4599244503731</v>
      </c>
      <c r="Q126" s="55" t="n">
        <f aca="false">T126*$H$5</f>
        <v>898.212765957447</v>
      </c>
      <c r="R126" s="56" t="n">
        <f aca="false">MAX(0,MIN(1,P126/100+$D$5))</f>
        <v>0.656816367885261</v>
      </c>
      <c r="S126" s="57" t="s">
        <v>132</v>
      </c>
      <c r="T126" s="55" t="n">
        <v>898.212765957447</v>
      </c>
    </row>
    <row r="127" customFormat="false" ht="15" hidden="false" customHeight="false" outlineLevel="0" collapsed="false">
      <c r="A127" s="21" t="s">
        <v>189</v>
      </c>
      <c r="B127" s="21" t="s">
        <v>252</v>
      </c>
      <c r="C127" s="21" t="s">
        <v>258</v>
      </c>
      <c r="D127" s="37" t="n">
        <f aca="false">ROUND(Q127*R127,0)</f>
        <v>398</v>
      </c>
      <c r="E127" s="37" t="n">
        <f aca="false">ROUND(Q127,0)-D127</f>
        <v>236</v>
      </c>
      <c r="F127" s="37" t="n">
        <f aca="false">IF(COUNTA(D127:E127)=0,"",SUM(D127:E127))</f>
        <v>634</v>
      </c>
      <c r="G127" s="52" t="n">
        <f aca="false">IF(OR(F127="",F127=0),"",D127/F127)</f>
        <v>0.627760252365931</v>
      </c>
      <c r="H127" s="52" t="n">
        <f aca="false">IF(OR(F127="",F127=0),"",E127/F127)</f>
        <v>0.372239747634069</v>
      </c>
      <c r="I127" s="21" t="s">
        <v>122</v>
      </c>
      <c r="J127" s="53" t="n">
        <v>3.15466234357281</v>
      </c>
      <c r="K127" s="52" t="n">
        <f aca="false">IF(G127="","",MAX(0,G127-J127/100))</f>
        <v>0.596213628930203</v>
      </c>
      <c r="L127" s="52" t="n">
        <f aca="false">IF(G127="","",MIN(1,G127+J127/100))</f>
        <v>0.659306875801659</v>
      </c>
      <c r="M127" s="37" t="n">
        <f aca="false">IF(F127="","",ROUND(F127*J127/100,0))</f>
        <v>20</v>
      </c>
      <c r="P127" s="54" t="n">
        <v>13.5705240496529</v>
      </c>
      <c r="Q127" s="55" t="n">
        <f aca="false">T127*$H$5</f>
        <v>634.007858546169</v>
      </c>
      <c r="R127" s="56" t="n">
        <f aca="false">MAX(0,MIN(1,P127/100+$D$5))</f>
        <v>0.62792236387806</v>
      </c>
      <c r="S127" s="57" t="s">
        <v>123</v>
      </c>
      <c r="T127" s="55" t="n">
        <v>634.007858546169</v>
      </c>
    </row>
    <row r="128" customFormat="false" ht="15" hidden="false" customHeight="false" outlineLevel="0" collapsed="false">
      <c r="A128" s="21" t="s">
        <v>189</v>
      </c>
      <c r="B128" s="21" t="s">
        <v>252</v>
      </c>
      <c r="C128" s="21" t="s">
        <v>259</v>
      </c>
      <c r="D128" s="37" t="n">
        <f aca="false">ROUND(Q128*R128,0)</f>
        <v>444</v>
      </c>
      <c r="E128" s="37" t="n">
        <f aca="false">ROUND(Q128,0)-D128</f>
        <v>283</v>
      </c>
      <c r="F128" s="37" t="n">
        <f aca="false">IF(COUNTA(D128:E128)=0,"",SUM(D128:E128))</f>
        <v>727</v>
      </c>
      <c r="G128" s="52" t="n">
        <f aca="false">IF(OR(F128="",F128=0),"",D128/F128)</f>
        <v>0.610729023383769</v>
      </c>
      <c r="H128" s="52" t="n">
        <f aca="false">IF(OR(F128="",F128=0),"",E128/F128)</f>
        <v>0.389270976616231</v>
      </c>
      <c r="I128" s="21" t="s">
        <v>122</v>
      </c>
      <c r="J128" s="53" t="n">
        <v>3.15466234357281</v>
      </c>
      <c r="K128" s="52" t="n">
        <f aca="false">IF(G128="","",MAX(0,G128-J128/100))</f>
        <v>0.579182399948041</v>
      </c>
      <c r="L128" s="52" t="n">
        <f aca="false">IF(G128="","",MIN(1,G128+J128/100))</f>
        <v>0.642275646819497</v>
      </c>
      <c r="M128" s="37" t="n">
        <f aca="false">IF(F128="","",ROUND(F128*J128/100,0))</f>
        <v>23</v>
      </c>
      <c r="P128" s="54" t="n">
        <v>11.780828330569</v>
      </c>
      <c r="Q128" s="55" t="n">
        <f aca="false">T128*$H$5</f>
        <v>727.46884272997</v>
      </c>
      <c r="R128" s="56" t="n">
        <f aca="false">MAX(0,MIN(1,P128/100+$D$5))</f>
        <v>0.61002540668722</v>
      </c>
      <c r="S128" s="57" t="s">
        <v>123</v>
      </c>
      <c r="T128" s="55" t="n">
        <v>727.46884272997</v>
      </c>
    </row>
    <row r="129" customFormat="false" ht="15" hidden="false" customHeight="false" outlineLevel="0" collapsed="false">
      <c r="A129" s="21" t="s">
        <v>189</v>
      </c>
      <c r="B129" s="21" t="s">
        <v>252</v>
      </c>
      <c r="C129" s="21" t="s">
        <v>260</v>
      </c>
      <c r="D129" s="37" t="n">
        <f aca="false">ROUND(Q129*R129,0)</f>
        <v>556</v>
      </c>
      <c r="E129" s="37" t="n">
        <f aca="false">ROUND(Q129,0)-D129</f>
        <v>342</v>
      </c>
      <c r="F129" s="37" t="n">
        <f aca="false">IF(COUNTA(D129:E129)=0,"",SUM(D129:E129))</f>
        <v>898</v>
      </c>
      <c r="G129" s="52" t="n">
        <f aca="false">IF(OR(F129="",F129=0),"",D129/F129)</f>
        <v>0.619153674832962</v>
      </c>
      <c r="H129" s="52" t="n">
        <f aca="false">IF(OR(F129="",F129=0),"",E129/F129)</f>
        <v>0.380846325167038</v>
      </c>
      <c r="I129" s="21" t="s">
        <v>122</v>
      </c>
      <c r="J129" s="53" t="n">
        <v>1.88510957763259</v>
      </c>
      <c r="K129" s="52" t="n">
        <f aca="false">IF(G129="","",MAX(0,G129-J129/100))</f>
        <v>0.600302579056636</v>
      </c>
      <c r="L129" s="52" t="n">
        <f aca="false">IF(G129="","",MIN(1,G129+J129/100))</f>
        <v>0.638004770609288</v>
      </c>
      <c r="M129" s="37" t="n">
        <f aca="false">IF(F129="","",ROUND(F129*J129/100,0))</f>
        <v>17</v>
      </c>
      <c r="P129" s="54" t="n">
        <v>12.6867085305306</v>
      </c>
      <c r="Q129" s="55" t="n">
        <f aca="false">T129*$H$5</f>
        <v>898.28</v>
      </c>
      <c r="R129" s="56" t="n">
        <f aca="false">MAX(0,MIN(1,P129/100+$D$5))</f>
        <v>0.619084208686837</v>
      </c>
      <c r="S129" s="57" t="s">
        <v>132</v>
      </c>
      <c r="T129" s="55" t="n">
        <v>898.28</v>
      </c>
    </row>
    <row r="130" customFormat="false" ht="15" hidden="false" customHeight="false" outlineLevel="0" collapsed="false">
      <c r="A130" s="21" t="s">
        <v>189</v>
      </c>
      <c r="B130" s="21" t="s">
        <v>252</v>
      </c>
      <c r="C130" s="21" t="s">
        <v>261</v>
      </c>
      <c r="D130" s="37" t="n">
        <f aca="false">ROUND(Q130*R130,0)</f>
        <v>414</v>
      </c>
      <c r="E130" s="37" t="n">
        <f aca="false">ROUND(Q130,0)-D130</f>
        <v>251</v>
      </c>
      <c r="F130" s="37" t="n">
        <f aca="false">IF(COUNTA(D130:E130)=0,"",SUM(D130:E130))</f>
        <v>665</v>
      </c>
      <c r="G130" s="52" t="n">
        <f aca="false">IF(OR(F130="",F130=0),"",D130/F130)</f>
        <v>0.622556390977444</v>
      </c>
      <c r="H130" s="52" t="n">
        <f aca="false">IF(OR(F130="",F130=0),"",E130/F130)</f>
        <v>0.377443609022556</v>
      </c>
      <c r="I130" s="21" t="s">
        <v>122</v>
      </c>
      <c r="J130" s="53" t="n">
        <v>3.15466234357281</v>
      </c>
      <c r="K130" s="52" t="n">
        <f aca="false">IF(G130="","",MAX(0,G130-J130/100))</f>
        <v>0.591009767541716</v>
      </c>
      <c r="L130" s="52" t="n">
        <f aca="false">IF(G130="","",MIN(1,G130+J130/100))</f>
        <v>0.654103014413172</v>
      </c>
      <c r="M130" s="37" t="n">
        <f aca="false">IF(F130="","",ROUND(F130*J130/100,0))</f>
        <v>21</v>
      </c>
      <c r="P130" s="54" t="n">
        <v>13.0712049596765</v>
      </c>
      <c r="Q130" s="55" t="n">
        <f aca="false">T130*$H$5</f>
        <v>665.309142318567</v>
      </c>
      <c r="R130" s="56" t="n">
        <f aca="false">MAX(0,MIN(1,P130/100+$D$5))</f>
        <v>0.622929172978295</v>
      </c>
      <c r="S130" s="57" t="s">
        <v>123</v>
      </c>
      <c r="T130" s="55" t="n">
        <v>665.309142318567</v>
      </c>
    </row>
    <row r="131" customFormat="false" ht="15" hidden="false" customHeight="false" outlineLevel="0" collapsed="false">
      <c r="A131" s="21" t="s">
        <v>189</v>
      </c>
      <c r="B131" s="21" t="s">
        <v>252</v>
      </c>
      <c r="C131" s="21" t="s">
        <v>262</v>
      </c>
      <c r="D131" s="37" t="n">
        <f aca="false">ROUND(Q131*R131,0)</f>
        <v>337</v>
      </c>
      <c r="E131" s="37" t="n">
        <f aca="false">ROUND(Q131,0)-D131</f>
        <v>243</v>
      </c>
      <c r="F131" s="37" t="n">
        <f aca="false">IF(COUNTA(D131:E131)=0,"",SUM(D131:E131))</f>
        <v>580</v>
      </c>
      <c r="G131" s="52" t="n">
        <f aca="false">IF(OR(F131="",F131=0),"",D131/F131)</f>
        <v>0.581034482758621</v>
      </c>
      <c r="H131" s="52" t="n">
        <f aca="false">IF(OR(F131="",F131=0),"",E131/F131)</f>
        <v>0.418965517241379</v>
      </c>
      <c r="I131" s="21" t="s">
        <v>122</v>
      </c>
      <c r="J131" s="53" t="n">
        <v>3.15466234357281</v>
      </c>
      <c r="K131" s="52" t="n">
        <f aca="false">IF(G131="","",MAX(0,G131-J131/100))</f>
        <v>0.549487859322893</v>
      </c>
      <c r="L131" s="52" t="n">
        <f aca="false">IF(G131="","",MIN(1,G131+J131/100))</f>
        <v>0.612581106194349</v>
      </c>
      <c r="M131" s="37" t="n">
        <f aca="false">IF(F131="","",ROUND(F131*J131/100,0))</f>
        <v>18</v>
      </c>
      <c r="P131" s="54" t="n">
        <v>8.90555605235505</v>
      </c>
      <c r="Q131" s="55" t="n">
        <f aca="false">T131*$H$5</f>
        <v>580.019459459459</v>
      </c>
      <c r="R131" s="56" t="n">
        <f aca="false">MAX(0,MIN(1,P131/100+$D$5))</f>
        <v>0.581272683905081</v>
      </c>
      <c r="S131" s="57" t="s">
        <v>123</v>
      </c>
      <c r="T131" s="55" t="n">
        <v>580.019459459459</v>
      </c>
    </row>
    <row r="132" customFormat="false" ht="15" hidden="false" customHeight="false" outlineLevel="0" collapsed="false">
      <c r="A132" s="21" t="s">
        <v>189</v>
      </c>
      <c r="B132" s="21" t="s">
        <v>252</v>
      </c>
      <c r="C132" s="21" t="s">
        <v>263</v>
      </c>
      <c r="D132" s="37" t="n">
        <f aca="false">ROUND(Q132*R132,0)</f>
        <v>421</v>
      </c>
      <c r="E132" s="37" t="n">
        <f aca="false">ROUND(Q132,0)-D132</f>
        <v>241</v>
      </c>
      <c r="F132" s="37" t="n">
        <f aca="false">IF(COUNTA(D132:E132)=0,"",SUM(D132:E132))</f>
        <v>662</v>
      </c>
      <c r="G132" s="52" t="n">
        <f aca="false">IF(OR(F132="",F132=0),"",D132/F132)</f>
        <v>0.63595166163142</v>
      </c>
      <c r="H132" s="52" t="n">
        <f aca="false">IF(OR(F132="",F132=0),"",E132/F132)</f>
        <v>0.36404833836858</v>
      </c>
      <c r="I132" s="21" t="s">
        <v>122</v>
      </c>
      <c r="J132" s="53" t="n">
        <v>3.15466234357281</v>
      </c>
      <c r="K132" s="52" t="n">
        <f aca="false">IF(G132="","",MAX(0,G132-J132/100))</f>
        <v>0.604405038195692</v>
      </c>
      <c r="L132" s="52" t="n">
        <f aca="false">IF(G132="","",MIN(1,G132+J132/100))</f>
        <v>0.667498285067148</v>
      </c>
      <c r="M132" s="37" t="n">
        <f aca="false">IF(F132="","",ROUND(F132*J132/100,0))</f>
        <v>21</v>
      </c>
      <c r="P132" s="54" t="n">
        <v>14.4123846690741</v>
      </c>
      <c r="Q132" s="55" t="n">
        <f aca="false">T132*$H$5</f>
        <v>662.03519510329</v>
      </c>
      <c r="R132" s="56" t="n">
        <f aca="false">MAX(0,MIN(1,P132/100+$D$5))</f>
        <v>0.636340970072271</v>
      </c>
      <c r="S132" s="57" t="s">
        <v>123</v>
      </c>
      <c r="T132" s="55" t="n">
        <v>662.03519510329</v>
      </c>
    </row>
    <row r="133" customFormat="false" ht="15" hidden="false" customHeight="false" outlineLevel="0" collapsed="false">
      <c r="A133" s="21" t="s">
        <v>189</v>
      </c>
      <c r="B133" s="21" t="s">
        <v>252</v>
      </c>
      <c r="C133" s="21" t="s">
        <v>264</v>
      </c>
      <c r="D133" s="37" t="n">
        <f aca="false">ROUND(Q133*R133,0)</f>
        <v>453</v>
      </c>
      <c r="E133" s="37" t="n">
        <f aca="false">ROUND(Q133,0)-D133</f>
        <v>285</v>
      </c>
      <c r="F133" s="37" t="n">
        <f aca="false">IF(COUNTA(D133:E133)=0,"",SUM(D133:E133))</f>
        <v>738</v>
      </c>
      <c r="G133" s="52" t="n">
        <f aca="false">IF(OR(F133="",F133=0),"",D133/F133)</f>
        <v>0.613821138211382</v>
      </c>
      <c r="H133" s="52" t="n">
        <f aca="false">IF(OR(F133="",F133=0),"",E133/F133)</f>
        <v>0.386178861788618</v>
      </c>
      <c r="I133" s="21" t="s">
        <v>122</v>
      </c>
      <c r="J133" s="53" t="n">
        <v>3.15466234357281</v>
      </c>
      <c r="K133" s="52" t="n">
        <f aca="false">IF(G133="","",MAX(0,G133-J133/100))</f>
        <v>0.582274514775654</v>
      </c>
      <c r="L133" s="52" t="n">
        <f aca="false">IF(G133="","",MIN(1,G133+J133/100))</f>
        <v>0.64536776164711</v>
      </c>
      <c r="M133" s="37" t="n">
        <f aca="false">IF(F133="","",ROUND(F133*J133/100,0))</f>
        <v>23</v>
      </c>
      <c r="P133" s="54" t="n">
        <v>12.2266970343131</v>
      </c>
      <c r="Q133" s="55" t="n">
        <f aca="false">T133*$H$5</f>
        <v>737.535483870967</v>
      </c>
      <c r="R133" s="56" t="n">
        <f aca="false">MAX(0,MIN(1,P133/100+$D$5))</f>
        <v>0.614484093724662</v>
      </c>
      <c r="S133" s="57" t="s">
        <v>123</v>
      </c>
      <c r="T133" s="55" t="n">
        <v>737.535483870967</v>
      </c>
    </row>
    <row r="134" customFormat="false" ht="15" hidden="false" customHeight="false" outlineLevel="0" collapsed="false">
      <c r="A134" s="21" t="s">
        <v>189</v>
      </c>
      <c r="B134" s="21" t="s">
        <v>265</v>
      </c>
      <c r="C134" s="21" t="s">
        <v>266</v>
      </c>
      <c r="D134" s="37" t="n">
        <f aca="false">ROUND(Q134*R134,0)</f>
        <v>387</v>
      </c>
      <c r="E134" s="37" t="n">
        <f aca="false">ROUND(Q134,0)-D134</f>
        <v>298</v>
      </c>
      <c r="F134" s="37" t="n">
        <f aca="false">IF(COUNTA(D134:E134)=0,"",SUM(D134:E134))</f>
        <v>685</v>
      </c>
      <c r="G134" s="52" t="n">
        <f aca="false">IF(OR(F134="",F134=0),"",D134/F134)</f>
        <v>0.564963503649635</v>
      </c>
      <c r="H134" s="52" t="n">
        <f aca="false">IF(OR(F134="",F134=0),"",E134/F134)</f>
        <v>0.435036496350365</v>
      </c>
      <c r="I134" s="21" t="s">
        <v>122</v>
      </c>
      <c r="J134" s="53" t="n">
        <v>3.15466234357281</v>
      </c>
      <c r="K134" s="52" t="n">
        <f aca="false">IF(G134="","",MAX(0,G134-J134/100))</f>
        <v>0.533416880213907</v>
      </c>
      <c r="L134" s="52" t="n">
        <f aca="false">IF(G134="","",MIN(1,G134+J134/100))</f>
        <v>0.596510127085363</v>
      </c>
      <c r="M134" s="37" t="n">
        <f aca="false">IF(F134="","",ROUND(F134*J134/100,0))</f>
        <v>22</v>
      </c>
      <c r="P134" s="54" t="n">
        <v>7.20267883113274</v>
      </c>
      <c r="Q134" s="55" t="n">
        <f aca="false">T134*$H$5</f>
        <v>685.017857142857</v>
      </c>
      <c r="R134" s="56" t="n">
        <f aca="false">MAX(0,MIN(1,P134/100+$D$5))</f>
        <v>0.564243911692858</v>
      </c>
      <c r="S134" s="57" t="s">
        <v>123</v>
      </c>
      <c r="T134" s="55" t="n">
        <v>685.017857142857</v>
      </c>
    </row>
    <row r="135" customFormat="false" ht="15" hidden="false" customHeight="false" outlineLevel="0" collapsed="false">
      <c r="A135" s="21" t="s">
        <v>189</v>
      </c>
      <c r="B135" s="21" t="s">
        <v>265</v>
      </c>
      <c r="C135" s="21" t="s">
        <v>267</v>
      </c>
      <c r="D135" s="37" t="n">
        <f aca="false">ROUND(Q135*R135,0)</f>
        <v>357</v>
      </c>
      <c r="E135" s="37" t="n">
        <f aca="false">ROUND(Q135,0)-D135</f>
        <v>356</v>
      </c>
      <c r="F135" s="37" t="n">
        <f aca="false">IF(COUNTA(D135:E135)=0,"",SUM(D135:E135))</f>
        <v>713</v>
      </c>
      <c r="G135" s="52" t="n">
        <f aca="false">IF(OR(F135="",F135=0),"",D135/F135)</f>
        <v>0.50070126227209</v>
      </c>
      <c r="H135" s="52" t="n">
        <f aca="false">IF(OR(F135="",F135=0),"",E135/F135)</f>
        <v>0.49929873772791</v>
      </c>
      <c r="I135" s="21" t="s">
        <v>122</v>
      </c>
      <c r="J135" s="53" t="n">
        <v>3.15466234357281</v>
      </c>
      <c r="K135" s="52" t="n">
        <f aca="false">IF(G135="","",MAX(0,G135-J135/100))</f>
        <v>0.469154638836362</v>
      </c>
      <c r="L135" s="52" t="n">
        <f aca="false">IF(G135="","",MIN(1,G135+J135/100))</f>
        <v>0.532247885707818</v>
      </c>
      <c r="M135" s="37" t="n">
        <f aca="false">IF(F135="","",ROUND(F135*J135/100,0))</f>
        <v>22</v>
      </c>
      <c r="P135" s="54" t="n">
        <v>0.896313669580405</v>
      </c>
      <c r="Q135" s="55" t="n">
        <f aca="false">T135*$H$5</f>
        <v>712.774509803922</v>
      </c>
      <c r="R135" s="56" t="n">
        <f aca="false">MAX(0,MIN(1,P135/100+$D$5))</f>
        <v>0.501180260077335</v>
      </c>
      <c r="S135" s="57" t="s">
        <v>123</v>
      </c>
      <c r="T135" s="55" t="n">
        <v>712.774509803922</v>
      </c>
    </row>
    <row r="136" customFormat="false" ht="15" hidden="false" customHeight="false" outlineLevel="0" collapsed="false">
      <c r="A136" s="21" t="s">
        <v>189</v>
      </c>
      <c r="B136" s="21" t="s">
        <v>265</v>
      </c>
      <c r="C136" s="21" t="s">
        <v>268</v>
      </c>
      <c r="D136" s="37" t="n">
        <f aca="false">ROUND(Q136*R136,0)</f>
        <v>401</v>
      </c>
      <c r="E136" s="37" t="n">
        <f aca="false">ROUND(Q136,0)-D136</f>
        <v>380</v>
      </c>
      <c r="F136" s="37" t="n">
        <f aca="false">IF(COUNTA(D136:E136)=0,"",SUM(D136:E136))</f>
        <v>781</v>
      </c>
      <c r="G136" s="52" t="n">
        <f aca="false">IF(OR(F136="",F136=0),"",D136/F136)</f>
        <v>0.513444302176697</v>
      </c>
      <c r="H136" s="52" t="n">
        <f aca="false">IF(OR(F136="",F136=0),"",E136/F136)</f>
        <v>0.486555697823303</v>
      </c>
      <c r="I136" s="21" t="s">
        <v>122</v>
      </c>
      <c r="J136" s="53" t="n">
        <v>1.88510957763259</v>
      </c>
      <c r="K136" s="52" t="n">
        <f aca="false">IF(G136="","",MAX(0,G136-J136/100))</f>
        <v>0.494593206400371</v>
      </c>
      <c r="L136" s="52" t="n">
        <f aca="false">IF(G136="","",MIN(1,G136+J136/100))</f>
        <v>0.532295397953023</v>
      </c>
      <c r="M136" s="37" t="n">
        <f aca="false">IF(F136="","",ROUND(F136*J136/100,0))</f>
        <v>15</v>
      </c>
      <c r="P136" s="54" t="n">
        <v>2.16086285668416</v>
      </c>
      <c r="Q136" s="55" t="n">
        <f aca="false">T136*$H$5</f>
        <v>780.975243810953</v>
      </c>
      <c r="R136" s="56" t="n">
        <f aca="false">MAX(0,MIN(1,P136/100+$D$5))</f>
        <v>0.513825751948372</v>
      </c>
      <c r="S136" s="57" t="s">
        <v>132</v>
      </c>
      <c r="T136" s="55" t="n">
        <v>780.975243810953</v>
      </c>
    </row>
    <row r="137" customFormat="false" ht="15" hidden="false" customHeight="false" outlineLevel="0" collapsed="false">
      <c r="A137" s="21" t="s">
        <v>189</v>
      </c>
      <c r="B137" s="21" t="s">
        <v>269</v>
      </c>
      <c r="C137" s="21" t="s">
        <v>269</v>
      </c>
      <c r="D137" s="37" t="n">
        <f aca="false">ROUND(Q137*R137,0)</f>
        <v>637</v>
      </c>
      <c r="E137" s="37" t="n">
        <f aca="false">ROUND(Q137,0)-D137</f>
        <v>633</v>
      </c>
      <c r="F137" s="37" t="n">
        <f aca="false">IF(COUNTA(D137:E137)=0,"",SUM(D137:E137))</f>
        <v>1270</v>
      </c>
      <c r="G137" s="52" t="n">
        <f aca="false">IF(OR(F137="",F137=0),"",D137/F137)</f>
        <v>0.501574803149606</v>
      </c>
      <c r="H137" s="52" t="n">
        <f aca="false">IF(OR(F137="",F137=0),"",E137/F137)</f>
        <v>0.498425196850394</v>
      </c>
      <c r="I137" s="21" t="s">
        <v>122</v>
      </c>
      <c r="J137" s="53" t="n">
        <v>1.24424911322721</v>
      </c>
      <c r="K137" s="52" t="n">
        <f aca="false">IF(G137="","",MAX(0,G137-J137/100))</f>
        <v>0.489132312017334</v>
      </c>
      <c r="L137" s="52" t="n">
        <f aca="false">IF(G137="","",MIN(1,G137+J137/100))</f>
        <v>0.514017294281878</v>
      </c>
      <c r="M137" s="37" t="n">
        <f aca="false">IF(F137="","",ROUND(F137*J137/100,0))</f>
        <v>16</v>
      </c>
      <c r="P137" s="54" t="n">
        <v>0.924542943131998</v>
      </c>
      <c r="Q137" s="55" t="n">
        <f aca="false">T137*$H$5</f>
        <v>1270.44031093837</v>
      </c>
      <c r="R137" s="56" t="n">
        <f aca="false">MAX(0,MIN(1,P137/100+$D$5))</f>
        <v>0.501462552812851</v>
      </c>
      <c r="S137" s="57" t="s">
        <v>225</v>
      </c>
      <c r="T137" s="55" t="n">
        <v>1270.44031093837</v>
      </c>
    </row>
    <row r="138" customFormat="false" ht="15" hidden="false" customHeight="false" outlineLevel="0" collapsed="false">
      <c r="A138" s="21" t="s">
        <v>189</v>
      </c>
      <c r="B138" s="21" t="s">
        <v>270</v>
      </c>
      <c r="C138" s="21" t="s">
        <v>271</v>
      </c>
      <c r="D138" s="37" t="n">
        <f aca="false">ROUND(Q138*R138,0)</f>
        <v>296</v>
      </c>
      <c r="E138" s="37" t="n">
        <f aca="false">ROUND(Q138,0)-D138</f>
        <v>279</v>
      </c>
      <c r="F138" s="37" t="n">
        <f aca="false">IF(COUNTA(D138:E138)=0,"",SUM(D138:E138))</f>
        <v>575</v>
      </c>
      <c r="G138" s="52" t="n">
        <f aca="false">IF(OR(F138="",F138=0),"",D138/F138)</f>
        <v>0.514782608695652</v>
      </c>
      <c r="H138" s="52" t="n">
        <f aca="false">IF(OR(F138="",F138=0),"",E138/F138)</f>
        <v>0.485217391304348</v>
      </c>
      <c r="I138" s="21" t="s">
        <v>122</v>
      </c>
      <c r="J138" s="53" t="n">
        <v>3.15466234357281</v>
      </c>
      <c r="K138" s="52" t="n">
        <f aca="false">IF(G138="","",MAX(0,G138-J138/100))</f>
        <v>0.483235985259924</v>
      </c>
      <c r="L138" s="52" t="n">
        <f aca="false">IF(G138="","",MIN(1,G138+J138/100))</f>
        <v>0.54632923213138</v>
      </c>
      <c r="M138" s="37" t="n">
        <f aca="false">IF(F138="","",ROUND(F138*J138/100,0))</f>
        <v>18</v>
      </c>
      <c r="P138" s="54" t="n">
        <v>2.19322402559025</v>
      </c>
      <c r="Q138" s="55" t="n">
        <f aca="false">T138*$H$5</f>
        <v>574.764397905759</v>
      </c>
      <c r="R138" s="56" t="n">
        <f aca="false">MAX(0,MIN(1,P138/100+$D$5))</f>
        <v>0.514149363637433</v>
      </c>
      <c r="S138" s="57" t="s">
        <v>123</v>
      </c>
      <c r="T138" s="55" t="n">
        <v>574.764397905759</v>
      </c>
    </row>
    <row r="139" customFormat="false" ht="15" hidden="false" customHeight="false" outlineLevel="0" collapsed="false">
      <c r="A139" s="21" t="s">
        <v>189</v>
      </c>
      <c r="B139" s="21" t="s">
        <v>270</v>
      </c>
      <c r="C139" s="21" t="s">
        <v>272</v>
      </c>
      <c r="D139" s="37" t="n">
        <f aca="false">ROUND(Q139*R139,0)</f>
        <v>413</v>
      </c>
      <c r="E139" s="37" t="n">
        <f aca="false">ROUND(Q139,0)-D139</f>
        <v>376</v>
      </c>
      <c r="F139" s="37" t="n">
        <f aca="false">IF(COUNTA(D139:E139)=0,"",SUM(D139:E139))</f>
        <v>789</v>
      </c>
      <c r="G139" s="52" t="n">
        <f aca="false">IF(OR(F139="",F139=0),"",D139/F139)</f>
        <v>0.523447401774398</v>
      </c>
      <c r="H139" s="52" t="n">
        <f aca="false">IF(OR(F139="",F139=0),"",E139/F139)</f>
        <v>0.476552598225602</v>
      </c>
      <c r="I139" s="21" t="s">
        <v>122</v>
      </c>
      <c r="J139" s="53" t="n">
        <v>1.88510957763259</v>
      </c>
      <c r="K139" s="52" t="n">
        <f aca="false">IF(G139="","",MAX(0,G139-J139/100))</f>
        <v>0.504596305998072</v>
      </c>
      <c r="L139" s="52" t="n">
        <f aca="false">IF(G139="","",MIN(1,G139+J139/100))</f>
        <v>0.542298497550724</v>
      </c>
      <c r="M139" s="37" t="n">
        <f aca="false">IF(F139="","",ROUND(F139*J139/100,0))</f>
        <v>15</v>
      </c>
      <c r="P139" s="54" t="n">
        <v>3.06170790666262</v>
      </c>
      <c r="Q139" s="55" t="n">
        <f aca="false">T139*$H$5</f>
        <v>789.294258373206</v>
      </c>
      <c r="R139" s="56" t="n">
        <f aca="false">MAX(0,MIN(1,P139/100+$D$5))</f>
        <v>0.522834202448157</v>
      </c>
      <c r="S139" s="57" t="s">
        <v>132</v>
      </c>
      <c r="T139" s="55" t="n">
        <v>789.294258373206</v>
      </c>
    </row>
    <row r="140" customFormat="false" ht="15" hidden="false" customHeight="false" outlineLevel="0" collapsed="false">
      <c r="A140" s="21" t="s">
        <v>189</v>
      </c>
      <c r="B140" s="21" t="s">
        <v>273</v>
      </c>
      <c r="C140" s="21" t="s">
        <v>274</v>
      </c>
      <c r="D140" s="37" t="n">
        <f aca="false">ROUND(Q140*R140,0)</f>
        <v>442</v>
      </c>
      <c r="E140" s="37" t="n">
        <f aca="false">ROUND(Q140,0)-D140</f>
        <v>374</v>
      </c>
      <c r="F140" s="37" t="n">
        <f aca="false">IF(COUNTA(D140:E140)=0,"",SUM(D140:E140))</f>
        <v>816</v>
      </c>
      <c r="G140" s="52" t="n">
        <f aca="false">IF(OR(F140="",F140=0),"",D140/F140)</f>
        <v>0.541666666666667</v>
      </c>
      <c r="H140" s="52" t="n">
        <f aca="false">IF(OR(F140="",F140=0),"",E140/F140)</f>
        <v>0.458333333333333</v>
      </c>
      <c r="I140" s="21" t="s">
        <v>122</v>
      </c>
      <c r="J140" s="53" t="n">
        <v>1.88510957763259</v>
      </c>
      <c r="K140" s="52" t="n">
        <f aca="false">IF(G140="","",MAX(0,G140-J140/100))</f>
        <v>0.522815570890341</v>
      </c>
      <c r="L140" s="52" t="n">
        <f aca="false">IF(G140="","",MIN(1,G140+J140/100))</f>
        <v>0.560517762442993</v>
      </c>
      <c r="M140" s="37" t="n">
        <f aca="false">IF(F140="","",ROUND(F140*J140/100,0))</f>
        <v>15</v>
      </c>
      <c r="P140" s="54" t="n">
        <v>4.90293042313221</v>
      </c>
      <c r="Q140" s="55" t="n">
        <f aca="false">T140*$H$5</f>
        <v>816.283916083916</v>
      </c>
      <c r="R140" s="56" t="n">
        <f aca="false">MAX(0,MIN(1,P140/100+$D$5))</f>
        <v>0.541246427612853</v>
      </c>
      <c r="S140" s="57" t="s">
        <v>132</v>
      </c>
      <c r="T140" s="55" t="n">
        <v>816.283916083916</v>
      </c>
    </row>
    <row r="141" customFormat="false" ht="15" hidden="false" customHeight="false" outlineLevel="0" collapsed="false">
      <c r="A141" s="21" t="s">
        <v>189</v>
      </c>
      <c r="B141" s="21" t="s">
        <v>273</v>
      </c>
      <c r="C141" s="21" t="s">
        <v>275</v>
      </c>
      <c r="D141" s="37" t="n">
        <f aca="false">ROUND(Q141*R141,0)</f>
        <v>440</v>
      </c>
      <c r="E141" s="37" t="n">
        <f aca="false">ROUND(Q141,0)-D141</f>
        <v>383</v>
      </c>
      <c r="F141" s="37" t="n">
        <f aca="false">IF(COUNTA(D141:E141)=0,"",SUM(D141:E141))</f>
        <v>823</v>
      </c>
      <c r="G141" s="52" t="n">
        <f aca="false">IF(OR(F141="",F141=0),"",D141/F141)</f>
        <v>0.534629404617254</v>
      </c>
      <c r="H141" s="52" t="n">
        <f aca="false">IF(OR(F141="",F141=0),"",E141/F141)</f>
        <v>0.465370595382746</v>
      </c>
      <c r="I141" s="21" t="s">
        <v>122</v>
      </c>
      <c r="J141" s="53" t="n">
        <v>1.88510957763259</v>
      </c>
      <c r="K141" s="52" t="n">
        <f aca="false">IF(G141="","",MAX(0,G141-J141/100))</f>
        <v>0.515778308840928</v>
      </c>
      <c r="L141" s="52" t="n">
        <f aca="false">IF(G141="","",MIN(1,G141+J141/100))</f>
        <v>0.55348050039358</v>
      </c>
      <c r="M141" s="37" t="n">
        <f aca="false">IF(F141="","",ROUND(F141*J141/100,0))</f>
        <v>16</v>
      </c>
      <c r="P141" s="54" t="n">
        <v>4.16634940733963</v>
      </c>
      <c r="Q141" s="55" t="n">
        <f aca="false">T141*$H$5</f>
        <v>823.491577335375</v>
      </c>
      <c r="R141" s="56" t="n">
        <f aca="false">MAX(0,MIN(1,P141/100+$D$5))</f>
        <v>0.533880617454927</v>
      </c>
      <c r="S141" s="57" t="s">
        <v>132</v>
      </c>
      <c r="T141" s="55" t="n">
        <v>823.491577335375</v>
      </c>
    </row>
    <row r="142" customFormat="false" ht="15" hidden="false" customHeight="false" outlineLevel="0" collapsed="false">
      <c r="A142" s="21" t="s">
        <v>189</v>
      </c>
      <c r="B142" s="21" t="s">
        <v>273</v>
      </c>
      <c r="C142" s="21" t="s">
        <v>276</v>
      </c>
      <c r="D142" s="37" t="n">
        <f aca="false">ROUND(Q142*R142,0)</f>
        <v>635</v>
      </c>
      <c r="E142" s="37" t="n">
        <f aca="false">ROUND(Q142,0)-D142</f>
        <v>596</v>
      </c>
      <c r="F142" s="37" t="n">
        <f aca="false">IF(COUNTA(D142:E142)=0,"",SUM(D142:E142))</f>
        <v>1231</v>
      </c>
      <c r="G142" s="52" t="n">
        <f aca="false">IF(OR(F142="",F142=0),"",D142/F142)</f>
        <v>0.515840779853777</v>
      </c>
      <c r="H142" s="52" t="n">
        <f aca="false">IF(OR(F142="",F142=0),"",E142/F142)</f>
        <v>0.484159220146223</v>
      </c>
      <c r="I142" s="21" t="s">
        <v>122</v>
      </c>
      <c r="J142" s="53" t="n">
        <v>1.24424911322721</v>
      </c>
      <c r="K142" s="52" t="n">
        <f aca="false">IF(G142="","",MAX(0,G142-J142/100))</f>
        <v>0.503398288721505</v>
      </c>
      <c r="L142" s="52" t="n">
        <f aca="false">IF(G142="","",MIN(1,G142+J142/100))</f>
        <v>0.528283270986049</v>
      </c>
      <c r="M142" s="37" t="n">
        <f aca="false">IF(F142="","",ROUND(F142*J142/100,0))</f>
        <v>15</v>
      </c>
      <c r="P142" s="54" t="n">
        <v>2.40595439481611</v>
      </c>
      <c r="Q142" s="55" t="n">
        <f aca="false">T142*$H$5</f>
        <v>1230.51149425287</v>
      </c>
      <c r="R142" s="56" t="n">
        <f aca="false">MAX(0,MIN(1,P142/100+$D$5))</f>
        <v>0.516276667329692</v>
      </c>
      <c r="S142" s="57" t="s">
        <v>225</v>
      </c>
      <c r="T142" s="55" t="n">
        <v>1230.51149425287</v>
      </c>
    </row>
    <row r="143" customFormat="false" ht="15" hidden="false" customHeight="false" outlineLevel="0" collapsed="false">
      <c r="A143" s="21" t="s">
        <v>189</v>
      </c>
      <c r="B143" s="21" t="s">
        <v>273</v>
      </c>
      <c r="C143" s="21" t="s">
        <v>277</v>
      </c>
      <c r="D143" s="37" t="n">
        <f aca="false">ROUND(Q143*R143,0)</f>
        <v>517</v>
      </c>
      <c r="E143" s="37" t="n">
        <f aca="false">ROUND(Q143,0)-D143</f>
        <v>410</v>
      </c>
      <c r="F143" s="37" t="n">
        <f aca="false">IF(COUNTA(D143:E143)=0,"",SUM(D143:E143))</f>
        <v>927</v>
      </c>
      <c r="G143" s="52" t="n">
        <f aca="false">IF(OR(F143="",F143=0),"",D143/F143)</f>
        <v>0.557713052858684</v>
      </c>
      <c r="H143" s="52" t="n">
        <f aca="false">IF(OR(F143="",F143=0),"",E143/F143)</f>
        <v>0.442286947141316</v>
      </c>
      <c r="I143" s="21" t="s">
        <v>122</v>
      </c>
      <c r="J143" s="53" t="n">
        <v>1.88510957763259</v>
      </c>
      <c r="K143" s="52" t="n">
        <f aca="false">IF(G143="","",MAX(0,G143-J143/100))</f>
        <v>0.538861957082358</v>
      </c>
      <c r="L143" s="52" t="n">
        <f aca="false">IF(G143="","",MIN(1,G143+J143/100))</f>
        <v>0.57656414863501</v>
      </c>
      <c r="M143" s="37" t="n">
        <f aca="false">IF(F143="","",ROUND(F143*J143/100,0))</f>
        <v>17</v>
      </c>
      <c r="P143" s="54" t="n">
        <v>6.52466376024714</v>
      </c>
      <c r="Q143" s="55" t="n">
        <f aca="false">T143*$H$5</f>
        <v>927.10447761194</v>
      </c>
      <c r="R143" s="56" t="n">
        <f aca="false">MAX(0,MIN(1,P143/100+$D$5))</f>
        <v>0.557463760984002</v>
      </c>
      <c r="S143" s="57" t="s">
        <v>132</v>
      </c>
      <c r="T143" s="55" t="n">
        <v>927.10447761194</v>
      </c>
    </row>
    <row r="144" customFormat="false" ht="15" hidden="false" customHeight="false" outlineLevel="0" collapsed="false">
      <c r="A144" s="21" t="s">
        <v>189</v>
      </c>
      <c r="B144" s="21" t="s">
        <v>273</v>
      </c>
      <c r="C144" s="21" t="s">
        <v>278</v>
      </c>
      <c r="D144" s="37" t="n">
        <f aca="false">ROUND(Q144*R144,0)</f>
        <v>292</v>
      </c>
      <c r="E144" s="37" t="n">
        <f aca="false">ROUND(Q144,0)-D144</f>
        <v>279</v>
      </c>
      <c r="F144" s="37" t="n">
        <f aca="false">IF(COUNTA(D144:E144)=0,"",SUM(D144:E144))</f>
        <v>571</v>
      </c>
      <c r="G144" s="52" t="n">
        <f aca="false">IF(OR(F144="",F144=0),"",D144/F144)</f>
        <v>0.51138353765324</v>
      </c>
      <c r="H144" s="52" t="n">
        <f aca="false">IF(OR(F144="",F144=0),"",E144/F144)</f>
        <v>0.48861646234676</v>
      </c>
      <c r="I144" s="21" t="s">
        <v>122</v>
      </c>
      <c r="J144" s="53" t="n">
        <v>3.15466234357281</v>
      </c>
      <c r="K144" s="52" t="n">
        <f aca="false">IF(G144="","",MAX(0,G144-J144/100))</f>
        <v>0.479836914217512</v>
      </c>
      <c r="L144" s="52" t="n">
        <f aca="false">IF(G144="","",MIN(1,G144+J144/100))</f>
        <v>0.542930161088968</v>
      </c>
      <c r="M144" s="37" t="n">
        <f aca="false">IF(F144="","",ROUND(F144*J144/100,0))</f>
        <v>18</v>
      </c>
      <c r="P144" s="54" t="n">
        <v>1.91405184833395</v>
      </c>
      <c r="Q144" s="55" t="n">
        <f aca="false">T144*$H$5</f>
        <v>571.471747700394</v>
      </c>
      <c r="R144" s="56" t="n">
        <f aca="false">MAX(0,MIN(1,P144/100+$D$5))</f>
        <v>0.51135764186487</v>
      </c>
      <c r="S144" s="57" t="s">
        <v>123</v>
      </c>
      <c r="T144" s="55" t="n">
        <v>571.471747700394</v>
      </c>
    </row>
    <row r="145" customFormat="false" ht="15" hidden="false" customHeight="false" outlineLevel="0" collapsed="false">
      <c r="A145" s="21" t="s">
        <v>189</v>
      </c>
      <c r="B145" s="21" t="s">
        <v>273</v>
      </c>
      <c r="C145" s="21" t="s">
        <v>279</v>
      </c>
      <c r="D145" s="37" t="n">
        <f aca="false">ROUND(Q145*R145,0)</f>
        <v>582</v>
      </c>
      <c r="E145" s="37" t="n">
        <f aca="false">ROUND(Q145,0)-D145</f>
        <v>423</v>
      </c>
      <c r="F145" s="37" t="n">
        <f aca="false">IF(COUNTA(D145:E145)=0,"",SUM(D145:E145))</f>
        <v>1005</v>
      </c>
      <c r="G145" s="52" t="n">
        <f aca="false">IF(OR(F145="",F145=0),"",D145/F145)</f>
        <v>0.57910447761194</v>
      </c>
      <c r="H145" s="52" t="n">
        <f aca="false">IF(OR(F145="",F145=0),"",E145/F145)</f>
        <v>0.42089552238806</v>
      </c>
      <c r="I145" s="21" t="s">
        <v>122</v>
      </c>
      <c r="J145" s="53" t="n">
        <v>1.88510957763259</v>
      </c>
      <c r="K145" s="52" t="n">
        <f aca="false">IF(G145="","",MAX(0,G145-J145/100))</f>
        <v>0.560253381835614</v>
      </c>
      <c r="L145" s="52" t="n">
        <f aca="false">IF(G145="","",MIN(1,G145+J145/100))</f>
        <v>0.597955573388266</v>
      </c>
      <c r="M145" s="37" t="n">
        <f aca="false">IF(F145="","",ROUND(F145*J145/100,0))</f>
        <v>19</v>
      </c>
      <c r="P145" s="54" t="n">
        <v>8.74985234544396</v>
      </c>
      <c r="Q145" s="55" t="n">
        <f aca="false">T145*$H$5</f>
        <v>1004.53991291727</v>
      </c>
      <c r="R145" s="56" t="n">
        <f aca="false">MAX(0,MIN(1,P145/100+$D$5))</f>
        <v>0.57971564683597</v>
      </c>
      <c r="S145" s="57" t="s">
        <v>132</v>
      </c>
      <c r="T145" s="55" t="n">
        <v>1004.53991291727</v>
      </c>
    </row>
    <row r="146" customFormat="false" ht="15" hidden="false" customHeight="false" outlineLevel="0" collapsed="false">
      <c r="A146" s="21" t="s">
        <v>189</v>
      </c>
      <c r="B146" s="21" t="s">
        <v>280</v>
      </c>
      <c r="C146" s="21" t="s">
        <v>281</v>
      </c>
      <c r="D146" s="37" t="n">
        <f aca="false">ROUND(Q146*R146,0)</f>
        <v>409</v>
      </c>
      <c r="E146" s="37" t="n">
        <f aca="false">ROUND(Q146,0)-D146</f>
        <v>194</v>
      </c>
      <c r="F146" s="37" t="n">
        <f aca="false">IF(COUNTA(D146:E146)=0,"",SUM(D146:E146))</f>
        <v>603</v>
      </c>
      <c r="G146" s="52" t="n">
        <f aca="false">IF(OR(F146="",F146=0),"",D146/F146)</f>
        <v>0.678275290215589</v>
      </c>
      <c r="H146" s="52" t="n">
        <f aca="false">IF(OR(F146="",F146=0),"",E146/F146)</f>
        <v>0.321724709784411</v>
      </c>
      <c r="I146" s="21" t="s">
        <v>122</v>
      </c>
      <c r="J146" s="53" t="n">
        <v>3.15466234357281</v>
      </c>
      <c r="K146" s="52" t="n">
        <f aca="false">IF(G146="","",MAX(0,G146-J146/100))</f>
        <v>0.646728666779861</v>
      </c>
      <c r="L146" s="52" t="n">
        <f aca="false">IF(G146="","",MIN(1,G146+J146/100))</f>
        <v>0.709821913651317</v>
      </c>
      <c r="M146" s="37" t="n">
        <f aca="false">IF(F146="","",ROUND(F146*J146/100,0))</f>
        <v>19</v>
      </c>
      <c r="P146" s="54" t="n">
        <v>18.5016144800161</v>
      </c>
      <c r="Q146" s="55" t="n">
        <f aca="false">T146*$H$5</f>
        <v>603.200953137411</v>
      </c>
      <c r="R146" s="56" t="n">
        <f aca="false">MAX(0,MIN(1,P146/100+$D$5))</f>
        <v>0.677233268181692</v>
      </c>
      <c r="S146" s="57" t="s">
        <v>123</v>
      </c>
      <c r="T146" s="55" t="n">
        <v>603.200953137411</v>
      </c>
    </row>
    <row r="147" customFormat="false" ht="15" hidden="false" customHeight="false" outlineLevel="0" collapsed="false">
      <c r="A147" s="21" t="s">
        <v>189</v>
      </c>
      <c r="B147" s="21" t="s">
        <v>280</v>
      </c>
      <c r="C147" s="21" t="s">
        <v>282</v>
      </c>
      <c r="D147" s="37" t="n">
        <f aca="false">ROUND(Q147*R147,0)</f>
        <v>313</v>
      </c>
      <c r="E147" s="37" t="n">
        <f aca="false">ROUND(Q147,0)-D147</f>
        <v>171</v>
      </c>
      <c r="F147" s="37" t="n">
        <f aca="false">IF(COUNTA(D147:E147)=0,"",SUM(D147:E147))</f>
        <v>484</v>
      </c>
      <c r="G147" s="52" t="n">
        <f aca="false">IF(OR(F147="",F147=0),"",D147/F147)</f>
        <v>0.646694214876033</v>
      </c>
      <c r="H147" s="52" t="n">
        <f aca="false">IF(OR(F147="",F147=0),"",E147/F147)</f>
        <v>0.353305785123967</v>
      </c>
      <c r="I147" s="21" t="s">
        <v>122</v>
      </c>
      <c r="J147" s="53" t="n">
        <v>3.15466234357281</v>
      </c>
      <c r="K147" s="52" t="n">
        <f aca="false">IF(G147="","",MAX(0,G147-J147/100))</f>
        <v>0.615147591440305</v>
      </c>
      <c r="L147" s="52" t="n">
        <f aca="false">IF(G147="","",MIN(1,G147+J147/100))</f>
        <v>0.678240838311761</v>
      </c>
      <c r="M147" s="37" t="n">
        <f aca="false">IF(F147="","",ROUND(F147*J147/100,0))</f>
        <v>15</v>
      </c>
      <c r="P147" s="54" t="n">
        <v>15.3537681385685</v>
      </c>
      <c r="Q147" s="55" t="n">
        <f aca="false">T147*$H$5</f>
        <v>483.987301587302</v>
      </c>
      <c r="R147" s="56" t="n">
        <f aca="false">MAX(0,MIN(1,P147/100+$D$5))</f>
        <v>0.645754804767216</v>
      </c>
      <c r="S147" s="57" t="s">
        <v>123</v>
      </c>
      <c r="T147" s="55" t="n">
        <v>483.987301587302</v>
      </c>
    </row>
    <row r="148" customFormat="false" ht="15" hidden="false" customHeight="false" outlineLevel="0" collapsed="false">
      <c r="A148" s="21" t="s">
        <v>189</v>
      </c>
      <c r="B148" s="21" t="s">
        <v>280</v>
      </c>
      <c r="C148" s="21" t="s">
        <v>283</v>
      </c>
      <c r="D148" s="37" t="n">
        <f aca="false">ROUND(Q148*R148,0)</f>
        <v>342</v>
      </c>
      <c r="E148" s="37" t="n">
        <f aca="false">ROUND(Q148,0)-D148</f>
        <v>173</v>
      </c>
      <c r="F148" s="37" t="n">
        <f aca="false">IF(COUNTA(D148:E148)=0,"",SUM(D148:E148))</f>
        <v>515</v>
      </c>
      <c r="G148" s="52" t="n">
        <f aca="false">IF(OR(F148="",F148=0),"",D148/F148)</f>
        <v>0.664077669902913</v>
      </c>
      <c r="H148" s="52" t="n">
        <f aca="false">IF(OR(F148="",F148=0),"",E148/F148)</f>
        <v>0.335922330097087</v>
      </c>
      <c r="I148" s="21" t="s">
        <v>122</v>
      </c>
      <c r="J148" s="53" t="n">
        <v>3.15466234357281</v>
      </c>
      <c r="K148" s="52" t="n">
        <f aca="false">IF(G148="","",MAX(0,G148-J148/100))</f>
        <v>0.632531046467185</v>
      </c>
      <c r="L148" s="52" t="n">
        <f aca="false">IF(G148="","",MIN(1,G148+J148/100))</f>
        <v>0.695624293338641</v>
      </c>
      <c r="M148" s="37" t="n">
        <f aca="false">IF(F148="","",ROUND(F148*J148/100,0))</f>
        <v>16</v>
      </c>
      <c r="P148" s="54" t="n">
        <v>17.2000307321371</v>
      </c>
      <c r="Q148" s="55" t="n">
        <f aca="false">T148*$H$5</f>
        <v>515.312883435583</v>
      </c>
      <c r="R148" s="56" t="n">
        <f aca="false">MAX(0,MIN(1,P148/100+$D$5))</f>
        <v>0.664217430702902</v>
      </c>
      <c r="S148" s="57" t="s">
        <v>123</v>
      </c>
      <c r="T148" s="55" t="n">
        <v>515.312883435583</v>
      </c>
    </row>
    <row r="149" customFormat="false" ht="15" hidden="false" customHeight="false" outlineLevel="0" collapsed="false">
      <c r="A149" s="21" t="s">
        <v>189</v>
      </c>
      <c r="B149" s="21" t="s">
        <v>284</v>
      </c>
      <c r="C149" s="21" t="s">
        <v>284</v>
      </c>
      <c r="D149" s="37" t="n">
        <f aca="false">ROUND(Q149*R149,0)</f>
        <v>267</v>
      </c>
      <c r="E149" s="37" t="n">
        <f aca="false">ROUND(Q149,0)-D149</f>
        <v>217</v>
      </c>
      <c r="F149" s="37" t="n">
        <f aca="false">IF(COUNTA(D149:E149)=0,"",SUM(D149:E149))</f>
        <v>484</v>
      </c>
      <c r="G149" s="52" t="n">
        <f aca="false">IF(OR(F149="",F149=0),"",D149/F149)</f>
        <v>0.551652892561984</v>
      </c>
      <c r="H149" s="52" t="n">
        <f aca="false">IF(OR(F149="",F149=0),"",E149/F149)</f>
        <v>0.448347107438017</v>
      </c>
      <c r="I149" s="21" t="s">
        <v>122</v>
      </c>
      <c r="J149" s="53" t="n">
        <v>3.15466234357281</v>
      </c>
      <c r="K149" s="52" t="n">
        <f aca="false">IF(G149="","",MAX(0,G149-J149/100))</f>
        <v>0.520106269126255</v>
      </c>
      <c r="L149" s="52" t="n">
        <f aca="false">IF(G149="","",MIN(1,G149+J149/100))</f>
        <v>0.583199515997712</v>
      </c>
      <c r="M149" s="37" t="n">
        <f aca="false">IF(F149="","",ROUND(F149*J149/100,0))</f>
        <v>15</v>
      </c>
      <c r="P149" s="54" t="n">
        <v>5.86023339287647</v>
      </c>
      <c r="Q149" s="55" t="n">
        <f aca="false">T149*$H$5</f>
        <v>483.913480885312</v>
      </c>
      <c r="R149" s="56" t="n">
        <f aca="false">MAX(0,MIN(1,P149/100+$D$5))</f>
        <v>0.550819457310295</v>
      </c>
      <c r="S149" s="57" t="s">
        <v>123</v>
      </c>
      <c r="T149" s="55" t="n">
        <v>483.913480885312</v>
      </c>
    </row>
    <row r="150" customFormat="false" ht="15" hidden="false" customHeight="false" outlineLevel="0" collapsed="false">
      <c r="A150" s="21" t="s">
        <v>189</v>
      </c>
      <c r="B150" s="21" t="s">
        <v>285</v>
      </c>
      <c r="C150" s="21" t="s">
        <v>285</v>
      </c>
      <c r="D150" s="37" t="n">
        <f aca="false">ROUND(Q150*R150,0)</f>
        <v>512</v>
      </c>
      <c r="E150" s="37" t="n">
        <f aca="false">ROUND(Q150,0)-D150</f>
        <v>1145</v>
      </c>
      <c r="F150" s="37" t="n">
        <f aca="false">IF(COUNTA(D150:E150)=0,"",SUM(D150:E150))</f>
        <v>1657</v>
      </c>
      <c r="G150" s="52" t="n">
        <f aca="false">IF(OR(F150="",F150=0),"",D150/F150)</f>
        <v>0.308992154496077</v>
      </c>
      <c r="H150" s="52" t="n">
        <f aca="false">IF(OR(F150="",F150=0),"",E150/F150)</f>
        <v>0.691007845503923</v>
      </c>
      <c r="I150" s="21" t="s">
        <v>122</v>
      </c>
      <c r="J150" s="53" t="n">
        <v>1.24424911322721</v>
      </c>
      <c r="K150" s="52" t="n">
        <f aca="false">IF(G150="","",MAX(0,G150-J150/100))</f>
        <v>0.296549663363805</v>
      </c>
      <c r="L150" s="52" t="n">
        <f aca="false">IF(G150="","",MIN(1,G150+J150/100))</f>
        <v>0.321434645628349</v>
      </c>
      <c r="M150" s="37" t="n">
        <f aca="false">IF(F150="","",ROUND(F150*J150/100,0))</f>
        <v>21</v>
      </c>
      <c r="P150" s="54" t="n">
        <v>-18.2896370318561</v>
      </c>
      <c r="Q150" s="55" t="n">
        <f aca="false">T150*$H$5</f>
        <v>1656.73758865248</v>
      </c>
      <c r="R150" s="56" t="n">
        <f aca="false">MAX(0,MIN(1,P150/100+$D$5))</f>
        <v>0.30932075306297</v>
      </c>
      <c r="S150" s="57" t="s">
        <v>225</v>
      </c>
      <c r="T150" s="55" t="n">
        <v>1656.73758865248</v>
      </c>
    </row>
    <row r="151" customFormat="false" ht="15" hidden="false" customHeight="false" outlineLevel="0" collapsed="false">
      <c r="A151" s="21" t="s">
        <v>189</v>
      </c>
      <c r="B151" s="21" t="s">
        <v>286</v>
      </c>
      <c r="C151" s="21" t="s">
        <v>287</v>
      </c>
      <c r="D151" s="37" t="n">
        <f aca="false">ROUND(Q151*R151,0)</f>
        <v>781</v>
      </c>
      <c r="E151" s="37" t="n">
        <f aca="false">ROUND(Q151,0)-D151</f>
        <v>759</v>
      </c>
      <c r="F151" s="37" t="n">
        <f aca="false">IF(COUNTA(D151:E151)=0,"",SUM(D151:E151))</f>
        <v>1540</v>
      </c>
      <c r="G151" s="52" t="n">
        <f aca="false">IF(OR(F151="",F151=0),"",D151/F151)</f>
        <v>0.507142857142857</v>
      </c>
      <c r="H151" s="52" t="n">
        <f aca="false">IF(OR(F151="",F151=0),"",E151/F151)</f>
        <v>0.492857142857143</v>
      </c>
      <c r="I151" s="21" t="s">
        <v>122</v>
      </c>
      <c r="J151" s="53" t="n">
        <v>1.24424911322721</v>
      </c>
      <c r="K151" s="52" t="n">
        <f aca="false">IF(G151="","",MAX(0,G151-J151/100))</f>
        <v>0.494700366010585</v>
      </c>
      <c r="L151" s="52" t="n">
        <f aca="false">IF(G151="","",MIN(1,G151+J151/100))</f>
        <v>0.519585348275129</v>
      </c>
      <c r="M151" s="37" t="n">
        <f aca="false">IF(F151="","",ROUND(F151*J151/100,0))</f>
        <v>19</v>
      </c>
      <c r="P151" s="54" t="n">
        <v>1.44520202344739</v>
      </c>
      <c r="Q151" s="55" t="n">
        <f aca="false">T151*$H$5</f>
        <v>1540.493339254</v>
      </c>
      <c r="R151" s="56" t="n">
        <f aca="false">MAX(0,MIN(1,P151/100+$D$5))</f>
        <v>0.506669143616005</v>
      </c>
      <c r="S151" s="57" t="s">
        <v>225</v>
      </c>
      <c r="T151" s="55" t="n">
        <v>1540.493339254</v>
      </c>
    </row>
    <row r="152" customFormat="false" ht="15" hidden="false" customHeight="false" outlineLevel="0" collapsed="false">
      <c r="A152" s="21" t="s">
        <v>189</v>
      </c>
      <c r="B152" s="21" t="s">
        <v>286</v>
      </c>
      <c r="C152" s="21" t="s">
        <v>288</v>
      </c>
      <c r="D152" s="37" t="n">
        <f aca="false">ROUND(Q152*R152,0)</f>
        <v>868</v>
      </c>
      <c r="E152" s="37" t="n">
        <f aca="false">ROUND(Q152,0)-D152</f>
        <v>827</v>
      </c>
      <c r="F152" s="37" t="n">
        <f aca="false">IF(COUNTA(D152:E152)=0,"",SUM(D152:E152))</f>
        <v>1695</v>
      </c>
      <c r="G152" s="52" t="n">
        <f aca="false">IF(OR(F152="",F152=0),"",D152/F152)</f>
        <v>0.512094395280236</v>
      </c>
      <c r="H152" s="52" t="n">
        <f aca="false">IF(OR(F152="",F152=0),"",E152/F152)</f>
        <v>0.487905604719764</v>
      </c>
      <c r="I152" s="21" t="s">
        <v>122</v>
      </c>
      <c r="J152" s="53" t="n">
        <v>1.24424911322721</v>
      </c>
      <c r="K152" s="52" t="n">
        <f aca="false">IF(G152="","",MAX(0,G152-J152/100))</f>
        <v>0.499651904147964</v>
      </c>
      <c r="L152" s="52" t="n">
        <f aca="false">IF(G152="","",MIN(1,G152+J152/100))</f>
        <v>0.524536886412508</v>
      </c>
      <c r="M152" s="37" t="n">
        <f aca="false">IF(F152="","",ROUND(F152*J152/100,0))</f>
        <v>21</v>
      </c>
      <c r="P152" s="54" t="n">
        <v>1.99864825297063</v>
      </c>
      <c r="Q152" s="55" t="n">
        <f aca="false">T152*$H$5</f>
        <v>1695.44705882353</v>
      </c>
      <c r="R152" s="56" t="n">
        <f aca="false">MAX(0,MIN(1,P152/100+$D$5))</f>
        <v>0.512203605911237</v>
      </c>
      <c r="S152" s="57" t="s">
        <v>225</v>
      </c>
      <c r="T152" s="55" t="n">
        <v>1695.44705882353</v>
      </c>
    </row>
    <row r="153" customFormat="false" ht="15" hidden="false" customHeight="false" outlineLevel="0" collapsed="false">
      <c r="A153" s="21" t="s">
        <v>189</v>
      </c>
      <c r="B153" s="21" t="s">
        <v>286</v>
      </c>
      <c r="C153" s="21" t="s">
        <v>289</v>
      </c>
      <c r="D153" s="37" t="n">
        <f aca="false">ROUND(Q153*R153,0)</f>
        <v>1514</v>
      </c>
      <c r="E153" s="37" t="n">
        <f aca="false">ROUND(Q153,0)-D153</f>
        <v>1451</v>
      </c>
      <c r="F153" s="37" t="n">
        <f aca="false">IF(COUNTA(D153:E153)=0,"",SUM(D153:E153))</f>
        <v>2965</v>
      </c>
      <c r="G153" s="52" t="n">
        <f aca="false">IF(OR(F153="",F153=0),"",D153/F153)</f>
        <v>0.5106239460371</v>
      </c>
      <c r="H153" s="52" t="n">
        <f aca="false">IF(OR(F153="",F153=0),"",E153/F153)</f>
        <v>0.489376053962901</v>
      </c>
      <c r="I153" s="21" t="s">
        <v>122</v>
      </c>
      <c r="J153" s="53" t="n">
        <v>1.24424911322721</v>
      </c>
      <c r="K153" s="52" t="n">
        <f aca="false">IF(G153="","",MAX(0,G153-J153/100))</f>
        <v>0.498181454904827</v>
      </c>
      <c r="L153" s="52" t="n">
        <f aca="false">IF(G153="","",MIN(1,G153+J153/100))</f>
        <v>0.523066437169372</v>
      </c>
      <c r="M153" s="37" t="n">
        <f aca="false">IF(F153="","",ROUND(F153*J153/100,0))</f>
        <v>37</v>
      </c>
      <c r="P153" s="54" t="n">
        <v>1.84696730731116</v>
      </c>
      <c r="Q153" s="55" t="n">
        <f aca="false">T153*$H$5</f>
        <v>2965.37262012693</v>
      </c>
      <c r="R153" s="56" t="n">
        <f aca="false">MAX(0,MIN(1,P153/100+$D$5))</f>
        <v>0.510686796454642</v>
      </c>
      <c r="S153" s="57" t="s">
        <v>225</v>
      </c>
      <c r="T153" s="55" t="n">
        <v>2965.37262012693</v>
      </c>
    </row>
    <row r="154" customFormat="false" ht="15" hidden="false" customHeight="false" outlineLevel="0" collapsed="false">
      <c r="A154" s="21" t="s">
        <v>189</v>
      </c>
      <c r="B154" s="21" t="s">
        <v>286</v>
      </c>
      <c r="C154" s="21" t="s">
        <v>290</v>
      </c>
      <c r="D154" s="37" t="n">
        <f aca="false">ROUND(Q154*R154,0)</f>
        <v>761</v>
      </c>
      <c r="E154" s="37" t="n">
        <f aca="false">ROUND(Q154,0)-D154</f>
        <v>747</v>
      </c>
      <c r="F154" s="37" t="n">
        <f aca="false">IF(COUNTA(D154:E154)=0,"",SUM(D154:E154))</f>
        <v>1508</v>
      </c>
      <c r="G154" s="52" t="n">
        <f aca="false">IF(OR(F154="",F154=0),"",D154/F154)</f>
        <v>0.504641909814324</v>
      </c>
      <c r="H154" s="52" t="n">
        <f aca="false">IF(OR(F154="",F154=0),"",E154/F154)</f>
        <v>0.495358090185676</v>
      </c>
      <c r="I154" s="21" t="s">
        <v>122</v>
      </c>
      <c r="J154" s="53" t="n">
        <v>1.24424911322721</v>
      </c>
      <c r="K154" s="52" t="n">
        <f aca="false">IF(G154="","",MAX(0,G154-J154/100))</f>
        <v>0.492199418682052</v>
      </c>
      <c r="L154" s="52" t="n">
        <f aca="false">IF(G154="","",MIN(1,G154+J154/100))</f>
        <v>0.517084400946596</v>
      </c>
      <c r="M154" s="37" t="n">
        <f aca="false">IF(F154="","",ROUND(F154*J154/100,0))</f>
        <v>19</v>
      </c>
      <c r="P154" s="54" t="n">
        <v>1.26876498870643</v>
      </c>
      <c r="Q154" s="55" t="n">
        <f aca="false">T154*$H$5</f>
        <v>1507.62659380692</v>
      </c>
      <c r="R154" s="56" t="n">
        <f aca="false">MAX(0,MIN(1,P154/100+$D$5))</f>
        <v>0.504904773268595</v>
      </c>
      <c r="S154" s="57" t="s">
        <v>225</v>
      </c>
      <c r="T154" s="55" t="n">
        <v>1507.62659380692</v>
      </c>
    </row>
    <row r="155" customFormat="false" ht="15" hidden="false" customHeight="false" outlineLevel="0" collapsed="false">
      <c r="A155" s="21" t="s">
        <v>189</v>
      </c>
      <c r="B155" s="21" t="s">
        <v>286</v>
      </c>
      <c r="C155" s="21" t="s">
        <v>291</v>
      </c>
      <c r="D155" s="37" t="n">
        <f aca="false">ROUND(Q155*R155,0)</f>
        <v>699</v>
      </c>
      <c r="E155" s="37" t="n">
        <f aca="false">ROUND(Q155,0)-D155</f>
        <v>685</v>
      </c>
      <c r="F155" s="37" t="n">
        <f aca="false">IF(COUNTA(D155:E155)=0,"",SUM(D155:E155))</f>
        <v>1384</v>
      </c>
      <c r="G155" s="52" t="n">
        <f aca="false">IF(OR(F155="",F155=0),"",D155/F155)</f>
        <v>0.505057803468208</v>
      </c>
      <c r="H155" s="52" t="n">
        <f aca="false">IF(OR(F155="",F155=0),"",E155/F155)</f>
        <v>0.494942196531792</v>
      </c>
      <c r="I155" s="21" t="s">
        <v>122</v>
      </c>
      <c r="J155" s="53" t="n">
        <v>1.24424911322721</v>
      </c>
      <c r="K155" s="52" t="n">
        <f aca="false">IF(G155="","",MAX(0,G155-J155/100))</f>
        <v>0.492615312335936</v>
      </c>
      <c r="L155" s="52" t="n">
        <f aca="false">IF(G155="","",MIN(1,G155+J155/100))</f>
        <v>0.51750029460048</v>
      </c>
      <c r="M155" s="37" t="n">
        <f aca="false">IF(F155="","",ROUND(F155*J155/100,0))</f>
        <v>17</v>
      </c>
      <c r="P155" s="54" t="n">
        <v>1.25058721451009</v>
      </c>
      <c r="Q155" s="55" t="n">
        <f aca="false">T155*$H$5</f>
        <v>1383.95299145299</v>
      </c>
      <c r="R155" s="56" t="n">
        <f aca="false">MAX(0,MIN(1,P155/100+$D$5))</f>
        <v>0.504722995526632</v>
      </c>
      <c r="S155" s="57" t="s">
        <v>225</v>
      </c>
      <c r="T155" s="55" t="n">
        <v>1383.95299145299</v>
      </c>
    </row>
    <row r="156" customFormat="false" ht="15" hidden="false" customHeight="false" outlineLevel="0" collapsed="false">
      <c r="A156" s="21" t="s">
        <v>189</v>
      </c>
      <c r="B156" s="21" t="s">
        <v>286</v>
      </c>
      <c r="C156" s="21" t="s">
        <v>292</v>
      </c>
      <c r="D156" s="37" t="n">
        <f aca="false">ROUND(Q156*R156,0)</f>
        <v>617</v>
      </c>
      <c r="E156" s="37" t="n">
        <f aca="false">ROUND(Q156,0)-D156</f>
        <v>565</v>
      </c>
      <c r="F156" s="37" t="n">
        <f aca="false">IF(COUNTA(D156:E156)=0,"",SUM(D156:E156))</f>
        <v>1182</v>
      </c>
      <c r="G156" s="52" t="n">
        <f aca="false">IF(OR(F156="",F156=0),"",D156/F156)</f>
        <v>0.521996615905245</v>
      </c>
      <c r="H156" s="52" t="n">
        <f aca="false">IF(OR(F156="",F156=0),"",E156/F156)</f>
        <v>0.478003384094755</v>
      </c>
      <c r="I156" s="21" t="s">
        <v>122</v>
      </c>
      <c r="J156" s="53" t="n">
        <v>1.88510957763259</v>
      </c>
      <c r="K156" s="52" t="n">
        <f aca="false">IF(G156="","",MAX(0,G156-J156/100))</f>
        <v>0.503145520128919</v>
      </c>
      <c r="L156" s="52" t="n">
        <f aca="false">IF(G156="","",MIN(1,G156+J156/100))</f>
        <v>0.540847711681571</v>
      </c>
      <c r="M156" s="37" t="n">
        <f aca="false">IF(F156="","",ROUND(F156*J156/100,0))</f>
        <v>22</v>
      </c>
      <c r="P156" s="54" t="n">
        <v>2.97022940081512</v>
      </c>
      <c r="Q156" s="55" t="n">
        <f aca="false">T156*$H$5</f>
        <v>1181.67359413203</v>
      </c>
      <c r="R156" s="56" t="n">
        <f aca="false">MAX(0,MIN(1,P156/100+$D$5))</f>
        <v>0.521919417389682</v>
      </c>
      <c r="S156" s="57" t="s">
        <v>132</v>
      </c>
      <c r="T156" s="55" t="n">
        <v>1181.67359413203</v>
      </c>
    </row>
    <row r="157" customFormat="false" ht="15" hidden="false" customHeight="false" outlineLevel="0" collapsed="false">
      <c r="A157" s="21" t="s">
        <v>189</v>
      </c>
      <c r="B157" s="21" t="s">
        <v>286</v>
      </c>
      <c r="C157" s="21" t="s">
        <v>293</v>
      </c>
      <c r="D157" s="37" t="n">
        <f aca="false">ROUND(Q157*R157,0)</f>
        <v>1263</v>
      </c>
      <c r="E157" s="37" t="n">
        <f aca="false">ROUND(Q157,0)-D157</f>
        <v>1239</v>
      </c>
      <c r="F157" s="37" t="n">
        <f aca="false">IF(COUNTA(D157:E157)=0,"",SUM(D157:E157))</f>
        <v>2502</v>
      </c>
      <c r="G157" s="52" t="n">
        <f aca="false">IF(OR(F157="",F157=0),"",D157/F157)</f>
        <v>0.504796163069544</v>
      </c>
      <c r="H157" s="52" t="n">
        <f aca="false">IF(OR(F157="",F157=0),"",E157/F157)</f>
        <v>0.495203836930456</v>
      </c>
      <c r="I157" s="21" t="s">
        <v>122</v>
      </c>
      <c r="J157" s="53" t="n">
        <v>1.24424911322721</v>
      </c>
      <c r="K157" s="52" t="n">
        <f aca="false">IF(G157="","",MAX(0,G157-J157/100))</f>
        <v>0.492353671937272</v>
      </c>
      <c r="L157" s="52" t="n">
        <f aca="false">IF(G157="","",MIN(1,G157+J157/100))</f>
        <v>0.517238654201816</v>
      </c>
      <c r="M157" s="37" t="n">
        <f aca="false">IF(F157="","",ROUND(F157*J157/100,0))</f>
        <v>31</v>
      </c>
      <c r="P157" s="54" t="n">
        <v>1.24116553255729</v>
      </c>
      <c r="Q157" s="55" t="n">
        <f aca="false">T157*$H$5</f>
        <v>2501.86532550992</v>
      </c>
      <c r="R157" s="56" t="n">
        <f aca="false">MAX(0,MIN(1,P157/100+$D$5))</f>
        <v>0.504628778707104</v>
      </c>
      <c r="S157" s="57" t="s">
        <v>225</v>
      </c>
      <c r="T157" s="55" t="n">
        <v>2501.86532550992</v>
      </c>
    </row>
    <row r="158" customFormat="false" ht="15" hidden="false" customHeight="false" outlineLevel="0" collapsed="false">
      <c r="A158" s="21" t="s">
        <v>189</v>
      </c>
      <c r="B158" s="21" t="s">
        <v>286</v>
      </c>
      <c r="C158" s="21" t="s">
        <v>294</v>
      </c>
      <c r="D158" s="37" t="n">
        <f aca="false">ROUND(Q158*R158,0)</f>
        <v>705</v>
      </c>
      <c r="E158" s="37" t="n">
        <f aca="false">ROUND(Q158,0)-D158</f>
        <v>608</v>
      </c>
      <c r="F158" s="37" t="n">
        <f aca="false">IF(COUNTA(D158:E158)=0,"",SUM(D158:E158))</f>
        <v>1313</v>
      </c>
      <c r="G158" s="52" t="n">
        <f aca="false">IF(OR(F158="",F158=0),"",D158/F158)</f>
        <v>0.536938309215537</v>
      </c>
      <c r="H158" s="52" t="n">
        <f aca="false">IF(OR(F158="",F158=0),"",E158/F158)</f>
        <v>0.463061690784463</v>
      </c>
      <c r="I158" s="21" t="s">
        <v>122</v>
      </c>
      <c r="J158" s="53" t="n">
        <v>1.24424911322721</v>
      </c>
      <c r="K158" s="52" t="n">
        <f aca="false">IF(G158="","",MAX(0,G158-J158/100))</f>
        <v>0.524495818083265</v>
      </c>
      <c r="L158" s="52" t="n">
        <f aca="false">IF(G158="","",MIN(1,G158+J158/100))</f>
        <v>0.549380800347809</v>
      </c>
      <c r="M158" s="37" t="n">
        <f aca="false">IF(F158="","",ROUND(F158*J158/100,0))</f>
        <v>16</v>
      </c>
      <c r="P158" s="54" t="n">
        <v>4.51647187307979</v>
      </c>
      <c r="Q158" s="55" t="n">
        <f aca="false">T158*$H$5</f>
        <v>1312.71</v>
      </c>
      <c r="R158" s="56" t="n">
        <f aca="false">MAX(0,MIN(1,P158/100+$D$5))</f>
        <v>0.537381842112329</v>
      </c>
      <c r="S158" s="57" t="s">
        <v>225</v>
      </c>
      <c r="T158" s="55" t="n">
        <v>1312.71</v>
      </c>
    </row>
    <row r="159" customFormat="false" ht="15" hidden="false" customHeight="false" outlineLevel="0" collapsed="false">
      <c r="A159" s="21" t="s">
        <v>189</v>
      </c>
      <c r="B159" s="21" t="s">
        <v>286</v>
      </c>
      <c r="C159" s="21" t="s">
        <v>295</v>
      </c>
      <c r="D159" s="37" t="n">
        <f aca="false">ROUND(Q159*R159,0)</f>
        <v>694</v>
      </c>
      <c r="E159" s="37" t="n">
        <f aca="false">ROUND(Q159,0)-D159</f>
        <v>648</v>
      </c>
      <c r="F159" s="37" t="n">
        <f aca="false">IF(COUNTA(D159:E159)=0,"",SUM(D159:E159))</f>
        <v>1342</v>
      </c>
      <c r="G159" s="52" t="n">
        <f aca="false">IF(OR(F159="",F159=0),"",D159/F159)</f>
        <v>0.517138599105812</v>
      </c>
      <c r="H159" s="52" t="n">
        <f aca="false">IF(OR(F159="",F159=0),"",E159/F159)</f>
        <v>0.482861400894188</v>
      </c>
      <c r="I159" s="21" t="s">
        <v>122</v>
      </c>
      <c r="J159" s="53" t="n">
        <v>1.24424911322721</v>
      </c>
      <c r="K159" s="52" t="n">
        <f aca="false">IF(G159="","",MAX(0,G159-J159/100))</f>
        <v>0.50469610797354</v>
      </c>
      <c r="L159" s="52" t="n">
        <f aca="false">IF(G159="","",MIN(1,G159+J159/100))</f>
        <v>0.529581090238084</v>
      </c>
      <c r="M159" s="37" t="n">
        <f aca="false">IF(F159="","",ROUND(F159*J159/100,0))</f>
        <v>17</v>
      </c>
      <c r="P159" s="54" t="n">
        <v>2.47764878609195</v>
      </c>
      <c r="Q159" s="55" t="n">
        <f aca="false">T159*$H$5</f>
        <v>1342.44359673025</v>
      </c>
      <c r="R159" s="56" t="n">
        <f aca="false">MAX(0,MIN(1,P159/100+$D$5))</f>
        <v>0.51699361124245</v>
      </c>
      <c r="S159" s="57" t="s">
        <v>225</v>
      </c>
      <c r="T159" s="55" t="n">
        <v>1342.44359673025</v>
      </c>
    </row>
    <row r="160" customFormat="false" ht="15" hidden="false" customHeight="false" outlineLevel="0" collapsed="false">
      <c r="A160" s="21" t="s">
        <v>189</v>
      </c>
      <c r="B160" s="21" t="s">
        <v>286</v>
      </c>
      <c r="C160" s="21" t="s">
        <v>296</v>
      </c>
      <c r="D160" s="37" t="n">
        <f aca="false">ROUND(Q160*R160,0)</f>
        <v>454</v>
      </c>
      <c r="E160" s="37" t="n">
        <f aca="false">ROUND(Q160,0)-D160</f>
        <v>426</v>
      </c>
      <c r="F160" s="37" t="n">
        <f aca="false">IF(COUNTA(D160:E160)=0,"",SUM(D160:E160))</f>
        <v>880</v>
      </c>
      <c r="G160" s="52" t="n">
        <f aca="false">IF(OR(F160="",F160=0),"",D160/F160)</f>
        <v>0.515909090909091</v>
      </c>
      <c r="H160" s="52" t="n">
        <f aca="false">IF(OR(F160="",F160=0),"",E160/F160)</f>
        <v>0.484090909090909</v>
      </c>
      <c r="I160" s="21" t="s">
        <v>122</v>
      </c>
      <c r="J160" s="53" t="n">
        <v>1.88510957763259</v>
      </c>
      <c r="K160" s="52" t="n">
        <f aca="false">IF(G160="","",MAX(0,G160-J160/100))</f>
        <v>0.497057995132765</v>
      </c>
      <c r="L160" s="52" t="n">
        <f aca="false">IF(G160="","",MIN(1,G160+J160/100))</f>
        <v>0.534760186685417</v>
      </c>
      <c r="M160" s="37" t="n">
        <f aca="false">IF(F160="","",ROUND(F160*J160/100,0))</f>
        <v>17</v>
      </c>
      <c r="P160" s="54" t="n">
        <v>2.39048407650277</v>
      </c>
      <c r="Q160" s="55" t="n">
        <f aca="false">T160*$H$5</f>
        <v>879.958115183246</v>
      </c>
      <c r="R160" s="56" t="n">
        <f aca="false">MAX(0,MIN(1,P160/100+$D$5))</f>
        <v>0.516121964146558</v>
      </c>
      <c r="S160" s="57" t="s">
        <v>132</v>
      </c>
      <c r="T160" s="55" t="n">
        <v>879.958115183246</v>
      </c>
    </row>
    <row r="161" customFormat="false" ht="15" hidden="false" customHeight="false" outlineLevel="0" collapsed="false">
      <c r="A161" s="21" t="s">
        <v>189</v>
      </c>
      <c r="B161" s="21" t="s">
        <v>297</v>
      </c>
      <c r="C161" s="21" t="s">
        <v>297</v>
      </c>
      <c r="D161" s="37" t="n">
        <f aca="false">ROUND(Q161*R161,0)</f>
        <v>839</v>
      </c>
      <c r="E161" s="37" t="n">
        <f aca="false">ROUND(Q161,0)-D161</f>
        <v>1365</v>
      </c>
      <c r="F161" s="37" t="n">
        <f aca="false">IF(COUNTA(D161:E161)=0,"",SUM(D161:E161))</f>
        <v>2204</v>
      </c>
      <c r="G161" s="52" t="n">
        <f aca="false">IF(OR(F161="",F161=0),"",D161/F161)</f>
        <v>0.380671506352087</v>
      </c>
      <c r="H161" s="52" t="n">
        <f aca="false">IF(OR(F161="",F161=0),"",E161/F161)</f>
        <v>0.619328493647913</v>
      </c>
      <c r="I161" s="21" t="s">
        <v>122</v>
      </c>
      <c r="J161" s="53" t="n">
        <v>1.24424911322721</v>
      </c>
      <c r="K161" s="52" t="n">
        <f aca="false">IF(G161="","",MAX(0,G161-J161/100))</f>
        <v>0.368229015219815</v>
      </c>
      <c r="L161" s="52" t="n">
        <f aca="false">IF(G161="","",MIN(1,G161+J161/100))</f>
        <v>0.393113997484359</v>
      </c>
      <c r="M161" s="37" t="n">
        <f aca="false">IF(F161="","",ROUND(F161*J161/100,0))</f>
        <v>27</v>
      </c>
      <c r="P161" s="54" t="n">
        <v>-11.1666492145747</v>
      </c>
      <c r="Q161" s="55" t="n">
        <f aca="false">T161*$H$5</f>
        <v>2204.10505319149</v>
      </c>
      <c r="R161" s="56" t="n">
        <f aca="false">MAX(0,MIN(1,P161/100+$D$5))</f>
        <v>0.380550631235784</v>
      </c>
      <c r="S161" s="57" t="s">
        <v>225</v>
      </c>
      <c r="T161" s="55" t="n">
        <v>2204.10505319149</v>
      </c>
    </row>
    <row r="162" customFormat="false" ht="15" hidden="false" customHeight="false" outlineLevel="0" collapsed="false">
      <c r="A162" s="21" t="s">
        <v>189</v>
      </c>
      <c r="B162" s="21" t="s">
        <v>298</v>
      </c>
      <c r="C162" s="21" t="s">
        <v>298</v>
      </c>
      <c r="D162" s="37" t="n">
        <f aca="false">ROUND(Q162*R162,0)</f>
        <v>447</v>
      </c>
      <c r="E162" s="37" t="n">
        <f aca="false">ROUND(Q162,0)-D162</f>
        <v>790</v>
      </c>
      <c r="F162" s="37" t="n">
        <f aca="false">IF(COUNTA(D162:E162)=0,"",SUM(D162:E162))</f>
        <v>1237</v>
      </c>
      <c r="G162" s="52" t="n">
        <f aca="false">IF(OR(F162="",F162=0),"",D162/F162)</f>
        <v>0.361358124494745</v>
      </c>
      <c r="H162" s="52" t="n">
        <f aca="false">IF(OR(F162="",F162=0),"",E162/F162)</f>
        <v>0.638641875505255</v>
      </c>
      <c r="I162" s="21" t="s">
        <v>122</v>
      </c>
      <c r="J162" s="53" t="n">
        <v>1.24424911322721</v>
      </c>
      <c r="K162" s="52" t="n">
        <f aca="false">IF(G162="","",MAX(0,G162-J162/100))</f>
        <v>0.348915633362473</v>
      </c>
      <c r="L162" s="52" t="n">
        <f aca="false">IF(G162="","",MIN(1,G162+J162/100))</f>
        <v>0.373800615627017</v>
      </c>
      <c r="M162" s="37" t="n">
        <f aca="false">IF(F162="","",ROUND(F162*J162/100,0))</f>
        <v>15</v>
      </c>
      <c r="P162" s="54" t="n">
        <v>-13.0938183309912</v>
      </c>
      <c r="Q162" s="55" t="n">
        <f aca="false">T162*$H$5</f>
        <v>1236.97340124505</v>
      </c>
      <c r="R162" s="56" t="n">
        <f aca="false">MAX(0,MIN(1,P162/100+$D$5))</f>
        <v>0.361278940071619</v>
      </c>
      <c r="S162" s="57" t="s">
        <v>225</v>
      </c>
      <c r="T162" s="55" t="n">
        <v>1236.97340124505</v>
      </c>
    </row>
    <row r="163" customFormat="false" ht="15" hidden="false" customHeight="false" outlineLevel="0" collapsed="false">
      <c r="A163" s="21" t="s">
        <v>189</v>
      </c>
      <c r="B163" s="21" t="s">
        <v>299</v>
      </c>
      <c r="C163" s="21" t="s">
        <v>300</v>
      </c>
      <c r="D163" s="37" t="n">
        <f aca="false">ROUND(Q163*R163,0)</f>
        <v>154</v>
      </c>
      <c r="E163" s="37" t="n">
        <f aca="false">ROUND(Q163,0)-D163</f>
        <v>409</v>
      </c>
      <c r="F163" s="37" t="n">
        <f aca="false">IF(COUNTA(D163:E163)=0,"",SUM(D163:E163))</f>
        <v>563</v>
      </c>
      <c r="G163" s="52" t="n">
        <f aca="false">IF(OR(F163="",F163=0),"",D163/F163)</f>
        <v>0.273534635879218</v>
      </c>
      <c r="H163" s="52" t="n">
        <f aca="false">IF(OR(F163="",F163=0),"",E163/F163)</f>
        <v>0.726465364120782</v>
      </c>
      <c r="I163" s="21" t="s">
        <v>122</v>
      </c>
      <c r="J163" s="53" t="n">
        <v>3.15466234357281</v>
      </c>
      <c r="K163" s="52" t="n">
        <f aca="false">IF(G163="","",MAX(0,G163-J163/100))</f>
        <v>0.24198801244349</v>
      </c>
      <c r="L163" s="52" t="n">
        <f aca="false">IF(G163="","",MIN(1,G163+J163/100))</f>
        <v>0.305081259314947</v>
      </c>
      <c r="M163" s="37" t="n">
        <f aca="false">IF(F163="","",ROUND(F163*J163/100,0))</f>
        <v>18</v>
      </c>
      <c r="P163" s="54" t="n">
        <v>-21.8948250703239</v>
      </c>
      <c r="Q163" s="55" t="n">
        <f aca="false">T163*$H$5</f>
        <v>562.682926829269</v>
      </c>
      <c r="R163" s="56" t="n">
        <f aca="false">MAX(0,MIN(1,P163/100+$D$5))</f>
        <v>0.273268872678292</v>
      </c>
      <c r="S163" s="57" t="s">
        <v>123</v>
      </c>
      <c r="T163" s="55" t="n">
        <v>562.682926829269</v>
      </c>
    </row>
    <row r="164" customFormat="false" ht="15" hidden="false" customHeight="false" outlineLevel="0" collapsed="false">
      <c r="A164" s="21" t="s">
        <v>189</v>
      </c>
      <c r="B164" s="21" t="s">
        <v>299</v>
      </c>
      <c r="C164" s="21" t="s">
        <v>301</v>
      </c>
      <c r="D164" s="37" t="n">
        <f aca="false">ROUND(Q164*R164,0)</f>
        <v>121</v>
      </c>
      <c r="E164" s="37" t="n">
        <f aca="false">ROUND(Q164,0)-D164</f>
        <v>262</v>
      </c>
      <c r="F164" s="37" t="n">
        <f aca="false">IF(COUNTA(D164:E164)=0,"",SUM(D164:E164))</f>
        <v>383</v>
      </c>
      <c r="G164" s="52" t="n">
        <f aca="false">IF(OR(F164="",F164=0),"",D164/F164)</f>
        <v>0.315926892950392</v>
      </c>
      <c r="H164" s="52" t="n">
        <f aca="false">IF(OR(F164="",F164=0),"",E164/F164)</f>
        <v>0.684073107049608</v>
      </c>
      <c r="I164" s="21" t="s">
        <v>122</v>
      </c>
      <c r="J164" s="53" t="n">
        <v>3.15466234357281</v>
      </c>
      <c r="K164" s="52" t="n">
        <f aca="false">IF(G164="","",MAX(0,G164-J164/100))</f>
        <v>0.284380269514664</v>
      </c>
      <c r="L164" s="52" t="n">
        <f aca="false">IF(G164="","",MIN(1,G164+J164/100))</f>
        <v>0.34747351638612</v>
      </c>
      <c r="M164" s="37" t="n">
        <f aca="false">IF(F164="","",ROUND(F164*J164/100,0))</f>
        <v>12</v>
      </c>
      <c r="P164" s="54" t="n">
        <v>-17.4707551621774</v>
      </c>
      <c r="Q164" s="55" t="n">
        <f aca="false">T164*$H$5</f>
        <v>382.588235294118</v>
      </c>
      <c r="R164" s="56" t="n">
        <f aca="false">MAX(0,MIN(1,P164/100+$D$5))</f>
        <v>0.317509571759757</v>
      </c>
      <c r="S164" s="57" t="s">
        <v>123</v>
      </c>
      <c r="T164" s="55" t="n">
        <v>382.588235294118</v>
      </c>
    </row>
    <row r="165" customFormat="false" ht="15" hidden="false" customHeight="false" outlineLevel="0" collapsed="false">
      <c r="A165" s="21" t="s">
        <v>189</v>
      </c>
      <c r="B165" s="21" t="s">
        <v>299</v>
      </c>
      <c r="C165" s="21" t="s">
        <v>302</v>
      </c>
      <c r="D165" s="37" t="n">
        <f aca="false">ROUND(Q165*R165,0)</f>
        <v>415</v>
      </c>
      <c r="E165" s="37" t="n">
        <f aca="false">ROUND(Q165,0)-D165</f>
        <v>833</v>
      </c>
      <c r="F165" s="37" t="n">
        <f aca="false">IF(COUNTA(D165:E165)=0,"",SUM(D165:E165))</f>
        <v>1248</v>
      </c>
      <c r="G165" s="52" t="n">
        <f aca="false">IF(OR(F165="",F165=0),"",D165/F165)</f>
        <v>0.332532051282051</v>
      </c>
      <c r="H165" s="52" t="n">
        <f aca="false">IF(OR(F165="",F165=0),"",E165/F165)</f>
        <v>0.667467948717949</v>
      </c>
      <c r="I165" s="21" t="s">
        <v>122</v>
      </c>
      <c r="J165" s="53" t="n">
        <v>1.24424911322721</v>
      </c>
      <c r="K165" s="52" t="n">
        <f aca="false">IF(G165="","",MAX(0,G165-J165/100))</f>
        <v>0.320089560149779</v>
      </c>
      <c r="L165" s="52" t="n">
        <f aca="false">IF(G165="","",MIN(1,G165+J165/100))</f>
        <v>0.344974542414323</v>
      </c>
      <c r="M165" s="37" t="n">
        <f aca="false">IF(F165="","",ROUND(F165*J165/100,0))</f>
        <v>16</v>
      </c>
      <c r="P165" s="54" t="n">
        <v>-15.9720705337791</v>
      </c>
      <c r="Q165" s="55" t="n">
        <f aca="false">T165*$H$5</f>
        <v>1248.26659471128</v>
      </c>
      <c r="R165" s="56" t="n">
        <f aca="false">MAX(0,MIN(1,P165/100+$D$5))</f>
        <v>0.33249641804374</v>
      </c>
      <c r="S165" s="57" t="s">
        <v>225</v>
      </c>
      <c r="T165" s="55" t="n">
        <v>1248.26659471128</v>
      </c>
    </row>
    <row r="166" customFormat="false" ht="15" hidden="false" customHeight="false" outlineLevel="0" collapsed="false">
      <c r="A166" s="21" t="s">
        <v>189</v>
      </c>
      <c r="B166" s="21" t="s">
        <v>303</v>
      </c>
      <c r="C166" s="21" t="s">
        <v>303</v>
      </c>
      <c r="D166" s="37" t="n">
        <f aca="false">ROUND(Q166*R166,0)</f>
        <v>805</v>
      </c>
      <c r="E166" s="37" t="n">
        <f aca="false">ROUND(Q166,0)-D166</f>
        <v>708</v>
      </c>
      <c r="F166" s="37" t="n">
        <f aca="false">IF(COUNTA(D166:E166)=0,"",SUM(D166:E166))</f>
        <v>1513</v>
      </c>
      <c r="G166" s="52" t="n">
        <f aca="false">IF(OR(F166="",F166=0),"",D166/F166)</f>
        <v>0.532055518836748</v>
      </c>
      <c r="H166" s="52" t="n">
        <f aca="false">IF(OR(F166="",F166=0),"",E166/F166)</f>
        <v>0.467944481163252</v>
      </c>
      <c r="I166" s="21" t="s">
        <v>122</v>
      </c>
      <c r="J166" s="53" t="n">
        <v>1.24424911322721</v>
      </c>
      <c r="K166" s="52" t="n">
        <f aca="false">IF(G166="","",MAX(0,G166-J166/100))</f>
        <v>0.519613027704476</v>
      </c>
      <c r="L166" s="52" t="n">
        <f aca="false">IF(G166="","",MIN(1,G166+J166/100))</f>
        <v>0.54449800996902</v>
      </c>
      <c r="M166" s="37" t="n">
        <f aca="false">IF(F166="","",ROUND(F166*J166/100,0))</f>
        <v>19</v>
      </c>
      <c r="P166" s="54" t="n">
        <v>3.99033216429141</v>
      </c>
      <c r="Q166" s="55" t="n">
        <f aca="false">T166*$H$5</f>
        <v>1512.74151436031</v>
      </c>
      <c r="R166" s="56" t="n">
        <f aca="false">MAX(0,MIN(1,P166/100+$D$5))</f>
        <v>0.532120445024445</v>
      </c>
      <c r="S166" s="57" t="s">
        <v>225</v>
      </c>
      <c r="T166" s="55" t="n">
        <v>1512.74151436031</v>
      </c>
    </row>
    <row r="167" customFormat="false" ht="15" hidden="false" customHeight="false" outlineLevel="0" collapsed="false">
      <c r="A167" s="21" t="s">
        <v>189</v>
      </c>
      <c r="B167" s="21" t="s">
        <v>304</v>
      </c>
      <c r="C167" s="21" t="s">
        <v>305</v>
      </c>
      <c r="D167" s="37" t="n">
        <f aca="false">ROUND(Q167*R167,0)</f>
        <v>833</v>
      </c>
      <c r="E167" s="37" t="n">
        <f aca="false">ROUND(Q167,0)-D167</f>
        <v>1068</v>
      </c>
      <c r="F167" s="37" t="n">
        <f aca="false">IF(COUNTA(D167:E167)=0,"",SUM(D167:E167))</f>
        <v>1901</v>
      </c>
      <c r="G167" s="52" t="n">
        <f aca="false">IF(OR(F167="",F167=0),"",D167/F167)</f>
        <v>0.438190426091531</v>
      </c>
      <c r="H167" s="52" t="n">
        <f aca="false">IF(OR(F167="",F167=0),"",E167/F167)</f>
        <v>0.561809573908469</v>
      </c>
      <c r="I167" s="21" t="s">
        <v>122</v>
      </c>
      <c r="J167" s="53" t="n">
        <v>1.24424911322721</v>
      </c>
      <c r="K167" s="52" t="n">
        <f aca="false">IF(G167="","",MAX(0,G167-J167/100))</f>
        <v>0.425747934959259</v>
      </c>
      <c r="L167" s="52" t="n">
        <f aca="false">IF(G167="","",MIN(1,G167+J167/100))</f>
        <v>0.450632917223803</v>
      </c>
      <c r="M167" s="37" t="n">
        <f aca="false">IF(F167="","",ROUND(F167*J167/100,0))</f>
        <v>24</v>
      </c>
      <c r="P167" s="54" t="n">
        <v>-5.40496731756267</v>
      </c>
      <c r="Q167" s="55" t="n">
        <f aca="false">T167*$H$5</f>
        <v>1901.09148856393</v>
      </c>
      <c r="R167" s="56" t="n">
        <f aca="false">MAX(0,MIN(1,P167/100+$D$5))</f>
        <v>0.438167450205904</v>
      </c>
      <c r="S167" s="57" t="s">
        <v>225</v>
      </c>
      <c r="T167" s="55" t="n">
        <v>1901.09148856393</v>
      </c>
    </row>
    <row r="168" customFormat="false" ht="15" hidden="false" customHeight="false" outlineLevel="0" collapsed="false">
      <c r="A168" s="21" t="s">
        <v>189</v>
      </c>
      <c r="B168" s="21" t="s">
        <v>304</v>
      </c>
      <c r="C168" s="21" t="s">
        <v>306</v>
      </c>
      <c r="D168" s="37" t="n">
        <f aca="false">ROUND(Q168*R168,0)</f>
        <v>671</v>
      </c>
      <c r="E168" s="37" t="n">
        <f aca="false">ROUND(Q168,0)-D168</f>
        <v>1009</v>
      </c>
      <c r="F168" s="37" t="n">
        <f aca="false">IF(COUNTA(D168:E168)=0,"",SUM(D168:E168))</f>
        <v>1680</v>
      </c>
      <c r="G168" s="52" t="n">
        <f aca="false">IF(OR(F168="",F168=0),"",D168/F168)</f>
        <v>0.399404761904762</v>
      </c>
      <c r="H168" s="52" t="n">
        <f aca="false">IF(OR(F168="",F168=0),"",E168/F168)</f>
        <v>0.600595238095238</v>
      </c>
      <c r="I168" s="21" t="s">
        <v>122</v>
      </c>
      <c r="J168" s="53" t="n">
        <v>1.24424911322721</v>
      </c>
      <c r="K168" s="52" t="n">
        <f aca="false">IF(G168="","",MAX(0,G168-J168/100))</f>
        <v>0.38696227077249</v>
      </c>
      <c r="L168" s="52" t="n">
        <f aca="false">IF(G168="","",MIN(1,G168+J168/100))</f>
        <v>0.411847253037034</v>
      </c>
      <c r="M168" s="37" t="n">
        <f aca="false">IF(F168="","",ROUND(F168*J168/100,0))</f>
        <v>21</v>
      </c>
      <c r="P168" s="54" t="n">
        <v>-9.2853380946267</v>
      </c>
      <c r="Q168" s="55" t="n">
        <f aca="false">T168*$H$5</f>
        <v>1679.87969094923</v>
      </c>
      <c r="R168" s="56" t="n">
        <f aca="false">MAX(0,MIN(1,P168/100+$D$5))</f>
        <v>0.399363742435264</v>
      </c>
      <c r="S168" s="57" t="s">
        <v>225</v>
      </c>
      <c r="T168" s="55" t="n">
        <v>1679.87969094923</v>
      </c>
    </row>
    <row r="169" customFormat="false" ht="15" hidden="false" customHeight="false" outlineLevel="0" collapsed="false">
      <c r="A169" s="21" t="s">
        <v>189</v>
      </c>
      <c r="B169" s="21" t="s">
        <v>304</v>
      </c>
      <c r="C169" s="21" t="s">
        <v>307</v>
      </c>
      <c r="D169" s="37" t="n">
        <f aca="false">ROUND(Q169*R169,0)</f>
        <v>358</v>
      </c>
      <c r="E169" s="37" t="n">
        <f aca="false">ROUND(Q169,0)-D169</f>
        <v>541</v>
      </c>
      <c r="F169" s="37" t="n">
        <f aca="false">IF(COUNTA(D169:E169)=0,"",SUM(D169:E169))</f>
        <v>899</v>
      </c>
      <c r="G169" s="52" t="n">
        <f aca="false">IF(OR(F169="",F169=0),"",D169/F169)</f>
        <v>0.398220244716352</v>
      </c>
      <c r="H169" s="52" t="n">
        <f aca="false">IF(OR(F169="",F169=0),"",E169/F169)</f>
        <v>0.601779755283649</v>
      </c>
      <c r="I169" s="21" t="s">
        <v>122</v>
      </c>
      <c r="J169" s="53" t="n">
        <v>1.88510957763259</v>
      </c>
      <c r="K169" s="52" t="n">
        <f aca="false">IF(G169="","",MAX(0,G169-J169/100))</f>
        <v>0.379369148940026</v>
      </c>
      <c r="L169" s="52" t="n">
        <f aca="false">IF(G169="","",MIN(1,G169+J169/100))</f>
        <v>0.417071340492677</v>
      </c>
      <c r="M169" s="37" t="n">
        <f aca="false">IF(F169="","",ROUND(F169*J169/100,0))</f>
        <v>17</v>
      </c>
      <c r="P169" s="54" t="n">
        <v>-9.44481675716803</v>
      </c>
      <c r="Q169" s="55" t="n">
        <f aca="false">T169*$H$5</f>
        <v>898.819587628866</v>
      </c>
      <c r="R169" s="56" t="n">
        <f aca="false">MAX(0,MIN(1,P169/100+$D$5))</f>
        <v>0.39776895580985</v>
      </c>
      <c r="S169" s="57" t="s">
        <v>132</v>
      </c>
      <c r="T169" s="55" t="n">
        <v>898.819587628866</v>
      </c>
    </row>
    <row r="170" customFormat="false" ht="15" hidden="false" customHeight="false" outlineLevel="0" collapsed="false">
      <c r="A170" s="21" t="s">
        <v>189</v>
      </c>
      <c r="B170" s="21" t="s">
        <v>304</v>
      </c>
      <c r="C170" s="21" t="s">
        <v>308</v>
      </c>
      <c r="D170" s="37" t="n">
        <f aca="false">ROUND(Q170*R170,0)</f>
        <v>543</v>
      </c>
      <c r="E170" s="37" t="n">
        <f aca="false">ROUND(Q170,0)-D170</f>
        <v>784</v>
      </c>
      <c r="F170" s="37" t="n">
        <f aca="false">IF(COUNTA(D170:E170)=0,"",SUM(D170:E170))</f>
        <v>1327</v>
      </c>
      <c r="G170" s="52" t="n">
        <f aca="false">IF(OR(F170="",F170=0),"",D170/F170)</f>
        <v>0.409193669932178</v>
      </c>
      <c r="H170" s="52" t="n">
        <f aca="false">IF(OR(F170="",F170=0),"",E170/F170)</f>
        <v>0.590806330067822</v>
      </c>
      <c r="I170" s="21" t="s">
        <v>122</v>
      </c>
      <c r="J170" s="53" t="n">
        <v>1.24424911322721</v>
      </c>
      <c r="K170" s="52" t="n">
        <f aca="false">IF(G170="","",MAX(0,G170-J170/100))</f>
        <v>0.396751178799906</v>
      </c>
      <c r="L170" s="52" t="n">
        <f aca="false">IF(G170="","",MIN(1,G170+J170/100))</f>
        <v>0.42163616106445</v>
      </c>
      <c r="M170" s="37" t="n">
        <f aca="false">IF(F170="","",ROUND(F170*J170/100,0))</f>
        <v>17</v>
      </c>
      <c r="P170" s="54" t="n">
        <v>-8.31142085452264</v>
      </c>
      <c r="Q170" s="55" t="n">
        <f aca="false">T170*$H$5</f>
        <v>1327.11285266458</v>
      </c>
      <c r="R170" s="56" t="n">
        <f aca="false">MAX(0,MIN(1,P170/100+$D$5))</f>
        <v>0.409102914836304</v>
      </c>
      <c r="S170" s="57" t="s">
        <v>225</v>
      </c>
      <c r="T170" s="55" t="n">
        <v>1327.11285266458</v>
      </c>
    </row>
    <row r="171" customFormat="false" ht="15" hidden="false" customHeight="false" outlineLevel="0" collapsed="false">
      <c r="A171" s="21" t="s">
        <v>189</v>
      </c>
      <c r="B171" s="21" t="s">
        <v>304</v>
      </c>
      <c r="C171" s="21" t="s">
        <v>309</v>
      </c>
      <c r="D171" s="37" t="n">
        <f aca="false">ROUND(Q171*R171,0)</f>
        <v>453</v>
      </c>
      <c r="E171" s="37" t="n">
        <f aca="false">ROUND(Q171,0)-D171</f>
        <v>718</v>
      </c>
      <c r="F171" s="37" t="n">
        <f aca="false">IF(COUNTA(D171:E171)=0,"",SUM(D171:E171))</f>
        <v>1171</v>
      </c>
      <c r="G171" s="52" t="n">
        <f aca="false">IF(OR(F171="",F171=0),"",D171/F171)</f>
        <v>0.386848847139197</v>
      </c>
      <c r="H171" s="52" t="n">
        <f aca="false">IF(OR(F171="",F171=0),"",E171/F171)</f>
        <v>0.613151152860803</v>
      </c>
      <c r="I171" s="21" t="s">
        <v>122</v>
      </c>
      <c r="J171" s="53" t="n">
        <v>1.88510957763259</v>
      </c>
      <c r="K171" s="52" t="n">
        <f aca="false">IF(G171="","",MAX(0,G171-J171/100))</f>
        <v>0.367997751362871</v>
      </c>
      <c r="L171" s="52" t="n">
        <f aca="false">IF(G171="","",MIN(1,G171+J171/100))</f>
        <v>0.405699942915523</v>
      </c>
      <c r="M171" s="37" t="n">
        <f aca="false">IF(F171="","",ROUND(F171*J171/100,0))</f>
        <v>22</v>
      </c>
      <c r="P171" s="54" t="n">
        <v>-10.5114723323289</v>
      </c>
      <c r="Q171" s="55" t="n">
        <f aca="false">T171*$H$5</f>
        <v>1170.83890577508</v>
      </c>
      <c r="R171" s="56" t="n">
        <f aca="false">MAX(0,MIN(1,P171/100+$D$5))</f>
        <v>0.387102400058242</v>
      </c>
      <c r="S171" s="57" t="s">
        <v>132</v>
      </c>
      <c r="T171" s="55" t="n">
        <v>1170.83890577508</v>
      </c>
    </row>
    <row r="172" customFormat="false" ht="15" hidden="false" customHeight="false" outlineLevel="0" collapsed="false">
      <c r="A172" s="21" t="s">
        <v>189</v>
      </c>
      <c r="B172" s="21" t="s">
        <v>304</v>
      </c>
      <c r="C172" s="21" t="s">
        <v>310</v>
      </c>
      <c r="D172" s="37" t="n">
        <f aca="false">ROUND(Q172*R172,0)</f>
        <v>400</v>
      </c>
      <c r="E172" s="37" t="n">
        <f aca="false">ROUND(Q172,0)-D172</f>
        <v>513</v>
      </c>
      <c r="F172" s="37" t="n">
        <f aca="false">IF(COUNTA(D172:E172)=0,"",SUM(D172:E172))</f>
        <v>913</v>
      </c>
      <c r="G172" s="52" t="n">
        <f aca="false">IF(OR(F172="",F172=0),"",D172/F172)</f>
        <v>0.438116100766703</v>
      </c>
      <c r="H172" s="52" t="n">
        <f aca="false">IF(OR(F172="",F172=0),"",E172/F172)</f>
        <v>0.561883899233297</v>
      </c>
      <c r="I172" s="21" t="s">
        <v>122</v>
      </c>
      <c r="J172" s="53" t="n">
        <v>1.88510957763259</v>
      </c>
      <c r="K172" s="52" t="n">
        <f aca="false">IF(G172="","",MAX(0,G172-J172/100))</f>
        <v>0.419265004990377</v>
      </c>
      <c r="L172" s="52" t="n">
        <f aca="false">IF(G172="","",MIN(1,G172+J172/100))</f>
        <v>0.456967196543029</v>
      </c>
      <c r="M172" s="37" t="n">
        <f aca="false">IF(F172="","",ROUND(F172*J172/100,0))</f>
        <v>17</v>
      </c>
      <c r="P172" s="54" t="n">
        <v>-5.44643244666057</v>
      </c>
      <c r="Q172" s="55" t="n">
        <f aca="false">T172*$H$5</f>
        <v>912.990356083087</v>
      </c>
      <c r="R172" s="56" t="n">
        <f aca="false">MAX(0,MIN(1,P172/100+$D$5))</f>
        <v>0.437752798914925</v>
      </c>
      <c r="S172" s="57" t="s">
        <v>132</v>
      </c>
      <c r="T172" s="55" t="n">
        <v>912.990356083087</v>
      </c>
    </row>
    <row r="173" customFormat="false" ht="15" hidden="false" customHeight="false" outlineLevel="0" collapsed="false">
      <c r="A173" s="21" t="s">
        <v>189</v>
      </c>
      <c r="B173" s="21" t="s">
        <v>311</v>
      </c>
      <c r="C173" s="21" t="s">
        <v>312</v>
      </c>
      <c r="D173" s="37" t="n">
        <f aca="false">ROUND(Q173*R173,0)</f>
        <v>518</v>
      </c>
      <c r="E173" s="37" t="n">
        <f aca="false">ROUND(Q173,0)-D173</f>
        <v>501</v>
      </c>
      <c r="F173" s="37" t="n">
        <f aca="false">IF(COUNTA(D173:E173)=0,"",SUM(D173:E173))</f>
        <v>1019</v>
      </c>
      <c r="G173" s="52" t="n">
        <f aca="false">IF(OR(F173="",F173=0),"",D173/F173)</f>
        <v>0.508341511285574</v>
      </c>
      <c r="H173" s="52" t="n">
        <f aca="false">IF(OR(F173="",F173=0),"",E173/F173)</f>
        <v>0.491658488714426</v>
      </c>
      <c r="I173" s="21" t="s">
        <v>122</v>
      </c>
      <c r="J173" s="53" t="n">
        <v>1.88510957763259</v>
      </c>
      <c r="K173" s="52" t="n">
        <f aca="false">IF(G173="","",MAX(0,G173-J173/100))</f>
        <v>0.489490415509248</v>
      </c>
      <c r="L173" s="52" t="n">
        <f aca="false">IF(G173="","",MIN(1,G173+J173/100))</f>
        <v>0.5271926070619</v>
      </c>
      <c r="M173" s="37" t="n">
        <f aca="false">IF(F173="","",ROUND(F173*J173/100,0))</f>
        <v>19</v>
      </c>
      <c r="P173" s="54" t="n">
        <v>1.62814915491768</v>
      </c>
      <c r="Q173" s="55" t="n">
        <f aca="false">T173*$H$5</f>
        <v>1018.96641574986</v>
      </c>
      <c r="R173" s="56" t="n">
        <f aca="false">MAX(0,MIN(1,P173/100+$D$5))</f>
        <v>0.508498614930708</v>
      </c>
      <c r="S173" s="57" t="s">
        <v>132</v>
      </c>
      <c r="T173" s="55" t="n">
        <v>1018.96641574986</v>
      </c>
    </row>
    <row r="174" customFormat="false" ht="15" hidden="false" customHeight="false" outlineLevel="0" collapsed="false">
      <c r="A174" s="21" t="s">
        <v>189</v>
      </c>
      <c r="B174" s="21" t="s">
        <v>311</v>
      </c>
      <c r="C174" s="21" t="s">
        <v>313</v>
      </c>
      <c r="D174" s="37" t="n">
        <f aca="false">ROUND(Q174*R174,0)</f>
        <v>636</v>
      </c>
      <c r="E174" s="37" t="n">
        <f aca="false">ROUND(Q174,0)-D174</f>
        <v>595</v>
      </c>
      <c r="F174" s="37" t="n">
        <f aca="false">IF(COUNTA(D174:E174)=0,"",SUM(D174:E174))</f>
        <v>1231</v>
      </c>
      <c r="G174" s="52" t="n">
        <f aca="false">IF(OR(F174="",F174=0),"",D174/F174)</f>
        <v>0.516653127538587</v>
      </c>
      <c r="H174" s="52" t="n">
        <f aca="false">IF(OR(F174="",F174=0),"",E174/F174)</f>
        <v>0.483346872461414</v>
      </c>
      <c r="I174" s="21" t="s">
        <v>122</v>
      </c>
      <c r="J174" s="53" t="n">
        <v>1.24424911322721</v>
      </c>
      <c r="K174" s="52" t="n">
        <f aca="false">IF(G174="","",MAX(0,G174-J174/100))</f>
        <v>0.504210636406315</v>
      </c>
      <c r="L174" s="52" t="n">
        <f aca="false">IF(G174="","",MIN(1,G174+J174/100))</f>
        <v>0.529095618670859</v>
      </c>
      <c r="M174" s="37" t="n">
        <f aca="false">IF(F174="","",ROUND(F174*J174/100,0))</f>
        <v>15</v>
      </c>
      <c r="P174" s="54" t="n">
        <v>2.45789956206802</v>
      </c>
      <c r="Q174" s="55" t="n">
        <f aca="false">T174*$H$5</f>
        <v>1230.79069767442</v>
      </c>
      <c r="R174" s="56" t="n">
        <f aca="false">MAX(0,MIN(1,P174/100+$D$5))</f>
        <v>0.516796119002211</v>
      </c>
      <c r="S174" s="57" t="s">
        <v>225</v>
      </c>
      <c r="T174" s="55" t="n">
        <v>1230.79069767442</v>
      </c>
    </row>
    <row r="175" customFormat="false" ht="15" hidden="false" customHeight="false" outlineLevel="0" collapsed="false">
      <c r="A175" s="21" t="s">
        <v>189</v>
      </c>
      <c r="B175" s="21" t="s">
        <v>311</v>
      </c>
      <c r="C175" s="21" t="s">
        <v>314</v>
      </c>
      <c r="D175" s="37" t="n">
        <f aca="false">ROUND(Q175*R175,0)</f>
        <v>282</v>
      </c>
      <c r="E175" s="37" t="n">
        <f aca="false">ROUND(Q175,0)-D175</f>
        <v>272</v>
      </c>
      <c r="F175" s="37" t="n">
        <f aca="false">IF(COUNTA(D175:E175)=0,"",SUM(D175:E175))</f>
        <v>554</v>
      </c>
      <c r="G175" s="52" t="n">
        <f aca="false">IF(OR(F175="",F175=0),"",D175/F175)</f>
        <v>0.509025270758123</v>
      </c>
      <c r="H175" s="52" t="n">
        <f aca="false">IF(OR(F175="",F175=0),"",E175/F175)</f>
        <v>0.490974729241877</v>
      </c>
      <c r="I175" s="21" t="s">
        <v>122</v>
      </c>
      <c r="J175" s="53" t="n">
        <v>3.15466234357281</v>
      </c>
      <c r="K175" s="52" t="n">
        <f aca="false">IF(G175="","",MAX(0,G175-J175/100))</f>
        <v>0.477478647322395</v>
      </c>
      <c r="L175" s="52" t="n">
        <f aca="false">IF(G175="","",MIN(1,G175+J175/100))</f>
        <v>0.540571894193851</v>
      </c>
      <c r="M175" s="37" t="n">
        <f aca="false">IF(F175="","",ROUND(F175*J175/100,0))</f>
        <v>17</v>
      </c>
      <c r="P175" s="54" t="n">
        <v>1.62536100661203</v>
      </c>
      <c r="Q175" s="55" t="n">
        <f aca="false">T175*$H$5</f>
        <v>553.927710843374</v>
      </c>
      <c r="R175" s="56" t="n">
        <f aca="false">MAX(0,MIN(1,P175/100+$D$5))</f>
        <v>0.508470733447651</v>
      </c>
      <c r="S175" s="57" t="s">
        <v>123</v>
      </c>
      <c r="T175" s="55" t="n">
        <v>553.927710843374</v>
      </c>
    </row>
    <row r="176" customFormat="false" ht="15" hidden="false" customHeight="false" outlineLevel="0" collapsed="false">
      <c r="A176" s="21" t="s">
        <v>189</v>
      </c>
      <c r="B176" s="21" t="s">
        <v>311</v>
      </c>
      <c r="C176" s="21" t="s">
        <v>315</v>
      </c>
      <c r="D176" s="37" t="n">
        <f aca="false">ROUND(Q176*R176,0)</f>
        <v>329</v>
      </c>
      <c r="E176" s="37" t="n">
        <f aca="false">ROUND(Q176,0)-D176</f>
        <v>309</v>
      </c>
      <c r="F176" s="37" t="n">
        <f aca="false">IF(COUNTA(D176:E176)=0,"",SUM(D176:E176))</f>
        <v>638</v>
      </c>
      <c r="G176" s="52" t="n">
        <f aca="false">IF(OR(F176="",F176=0),"",D176/F176)</f>
        <v>0.515673981191223</v>
      </c>
      <c r="H176" s="52" t="n">
        <f aca="false">IF(OR(F176="",F176=0),"",E176/F176)</f>
        <v>0.484326018808777</v>
      </c>
      <c r="I176" s="21" t="s">
        <v>122</v>
      </c>
      <c r="J176" s="53" t="n">
        <v>3.15466234357281</v>
      </c>
      <c r="K176" s="52" t="n">
        <f aca="false">IF(G176="","",MAX(0,G176-J176/100))</f>
        <v>0.484127357755494</v>
      </c>
      <c r="L176" s="52" t="n">
        <f aca="false">IF(G176="","",MIN(1,G176+J176/100))</f>
        <v>0.547220604626951</v>
      </c>
      <c r="M176" s="37" t="n">
        <f aca="false">IF(F176="","",ROUND(F176*J176/100,0))</f>
        <v>20</v>
      </c>
      <c r="P176" s="54" t="n">
        <v>2.41282210585775</v>
      </c>
      <c r="Q176" s="55" t="n">
        <f aca="false">T176*$H$5</f>
        <v>638.017946161515</v>
      </c>
      <c r="R176" s="56" t="n">
        <f aca="false">MAX(0,MIN(1,P176/100+$D$5))</f>
        <v>0.516345344440108</v>
      </c>
      <c r="S176" s="57" t="s">
        <v>123</v>
      </c>
      <c r="T176" s="55" t="n">
        <v>638.017946161515</v>
      </c>
    </row>
    <row r="177" customFormat="false" ht="15" hidden="false" customHeight="false" outlineLevel="0" collapsed="false">
      <c r="A177" s="21" t="s">
        <v>189</v>
      </c>
      <c r="B177" s="21" t="s">
        <v>311</v>
      </c>
      <c r="C177" s="21" t="s">
        <v>316</v>
      </c>
      <c r="D177" s="37" t="n">
        <f aca="false">ROUND(Q177*R177,0)</f>
        <v>427</v>
      </c>
      <c r="E177" s="37" t="n">
        <f aca="false">ROUND(Q177,0)-D177</f>
        <v>429</v>
      </c>
      <c r="F177" s="37" t="n">
        <f aca="false">IF(COUNTA(D177:E177)=0,"",SUM(D177:E177))</f>
        <v>856</v>
      </c>
      <c r="G177" s="52" t="n">
        <f aca="false">IF(OR(F177="",F177=0),"",D177/F177)</f>
        <v>0.498831775700935</v>
      </c>
      <c r="H177" s="52" t="n">
        <f aca="false">IF(OR(F177="",F177=0),"",E177/F177)</f>
        <v>0.501168224299065</v>
      </c>
      <c r="I177" s="21" t="s">
        <v>122</v>
      </c>
      <c r="J177" s="53" t="n">
        <v>1.88510957763259</v>
      </c>
      <c r="K177" s="52" t="n">
        <f aca="false">IF(G177="","",MAX(0,G177-J177/100))</f>
        <v>0.479980679924609</v>
      </c>
      <c r="L177" s="52" t="n">
        <f aca="false">IF(G177="","",MIN(1,G177+J177/100))</f>
        <v>0.51768287147726</v>
      </c>
      <c r="M177" s="37" t="n">
        <f aca="false">IF(F177="","",ROUND(F177*J177/100,0))</f>
        <v>16</v>
      </c>
      <c r="P177" s="54" t="n">
        <v>0.710711163500025</v>
      </c>
      <c r="Q177" s="55" t="n">
        <f aca="false">T177*$H$5</f>
        <v>855.646785437645</v>
      </c>
      <c r="R177" s="56" t="n">
        <f aca="false">MAX(0,MIN(1,P177/100+$D$5))</f>
        <v>0.499324235016531</v>
      </c>
      <c r="S177" s="57" t="s">
        <v>132</v>
      </c>
      <c r="T177" s="55" t="n">
        <v>855.646785437645</v>
      </c>
    </row>
    <row r="178" customFormat="false" ht="15" hidden="false" customHeight="false" outlineLevel="0" collapsed="false">
      <c r="A178" s="21" t="s">
        <v>189</v>
      </c>
      <c r="B178" s="21" t="s">
        <v>311</v>
      </c>
      <c r="C178" s="21" t="s">
        <v>317</v>
      </c>
      <c r="D178" s="37" t="n">
        <f aca="false">ROUND(Q178*R178,0)</f>
        <v>278</v>
      </c>
      <c r="E178" s="37" t="n">
        <f aca="false">ROUND(Q178,0)-D178</f>
        <v>289</v>
      </c>
      <c r="F178" s="37" t="n">
        <f aca="false">IF(COUNTA(D178:E178)=0,"",SUM(D178:E178))</f>
        <v>567</v>
      </c>
      <c r="G178" s="52" t="n">
        <f aca="false">IF(OR(F178="",F178=0),"",D178/F178)</f>
        <v>0.490299823633157</v>
      </c>
      <c r="H178" s="52" t="n">
        <f aca="false">IF(OR(F178="",F178=0),"",E178/F178)</f>
        <v>0.509700176366843</v>
      </c>
      <c r="I178" s="21" t="s">
        <v>122</v>
      </c>
      <c r="J178" s="53" t="n">
        <v>3.15466234357281</v>
      </c>
      <c r="K178" s="52" t="n">
        <f aca="false">IF(G178="","",MAX(0,G178-J178/100))</f>
        <v>0.458753200197429</v>
      </c>
      <c r="L178" s="52" t="n">
        <f aca="false">IF(G178="","",MIN(1,G178+J178/100))</f>
        <v>0.521846447068885</v>
      </c>
      <c r="M178" s="37" t="n">
        <f aca="false">IF(F178="","",ROUND(F178*J178/100,0))</f>
        <v>18</v>
      </c>
      <c r="P178" s="54" t="n">
        <v>-0.150491016795949</v>
      </c>
      <c r="Q178" s="55" t="n">
        <f aca="false">T178*$H$5</f>
        <v>566.944444444444</v>
      </c>
      <c r="R178" s="56" t="n">
        <f aca="false">MAX(0,MIN(1,P178/100+$D$5))</f>
        <v>0.490712213213571</v>
      </c>
      <c r="S178" s="57" t="s">
        <v>123</v>
      </c>
      <c r="T178" s="55" t="n">
        <v>566.944444444444</v>
      </c>
    </row>
    <row r="179" customFormat="false" ht="15" hidden="false" customHeight="false" outlineLevel="0" collapsed="false">
      <c r="A179" s="21" t="s">
        <v>189</v>
      </c>
      <c r="B179" s="21" t="s">
        <v>311</v>
      </c>
      <c r="C179" s="21" t="s">
        <v>318</v>
      </c>
      <c r="D179" s="37" t="n">
        <f aca="false">ROUND(Q179*R179,0)</f>
        <v>352</v>
      </c>
      <c r="E179" s="37" t="n">
        <f aca="false">ROUND(Q179,0)-D179</f>
        <v>307</v>
      </c>
      <c r="F179" s="37" t="n">
        <f aca="false">IF(COUNTA(D179:E179)=0,"",SUM(D179:E179))</f>
        <v>659</v>
      </c>
      <c r="G179" s="52" t="n">
        <f aca="false">IF(OR(F179="",F179=0),"",D179/F179)</f>
        <v>0.534142640364188</v>
      </c>
      <c r="H179" s="52" t="n">
        <f aca="false">IF(OR(F179="",F179=0),"",E179/F179)</f>
        <v>0.465857359635812</v>
      </c>
      <c r="I179" s="21" t="s">
        <v>122</v>
      </c>
      <c r="J179" s="53" t="n">
        <v>3.15466234357281</v>
      </c>
      <c r="K179" s="52" t="n">
        <f aca="false">IF(G179="","",MAX(0,G179-J179/100))</f>
        <v>0.50259601692846</v>
      </c>
      <c r="L179" s="52" t="n">
        <f aca="false">IF(G179="","",MIN(1,G179+J179/100))</f>
        <v>0.565689263799916</v>
      </c>
      <c r="M179" s="37" t="n">
        <f aca="false">IF(F179="","",ROUND(F179*J179/100,0))</f>
        <v>21</v>
      </c>
      <c r="P179" s="54" t="n">
        <v>4.12146330089955</v>
      </c>
      <c r="Q179" s="55" t="n">
        <f aca="false">T179*$H$5</f>
        <v>659.34455667789</v>
      </c>
      <c r="R179" s="56" t="n">
        <f aca="false">MAX(0,MIN(1,P179/100+$D$5))</f>
        <v>0.533431756390526</v>
      </c>
      <c r="S179" s="57" t="s">
        <v>123</v>
      </c>
      <c r="T179" s="55" t="n">
        <v>659.34455667789</v>
      </c>
    </row>
    <row r="180" customFormat="false" ht="15" hidden="false" customHeight="false" outlineLevel="0" collapsed="false">
      <c r="A180" s="21" t="s">
        <v>189</v>
      </c>
      <c r="B180" s="21" t="s">
        <v>311</v>
      </c>
      <c r="C180" s="21" t="s">
        <v>319</v>
      </c>
      <c r="D180" s="37" t="n">
        <f aca="false">ROUND(Q180*R180,0)</f>
        <v>459</v>
      </c>
      <c r="E180" s="37" t="n">
        <f aca="false">ROUND(Q180,0)-D180</f>
        <v>441</v>
      </c>
      <c r="F180" s="37" t="n">
        <f aca="false">IF(COUNTA(D180:E180)=0,"",SUM(D180:E180))</f>
        <v>900</v>
      </c>
      <c r="G180" s="52" t="n">
        <f aca="false">IF(OR(F180="",F180=0),"",D180/F180)</f>
        <v>0.51</v>
      </c>
      <c r="H180" s="52" t="n">
        <f aca="false">IF(OR(F180="",F180=0),"",E180/F180)</f>
        <v>0.49</v>
      </c>
      <c r="I180" s="21" t="s">
        <v>122</v>
      </c>
      <c r="J180" s="53" t="n">
        <v>1.88510957763259</v>
      </c>
      <c r="K180" s="52" t="n">
        <f aca="false">IF(G180="","",MAX(0,G180-J180/100))</f>
        <v>0.491148904223674</v>
      </c>
      <c r="L180" s="52" t="n">
        <f aca="false">IF(G180="","",MIN(1,G180+J180/100))</f>
        <v>0.528851095776326</v>
      </c>
      <c r="M180" s="37" t="n">
        <f aca="false">IF(F180="","",ROUND(F180*J180/100,0))</f>
        <v>17</v>
      </c>
      <c r="P180" s="54" t="n">
        <v>1.73428009504041</v>
      </c>
      <c r="Q180" s="55" t="n">
        <f aca="false">T180*$H$5</f>
        <v>900.130434782609</v>
      </c>
      <c r="R180" s="56" t="n">
        <f aca="false">MAX(0,MIN(1,P180/100+$D$5))</f>
        <v>0.509559924331935</v>
      </c>
      <c r="S180" s="57" t="s">
        <v>132</v>
      </c>
      <c r="T180" s="55" t="n">
        <v>900.130434782609</v>
      </c>
    </row>
    <row r="181" customFormat="false" ht="15" hidden="false" customHeight="false" outlineLevel="0" collapsed="false">
      <c r="A181" s="21" t="s">
        <v>189</v>
      </c>
      <c r="B181" s="21" t="s">
        <v>320</v>
      </c>
      <c r="C181" s="21" t="s">
        <v>321</v>
      </c>
      <c r="D181" s="37" t="n">
        <f aca="false">ROUND(Q181*R181,0)</f>
        <v>175</v>
      </c>
      <c r="E181" s="37" t="n">
        <f aca="false">ROUND(Q181,0)-D181</f>
        <v>216</v>
      </c>
      <c r="F181" s="37" t="n">
        <f aca="false">IF(COUNTA(D181:E181)=0,"",SUM(D181:E181))</f>
        <v>391</v>
      </c>
      <c r="G181" s="52" t="n">
        <f aca="false">IF(OR(F181="",F181=0),"",D181/F181)</f>
        <v>0.447570332480818</v>
      </c>
      <c r="H181" s="52" t="n">
        <f aca="false">IF(OR(F181="",F181=0),"",E181/F181)</f>
        <v>0.552429667519182</v>
      </c>
      <c r="I181" s="21" t="s">
        <v>122</v>
      </c>
      <c r="J181" s="53" t="n">
        <v>3.15466234357281</v>
      </c>
      <c r="K181" s="52" t="n">
        <f aca="false">IF(G181="","",MAX(0,G181-J181/100))</f>
        <v>0.41602370904509</v>
      </c>
      <c r="L181" s="52" t="n">
        <f aca="false">IF(G181="","",MIN(1,G181+J181/100))</f>
        <v>0.479116955916547</v>
      </c>
      <c r="M181" s="37" t="n">
        <f aca="false">IF(F181="","",ROUND(F181*J181/100,0))</f>
        <v>12</v>
      </c>
      <c r="P181" s="54" t="n">
        <v>-4.46769637360979</v>
      </c>
      <c r="Q181" s="55" t="n">
        <f aca="false">T181*$H$5</f>
        <v>390.71668667467</v>
      </c>
      <c r="R181" s="56" t="n">
        <f aca="false">MAX(0,MIN(1,P181/100+$D$5))</f>
        <v>0.447540159645433</v>
      </c>
      <c r="S181" s="57" t="s">
        <v>123</v>
      </c>
      <c r="T181" s="55" t="n">
        <v>390.71668667467</v>
      </c>
    </row>
    <row r="182" customFormat="false" ht="15" hidden="false" customHeight="false" outlineLevel="0" collapsed="false">
      <c r="A182" s="21" t="s">
        <v>189</v>
      </c>
      <c r="B182" s="21" t="s">
        <v>320</v>
      </c>
      <c r="C182" s="21" t="s">
        <v>322</v>
      </c>
      <c r="D182" s="37" t="n">
        <f aca="false">ROUND(Q182*R182,0)</f>
        <v>129</v>
      </c>
      <c r="E182" s="37" t="n">
        <f aca="false">ROUND(Q182,0)-D182</f>
        <v>187</v>
      </c>
      <c r="F182" s="37" t="n">
        <f aca="false">IF(COUNTA(D182:E182)=0,"",SUM(D182:E182))</f>
        <v>316</v>
      </c>
      <c r="G182" s="52" t="n">
        <f aca="false">IF(OR(F182="",F182=0),"",D182/F182)</f>
        <v>0.408227848101266</v>
      </c>
      <c r="H182" s="52" t="n">
        <f aca="false">IF(OR(F182="",F182=0),"",E182/F182)</f>
        <v>0.591772151898734</v>
      </c>
      <c r="I182" s="21" t="s">
        <v>122</v>
      </c>
      <c r="J182" s="53" t="n">
        <v>3.15466234357281</v>
      </c>
      <c r="K182" s="52" t="n">
        <f aca="false">IF(G182="","",MAX(0,G182-J182/100))</f>
        <v>0.376681224665538</v>
      </c>
      <c r="L182" s="52" t="n">
        <f aca="false">IF(G182="","",MIN(1,G182+J182/100))</f>
        <v>0.439774471536994</v>
      </c>
      <c r="M182" s="37" t="n">
        <f aca="false">IF(F182="","",ROUND(F182*J182/100,0))</f>
        <v>10</v>
      </c>
      <c r="P182" s="54" t="n">
        <v>-8.33908316498006</v>
      </c>
      <c r="Q182" s="55" t="n">
        <f aca="false">T182*$H$5</f>
        <v>316.23569023569</v>
      </c>
      <c r="R182" s="56" t="n">
        <f aca="false">MAX(0,MIN(1,P182/100+$D$5))</f>
        <v>0.40882629173173</v>
      </c>
      <c r="S182" s="57" t="s">
        <v>123</v>
      </c>
      <c r="T182" s="55" t="n">
        <v>316.23569023569</v>
      </c>
    </row>
    <row r="183" customFormat="false" ht="15" hidden="false" customHeight="false" outlineLevel="0" collapsed="false">
      <c r="A183" s="21" t="s">
        <v>189</v>
      </c>
      <c r="B183" s="21" t="s">
        <v>320</v>
      </c>
      <c r="C183" s="21" t="s">
        <v>323</v>
      </c>
      <c r="D183" s="37" t="n">
        <f aca="false">ROUND(Q183*R183,0)</f>
        <v>296</v>
      </c>
      <c r="E183" s="37" t="n">
        <f aca="false">ROUND(Q183,0)-D183</f>
        <v>388</v>
      </c>
      <c r="F183" s="37" t="n">
        <f aca="false">IF(COUNTA(D183:E183)=0,"",SUM(D183:E183))</f>
        <v>684</v>
      </c>
      <c r="G183" s="52" t="n">
        <f aca="false">IF(OR(F183="",F183=0),"",D183/F183)</f>
        <v>0.432748538011696</v>
      </c>
      <c r="H183" s="52" t="n">
        <f aca="false">IF(OR(F183="",F183=0),"",E183/F183)</f>
        <v>0.567251461988304</v>
      </c>
      <c r="I183" s="21" t="s">
        <v>122</v>
      </c>
      <c r="J183" s="53" t="n">
        <v>3.15466234357281</v>
      </c>
      <c r="K183" s="52" t="n">
        <f aca="false">IF(G183="","",MAX(0,G183-J183/100))</f>
        <v>0.401201914575968</v>
      </c>
      <c r="L183" s="52" t="n">
        <f aca="false">IF(G183="","",MIN(1,G183+J183/100))</f>
        <v>0.464295161447424</v>
      </c>
      <c r="M183" s="37" t="n">
        <f aca="false">IF(F183="","",ROUND(F183*J183/100,0))</f>
        <v>22</v>
      </c>
      <c r="P183" s="54" t="n">
        <v>-6.01620758870377</v>
      </c>
      <c r="Q183" s="55" t="n">
        <f aca="false">T183*$H$5</f>
        <v>684.341030195381</v>
      </c>
      <c r="R183" s="56" t="n">
        <f aca="false">MAX(0,MIN(1,P183/100+$D$5))</f>
        <v>0.432055047494493</v>
      </c>
      <c r="S183" s="57" t="s">
        <v>123</v>
      </c>
      <c r="T183" s="55" t="n">
        <v>684.341030195381</v>
      </c>
    </row>
    <row r="184" customFormat="false" ht="15" hidden="false" customHeight="false" outlineLevel="0" collapsed="false">
      <c r="A184" s="21" t="s">
        <v>189</v>
      </c>
      <c r="B184" s="21" t="s">
        <v>324</v>
      </c>
      <c r="C184" s="21" t="s">
        <v>325</v>
      </c>
      <c r="D184" s="37" t="n">
        <f aca="false">ROUND(Q184*R184,0)</f>
        <v>724</v>
      </c>
      <c r="E184" s="37" t="n">
        <f aca="false">ROUND(Q184,0)-D184</f>
        <v>695</v>
      </c>
      <c r="F184" s="37" t="n">
        <f aca="false">IF(COUNTA(D184:E184)=0,"",SUM(D184:E184))</f>
        <v>1419</v>
      </c>
      <c r="G184" s="52" t="n">
        <f aca="false">IF(OR(F184="",F184=0),"",D184/F184)</f>
        <v>0.510218463706836</v>
      </c>
      <c r="H184" s="52" t="n">
        <f aca="false">IF(OR(F184="",F184=0),"",E184/F184)</f>
        <v>0.489781536293164</v>
      </c>
      <c r="I184" s="21" t="s">
        <v>122</v>
      </c>
      <c r="J184" s="53" t="n">
        <v>1.24424911322721</v>
      </c>
      <c r="K184" s="52" t="n">
        <f aca="false">IF(G184="","",MAX(0,G184-J184/100))</f>
        <v>0.497775972574564</v>
      </c>
      <c r="L184" s="52" t="n">
        <f aca="false">IF(G184="","",MIN(1,G184+J184/100))</f>
        <v>0.522660954839108</v>
      </c>
      <c r="M184" s="37" t="n">
        <f aca="false">IF(F184="","",ROUND(F184*J184/100,0))</f>
        <v>18</v>
      </c>
      <c r="P184" s="54" t="n">
        <v>1.80116269264851</v>
      </c>
      <c r="Q184" s="55" t="n">
        <f aca="false">T184*$H$5</f>
        <v>1418.72759856631</v>
      </c>
      <c r="R184" s="56" t="n">
        <f aca="false">MAX(0,MIN(1,P184/100+$D$5))</f>
        <v>0.510228750308016</v>
      </c>
      <c r="S184" s="57" t="s">
        <v>225</v>
      </c>
      <c r="T184" s="55" t="n">
        <v>1418.72759856631</v>
      </c>
    </row>
    <row r="185" customFormat="false" ht="15" hidden="false" customHeight="false" outlineLevel="0" collapsed="false">
      <c r="A185" s="21" t="s">
        <v>189</v>
      </c>
      <c r="B185" s="21" t="s">
        <v>324</v>
      </c>
      <c r="C185" s="21" t="s">
        <v>326</v>
      </c>
      <c r="D185" s="37" t="n">
        <f aca="false">ROUND(Q185*R185,0)</f>
        <v>339</v>
      </c>
      <c r="E185" s="37" t="n">
        <f aca="false">ROUND(Q185,0)-D185</f>
        <v>322</v>
      </c>
      <c r="F185" s="37" t="n">
        <f aca="false">IF(COUNTA(D185:E185)=0,"",SUM(D185:E185))</f>
        <v>661</v>
      </c>
      <c r="G185" s="52" t="n">
        <f aca="false">IF(OR(F185="",F185=0),"",D185/F185)</f>
        <v>0.51285930408472</v>
      </c>
      <c r="H185" s="52" t="n">
        <f aca="false">IF(OR(F185="",F185=0),"",E185/F185)</f>
        <v>0.48714069591528</v>
      </c>
      <c r="I185" s="21" t="s">
        <v>122</v>
      </c>
      <c r="J185" s="53" t="n">
        <v>3.15466234357281</v>
      </c>
      <c r="K185" s="52" t="n">
        <f aca="false">IF(G185="","",MAX(0,G185-J185/100))</f>
        <v>0.481312680648992</v>
      </c>
      <c r="L185" s="52" t="n">
        <f aca="false">IF(G185="","",MIN(1,G185+J185/100))</f>
        <v>0.544405927520448</v>
      </c>
      <c r="M185" s="37" t="n">
        <f aca="false">IF(F185="","",ROUND(F185*J185/100,0))</f>
        <v>21</v>
      </c>
      <c r="P185" s="54" t="n">
        <v>2.01051357041199</v>
      </c>
      <c r="Q185" s="55" t="n">
        <f aca="false">T185*$H$5</f>
        <v>660.903056768559</v>
      </c>
      <c r="R185" s="56" t="n">
        <f aca="false">MAX(0,MIN(1,P185/100+$D$5))</f>
        <v>0.512322259085651</v>
      </c>
      <c r="S185" s="57" t="s">
        <v>123</v>
      </c>
      <c r="T185" s="55" t="n">
        <v>660.903056768559</v>
      </c>
    </row>
    <row r="186" customFormat="false" ht="15" hidden="false" customHeight="false" outlineLevel="0" collapsed="false">
      <c r="A186" s="21" t="s">
        <v>189</v>
      </c>
      <c r="B186" s="21" t="s">
        <v>324</v>
      </c>
      <c r="C186" s="21" t="s">
        <v>327</v>
      </c>
      <c r="D186" s="37" t="n">
        <f aca="false">ROUND(Q186*R186,0)</f>
        <v>956</v>
      </c>
      <c r="E186" s="37" t="n">
        <f aca="false">ROUND(Q186,0)-D186</f>
        <v>723</v>
      </c>
      <c r="F186" s="37" t="n">
        <f aca="false">IF(COUNTA(D186:E186)=0,"",SUM(D186:E186))</f>
        <v>1679</v>
      </c>
      <c r="G186" s="52" t="n">
        <f aca="false">IF(OR(F186="",F186=0),"",D186/F186)</f>
        <v>0.569386539606909</v>
      </c>
      <c r="H186" s="52" t="n">
        <f aca="false">IF(OR(F186="",F186=0),"",E186/F186)</f>
        <v>0.430613460393091</v>
      </c>
      <c r="I186" s="21" t="s">
        <v>122</v>
      </c>
      <c r="J186" s="53" t="n">
        <v>1.24424911322721</v>
      </c>
      <c r="K186" s="52" t="n">
        <f aca="false">IF(G186="","",MAX(0,G186-J186/100))</f>
        <v>0.556944048474637</v>
      </c>
      <c r="L186" s="52" t="n">
        <f aca="false">IF(G186="","",MIN(1,G186+J186/100))</f>
        <v>0.581829030739181</v>
      </c>
      <c r="M186" s="37" t="n">
        <f aca="false">IF(F186="","",ROUND(F186*J186/100,0))</f>
        <v>21</v>
      </c>
      <c r="P186" s="54" t="n">
        <v>7.75146184399456</v>
      </c>
      <c r="Q186" s="55" t="n">
        <f aca="false">T186*$H$5</f>
        <v>1678.57188498403</v>
      </c>
      <c r="R186" s="56" t="n">
        <f aca="false">MAX(0,MIN(1,P186/100+$D$5))</f>
        <v>0.569731741821476</v>
      </c>
      <c r="S186" s="57" t="s">
        <v>225</v>
      </c>
      <c r="T186" s="55" t="n">
        <v>1678.57188498403</v>
      </c>
    </row>
    <row r="187" customFormat="false" ht="15" hidden="false" customHeight="false" outlineLevel="0" collapsed="false">
      <c r="A187" s="21" t="s">
        <v>189</v>
      </c>
      <c r="B187" s="21" t="s">
        <v>324</v>
      </c>
      <c r="C187" s="21" t="s">
        <v>328</v>
      </c>
      <c r="D187" s="37" t="n">
        <f aca="false">ROUND(Q187*R187,0)</f>
        <v>438</v>
      </c>
      <c r="E187" s="37" t="n">
        <f aca="false">ROUND(Q187,0)-D187</f>
        <v>430</v>
      </c>
      <c r="F187" s="37" t="n">
        <f aca="false">IF(COUNTA(D187:E187)=0,"",SUM(D187:E187))</f>
        <v>868</v>
      </c>
      <c r="G187" s="52" t="n">
        <f aca="false">IF(OR(F187="",F187=0),"",D187/F187)</f>
        <v>0.504608294930876</v>
      </c>
      <c r="H187" s="52" t="n">
        <f aca="false">IF(OR(F187="",F187=0),"",E187/F187)</f>
        <v>0.495391705069124</v>
      </c>
      <c r="I187" s="21" t="s">
        <v>122</v>
      </c>
      <c r="J187" s="53" t="n">
        <v>1.88510957763259</v>
      </c>
      <c r="K187" s="52" t="n">
        <f aca="false">IF(G187="","",MAX(0,G187-J187/100))</f>
        <v>0.48575719915455</v>
      </c>
      <c r="L187" s="52" t="n">
        <f aca="false">IF(G187="","",MIN(1,G187+J187/100))</f>
        <v>0.523459390707202</v>
      </c>
      <c r="M187" s="37" t="n">
        <f aca="false">IF(F187="","",ROUND(F187*J187/100,0))</f>
        <v>16</v>
      </c>
      <c r="P187" s="54" t="n">
        <v>1.24480298372261</v>
      </c>
      <c r="Q187" s="55" t="n">
        <f aca="false">T187*$H$5</f>
        <v>868.364696734059</v>
      </c>
      <c r="R187" s="56" t="n">
        <f aca="false">MAX(0,MIN(1,P187/100+$D$5))</f>
        <v>0.504665153218757</v>
      </c>
      <c r="S187" s="57" t="s">
        <v>132</v>
      </c>
      <c r="T187" s="55" t="n">
        <v>868.364696734059</v>
      </c>
    </row>
    <row r="188" customFormat="false" ht="15" hidden="false" customHeight="false" outlineLevel="0" collapsed="false">
      <c r="A188" s="21" t="s">
        <v>189</v>
      </c>
      <c r="B188" s="21" t="s">
        <v>324</v>
      </c>
      <c r="C188" s="21" t="s">
        <v>329</v>
      </c>
      <c r="D188" s="37" t="n">
        <f aca="false">ROUND(Q188*R188,0)</f>
        <v>895</v>
      </c>
      <c r="E188" s="37" t="n">
        <f aca="false">ROUND(Q188,0)-D188</f>
        <v>594</v>
      </c>
      <c r="F188" s="37" t="n">
        <f aca="false">IF(COUNTA(D188:E188)=0,"",SUM(D188:E188))</f>
        <v>1489</v>
      </c>
      <c r="G188" s="52" t="n">
        <f aca="false">IF(OR(F188="",F188=0),"",D188/F188)</f>
        <v>0.601074546675621</v>
      </c>
      <c r="H188" s="52" t="n">
        <f aca="false">IF(OR(F188="",F188=0),"",E188/F188)</f>
        <v>0.398925453324379</v>
      </c>
      <c r="I188" s="21" t="s">
        <v>122</v>
      </c>
      <c r="J188" s="53" t="n">
        <v>1.24424911322721</v>
      </c>
      <c r="K188" s="52" t="n">
        <f aca="false">IF(G188="","",MAX(0,G188-J188/100))</f>
        <v>0.588632055543349</v>
      </c>
      <c r="L188" s="52" t="n">
        <f aca="false">IF(G188="","",MIN(1,G188+J188/100))</f>
        <v>0.613517037807893</v>
      </c>
      <c r="M188" s="37" t="n">
        <f aca="false">IF(F188="","",ROUND(F188*J188/100,0))</f>
        <v>19</v>
      </c>
      <c r="P188" s="54" t="n">
        <v>10.916541715669</v>
      </c>
      <c r="Q188" s="55" t="n">
        <f aca="false">T188*$H$5</f>
        <v>1488.84887459807</v>
      </c>
      <c r="R188" s="56" t="n">
        <f aca="false">MAX(0,MIN(1,P188/100+$D$5))</f>
        <v>0.60138254053822</v>
      </c>
      <c r="S188" s="57" t="s">
        <v>225</v>
      </c>
      <c r="T188" s="55" t="n">
        <v>1488.84887459807</v>
      </c>
    </row>
    <row r="189" customFormat="false" ht="15" hidden="false" customHeight="false" outlineLevel="0" collapsed="false">
      <c r="A189" s="21" t="s">
        <v>189</v>
      </c>
      <c r="B189" s="21" t="s">
        <v>324</v>
      </c>
      <c r="C189" s="21" t="s">
        <v>330</v>
      </c>
      <c r="D189" s="37" t="n">
        <f aca="false">ROUND(Q189*R189,0)</f>
        <v>886</v>
      </c>
      <c r="E189" s="37" t="n">
        <f aca="false">ROUND(Q189,0)-D189</f>
        <v>594</v>
      </c>
      <c r="F189" s="37" t="n">
        <f aca="false">IF(COUNTA(D189:E189)=0,"",SUM(D189:E189))</f>
        <v>1480</v>
      </c>
      <c r="G189" s="52" t="n">
        <f aca="false">IF(OR(F189="",F189=0),"",D189/F189)</f>
        <v>0.598648648648649</v>
      </c>
      <c r="H189" s="52" t="n">
        <f aca="false">IF(OR(F189="",F189=0),"",E189/F189)</f>
        <v>0.401351351351351</v>
      </c>
      <c r="I189" s="21" t="s">
        <v>122</v>
      </c>
      <c r="J189" s="53" t="n">
        <v>1.24424911322721</v>
      </c>
      <c r="K189" s="52" t="n">
        <f aca="false">IF(G189="","",MAX(0,G189-J189/100))</f>
        <v>0.586206157516377</v>
      </c>
      <c r="L189" s="52" t="n">
        <f aca="false">IF(G189="","",MIN(1,G189+J189/100))</f>
        <v>0.611091139780921</v>
      </c>
      <c r="M189" s="37" t="n">
        <f aca="false">IF(F189="","",ROUND(F189*J189/100,0))</f>
        <v>18</v>
      </c>
      <c r="P189" s="54" t="n">
        <v>10.6418312013036</v>
      </c>
      <c r="Q189" s="55" t="n">
        <f aca="false">T189*$H$5</f>
        <v>1480.29868819374</v>
      </c>
      <c r="R189" s="56" t="n">
        <f aca="false">MAX(0,MIN(1,P189/100+$D$5))</f>
        <v>0.598635435394566</v>
      </c>
      <c r="S189" s="57" t="s">
        <v>225</v>
      </c>
      <c r="T189" s="55" t="n">
        <v>1480.29868819374</v>
      </c>
    </row>
    <row r="190" customFormat="false" ht="15" hidden="false" customHeight="false" outlineLevel="0" collapsed="false">
      <c r="A190" s="21" t="s">
        <v>189</v>
      </c>
      <c r="B190" s="21" t="s">
        <v>324</v>
      </c>
      <c r="C190" s="21" t="s">
        <v>331</v>
      </c>
      <c r="D190" s="37" t="n">
        <f aca="false">ROUND(Q190*R190,0)</f>
        <v>406</v>
      </c>
      <c r="E190" s="37" t="n">
        <f aca="false">ROUND(Q190,0)-D190</f>
        <v>370</v>
      </c>
      <c r="F190" s="37" t="n">
        <f aca="false">IF(COUNTA(D190:E190)=0,"",SUM(D190:E190))</f>
        <v>776</v>
      </c>
      <c r="G190" s="52" t="n">
        <f aca="false">IF(OR(F190="",F190=0),"",D190/F190)</f>
        <v>0.52319587628866</v>
      </c>
      <c r="H190" s="52" t="n">
        <f aca="false">IF(OR(F190="",F190=0),"",E190/F190)</f>
        <v>0.47680412371134</v>
      </c>
      <c r="I190" s="21" t="s">
        <v>122</v>
      </c>
      <c r="J190" s="53" t="n">
        <v>1.88510957763259</v>
      </c>
      <c r="K190" s="52" t="n">
        <f aca="false">IF(G190="","",MAX(0,G190-J190/100))</f>
        <v>0.504344780512334</v>
      </c>
      <c r="L190" s="52" t="n">
        <f aca="false">IF(G190="","",MIN(1,G190+J190/100))</f>
        <v>0.542046972064986</v>
      </c>
      <c r="M190" s="37" t="n">
        <f aca="false">IF(F190="","",ROUND(F190*J190/100,0))</f>
        <v>15</v>
      </c>
      <c r="P190" s="54" t="n">
        <v>3.08033698615158</v>
      </c>
      <c r="Q190" s="55" t="n">
        <f aca="false">T190*$H$5</f>
        <v>775.595171773445</v>
      </c>
      <c r="R190" s="56" t="n">
        <f aca="false">MAX(0,MIN(1,P190/100+$D$5))</f>
        <v>0.523020493243047</v>
      </c>
      <c r="S190" s="57" t="s">
        <v>132</v>
      </c>
      <c r="T190" s="55" t="n">
        <v>775.595171773445</v>
      </c>
    </row>
    <row r="191" customFormat="false" ht="15" hidden="false" customHeight="false" outlineLevel="0" collapsed="false">
      <c r="A191" s="21" t="s">
        <v>189</v>
      </c>
      <c r="B191" s="21" t="s">
        <v>324</v>
      </c>
      <c r="C191" s="21" t="s">
        <v>332</v>
      </c>
      <c r="D191" s="37" t="n">
        <f aca="false">ROUND(Q191*R191,0)</f>
        <v>1081</v>
      </c>
      <c r="E191" s="37" t="n">
        <f aca="false">ROUND(Q191,0)-D191</f>
        <v>1034</v>
      </c>
      <c r="F191" s="37" t="n">
        <f aca="false">IF(COUNTA(D191:E191)=0,"",SUM(D191:E191))</f>
        <v>2115</v>
      </c>
      <c r="G191" s="52" t="n">
        <f aca="false">IF(OR(F191="",F191=0),"",D191/F191)</f>
        <v>0.511111111111111</v>
      </c>
      <c r="H191" s="52" t="n">
        <f aca="false">IF(OR(F191="",F191=0),"",E191/F191)</f>
        <v>0.488888888888889</v>
      </c>
      <c r="I191" s="21" t="s">
        <v>122</v>
      </c>
      <c r="J191" s="53" t="n">
        <v>1.24424911322721</v>
      </c>
      <c r="K191" s="52" t="n">
        <f aca="false">IF(G191="","",MAX(0,G191-J191/100))</f>
        <v>0.498668619978839</v>
      </c>
      <c r="L191" s="52" t="n">
        <f aca="false">IF(G191="","",MIN(1,G191+J191/100))</f>
        <v>0.523553602243383</v>
      </c>
      <c r="M191" s="37" t="n">
        <f aca="false">IF(F191="","",ROUND(F191*J191/100,0))</f>
        <v>26</v>
      </c>
      <c r="P191" s="54" t="n">
        <v>1.87249357413381</v>
      </c>
      <c r="Q191" s="55" t="n">
        <f aca="false">T191*$H$5</f>
        <v>2115.3476992871</v>
      </c>
      <c r="R191" s="56" t="n">
        <f aca="false">MAX(0,MIN(1,P191/100+$D$5))</f>
        <v>0.510942059122869</v>
      </c>
      <c r="S191" s="57" t="s">
        <v>225</v>
      </c>
      <c r="T191" s="55" t="n">
        <v>2115.3476992871</v>
      </c>
    </row>
    <row r="192" customFormat="false" ht="15" hidden="false" customHeight="false" outlineLevel="0" collapsed="false">
      <c r="A192" s="21" t="s">
        <v>189</v>
      </c>
      <c r="B192" s="21" t="s">
        <v>333</v>
      </c>
      <c r="C192" s="21" t="s">
        <v>334</v>
      </c>
      <c r="D192" s="37" t="n">
        <f aca="false">ROUND(Q192*R192,0)</f>
        <v>768</v>
      </c>
      <c r="E192" s="37" t="n">
        <f aca="false">ROUND(Q192,0)-D192</f>
        <v>730</v>
      </c>
      <c r="F192" s="37" t="n">
        <f aca="false">IF(COUNTA(D192:E192)=0,"",SUM(D192:E192))</f>
        <v>1498</v>
      </c>
      <c r="G192" s="52" t="n">
        <f aca="false">IF(OR(F192="",F192=0),"",D192/F192)</f>
        <v>0.512683578104139</v>
      </c>
      <c r="H192" s="52" t="n">
        <f aca="false">IF(OR(F192="",F192=0),"",E192/F192)</f>
        <v>0.487316421895861</v>
      </c>
      <c r="I192" s="21" t="s">
        <v>122</v>
      </c>
      <c r="J192" s="53" t="n">
        <v>1.24424911322721</v>
      </c>
      <c r="K192" s="52" t="n">
        <f aca="false">IF(G192="","",MAX(0,G192-J192/100))</f>
        <v>0.500241086971867</v>
      </c>
      <c r="L192" s="52" t="n">
        <f aca="false">IF(G192="","",MIN(1,G192+J192/100))</f>
        <v>0.525126069236411</v>
      </c>
      <c r="M192" s="37" t="n">
        <f aca="false">IF(F192="","",ROUND(F192*J192/100,0))</f>
        <v>19</v>
      </c>
      <c r="P192" s="54" t="n">
        <v>2.04373559095051</v>
      </c>
      <c r="Q192" s="55" t="n">
        <f aca="false">T192*$H$5</f>
        <v>1497.74778574441</v>
      </c>
      <c r="R192" s="56" t="n">
        <f aca="false">MAX(0,MIN(1,P192/100+$D$5))</f>
        <v>0.512654479291036</v>
      </c>
      <c r="S192" s="57" t="s">
        <v>225</v>
      </c>
      <c r="T192" s="55" t="n">
        <v>1497.74778574441</v>
      </c>
    </row>
    <row r="193" customFormat="false" ht="15" hidden="false" customHeight="false" outlineLevel="0" collapsed="false">
      <c r="A193" s="21" t="s">
        <v>189</v>
      </c>
      <c r="B193" s="21" t="s">
        <v>333</v>
      </c>
      <c r="C193" s="21" t="s">
        <v>335</v>
      </c>
      <c r="D193" s="37" t="n">
        <f aca="false">ROUND(Q193*R193,0)</f>
        <v>1050</v>
      </c>
      <c r="E193" s="37" t="n">
        <f aca="false">ROUND(Q193,0)-D193</f>
        <v>992</v>
      </c>
      <c r="F193" s="37" t="n">
        <f aca="false">IF(COUNTA(D193:E193)=0,"",SUM(D193:E193))</f>
        <v>2042</v>
      </c>
      <c r="G193" s="52" t="n">
        <f aca="false">IF(OR(F193="",F193=0),"",D193/F193)</f>
        <v>0.514201762977473</v>
      </c>
      <c r="H193" s="52" t="n">
        <f aca="false">IF(OR(F193="",F193=0),"",E193/F193)</f>
        <v>0.485798237022527</v>
      </c>
      <c r="I193" s="21" t="s">
        <v>122</v>
      </c>
      <c r="J193" s="53" t="n">
        <v>1.24424911322721</v>
      </c>
      <c r="K193" s="52" t="n">
        <f aca="false">IF(G193="","",MAX(0,G193-J193/100))</f>
        <v>0.501759271845201</v>
      </c>
      <c r="L193" s="52" t="n">
        <f aca="false">IF(G193="","",MIN(1,G193+J193/100))</f>
        <v>0.526644254109745</v>
      </c>
      <c r="M193" s="37" t="n">
        <f aca="false">IF(F193="","",ROUND(F193*J193/100,0))</f>
        <v>25</v>
      </c>
      <c r="P193" s="54" t="n">
        <v>2.21051446676459</v>
      </c>
      <c r="Q193" s="55" t="n">
        <f aca="false">T193*$H$5</f>
        <v>2042.15796344647</v>
      </c>
      <c r="R193" s="56" t="n">
        <f aca="false">MAX(0,MIN(1,P193/100+$D$5))</f>
        <v>0.514322268049177</v>
      </c>
      <c r="S193" s="57" t="s">
        <v>225</v>
      </c>
      <c r="T193" s="55" t="n">
        <v>2042.15796344647</v>
      </c>
    </row>
    <row r="194" customFormat="false" ht="15" hidden="false" customHeight="false" outlineLevel="0" collapsed="false">
      <c r="A194" s="21" t="s">
        <v>189</v>
      </c>
      <c r="B194" s="21" t="s">
        <v>333</v>
      </c>
      <c r="C194" s="21" t="s">
        <v>336</v>
      </c>
      <c r="D194" s="37" t="n">
        <f aca="false">ROUND(Q194*R194,0)</f>
        <v>814</v>
      </c>
      <c r="E194" s="37" t="n">
        <f aca="false">ROUND(Q194,0)-D194</f>
        <v>876</v>
      </c>
      <c r="F194" s="37" t="n">
        <f aca="false">IF(COUNTA(D194:E194)=0,"",SUM(D194:E194))</f>
        <v>1690</v>
      </c>
      <c r="G194" s="52" t="n">
        <f aca="false">IF(OR(F194="",F194=0),"",D194/F194)</f>
        <v>0.481656804733728</v>
      </c>
      <c r="H194" s="52" t="n">
        <f aca="false">IF(OR(F194="",F194=0),"",E194/F194)</f>
        <v>0.518343195266272</v>
      </c>
      <c r="I194" s="21" t="s">
        <v>122</v>
      </c>
      <c r="J194" s="53" t="n">
        <v>1.24424911322721</v>
      </c>
      <c r="K194" s="52" t="n">
        <f aca="false">IF(G194="","",MAX(0,G194-J194/100))</f>
        <v>0.469214313601456</v>
      </c>
      <c r="L194" s="52" t="n">
        <f aca="false">IF(G194="","",MIN(1,G194+J194/100))</f>
        <v>0.494099295866</v>
      </c>
      <c r="M194" s="37" t="n">
        <f aca="false">IF(F194="","",ROUND(F194*J194/100,0))</f>
        <v>21</v>
      </c>
      <c r="P194" s="54" t="n">
        <v>-1.05462851478262</v>
      </c>
      <c r="Q194" s="55" t="n">
        <f aca="false">T194*$H$5</f>
        <v>1690.06787762906</v>
      </c>
      <c r="R194" s="56" t="n">
        <f aca="false">MAX(0,MIN(1,P194/100+$D$5))</f>
        <v>0.481670838233705</v>
      </c>
      <c r="S194" s="57" t="s">
        <v>225</v>
      </c>
      <c r="T194" s="55" t="n">
        <v>1690.06787762906</v>
      </c>
    </row>
    <row r="195" customFormat="false" ht="15" hidden="false" customHeight="false" outlineLevel="0" collapsed="false">
      <c r="A195" s="21" t="s">
        <v>189</v>
      </c>
      <c r="B195" s="21" t="s">
        <v>333</v>
      </c>
      <c r="C195" s="21" t="s">
        <v>337</v>
      </c>
      <c r="D195" s="37" t="n">
        <f aca="false">ROUND(Q195*R195,0)</f>
        <v>621</v>
      </c>
      <c r="E195" s="37" t="n">
        <f aca="false">ROUND(Q195,0)-D195</f>
        <v>525</v>
      </c>
      <c r="F195" s="37" t="n">
        <f aca="false">IF(COUNTA(D195:E195)=0,"",SUM(D195:E195))</f>
        <v>1146</v>
      </c>
      <c r="G195" s="52" t="n">
        <f aca="false">IF(OR(F195="",F195=0),"",D195/F195)</f>
        <v>0.541884816753927</v>
      </c>
      <c r="H195" s="52" t="n">
        <f aca="false">IF(OR(F195="",F195=0),"",E195/F195)</f>
        <v>0.458115183246073</v>
      </c>
      <c r="I195" s="21" t="s">
        <v>122</v>
      </c>
      <c r="J195" s="53" t="n">
        <v>1.88510957763259</v>
      </c>
      <c r="K195" s="52" t="n">
        <f aca="false">IF(G195="","",MAX(0,G195-J195/100))</f>
        <v>0.523033720977601</v>
      </c>
      <c r="L195" s="52" t="n">
        <f aca="false">IF(G195="","",MIN(1,G195+J195/100))</f>
        <v>0.560735912530253</v>
      </c>
      <c r="M195" s="37" t="n">
        <f aca="false">IF(F195="","",ROUND(F195*J195/100,0))</f>
        <v>22</v>
      </c>
      <c r="P195" s="54" t="n">
        <v>4.93557003554217</v>
      </c>
      <c r="Q195" s="55" t="n">
        <f aca="false">T195*$H$5</f>
        <v>1145.8001397624</v>
      </c>
      <c r="R195" s="56" t="n">
        <f aca="false">MAX(0,MIN(1,P195/100+$D$5))</f>
        <v>0.541572823736952</v>
      </c>
      <c r="S195" s="57" t="s">
        <v>132</v>
      </c>
      <c r="T195" s="55" t="n">
        <v>1145.8001397624</v>
      </c>
    </row>
    <row r="196" customFormat="false" ht="15" hidden="false" customHeight="false" outlineLevel="0" collapsed="false">
      <c r="A196" s="21" t="s">
        <v>189</v>
      </c>
      <c r="B196" s="21" t="s">
        <v>333</v>
      </c>
      <c r="C196" s="21" t="s">
        <v>338</v>
      </c>
      <c r="D196" s="37" t="n">
        <f aca="false">ROUND(Q196*R196,0)</f>
        <v>1479</v>
      </c>
      <c r="E196" s="37" t="n">
        <f aca="false">ROUND(Q196,0)-D196</f>
        <v>1241</v>
      </c>
      <c r="F196" s="37" t="n">
        <f aca="false">IF(COUNTA(D196:E196)=0,"",SUM(D196:E196))</f>
        <v>2720</v>
      </c>
      <c r="G196" s="52" t="n">
        <f aca="false">IF(OR(F196="",F196=0),"",D196/F196)</f>
        <v>0.54375</v>
      </c>
      <c r="H196" s="52" t="n">
        <f aca="false">IF(OR(F196="",F196=0),"",E196/F196)</f>
        <v>0.45625</v>
      </c>
      <c r="I196" s="21" t="s">
        <v>122</v>
      </c>
      <c r="J196" s="53" t="n">
        <v>1.24424911322721</v>
      </c>
      <c r="K196" s="52" t="n">
        <f aca="false">IF(G196="","",MAX(0,G196-J196/100))</f>
        <v>0.531307508867728</v>
      </c>
      <c r="L196" s="52" t="n">
        <f aca="false">IF(G196="","",MIN(1,G196+J196/100))</f>
        <v>0.556192491132272</v>
      </c>
      <c r="M196" s="37" t="n">
        <f aca="false">IF(F196="","",ROUND(F196*J196/100,0))</f>
        <v>34</v>
      </c>
      <c r="P196" s="54" t="n">
        <v>5.16014643329052</v>
      </c>
      <c r="Q196" s="55" t="n">
        <f aca="false">T196*$H$5</f>
        <v>2719.88153310105</v>
      </c>
      <c r="R196" s="56" t="n">
        <f aca="false">MAX(0,MIN(1,P196/100+$D$5))</f>
        <v>0.543818587714436</v>
      </c>
      <c r="S196" s="57" t="s">
        <v>225</v>
      </c>
      <c r="T196" s="55" t="n">
        <v>2719.88153310105</v>
      </c>
    </row>
    <row r="197" customFormat="false" ht="15" hidden="false" customHeight="false" outlineLevel="0" collapsed="false">
      <c r="A197" s="21" t="s">
        <v>189</v>
      </c>
      <c r="B197" s="21" t="s">
        <v>333</v>
      </c>
      <c r="C197" s="21" t="s">
        <v>339</v>
      </c>
      <c r="D197" s="37" t="n">
        <f aca="false">ROUND(Q197*R197,0)</f>
        <v>504</v>
      </c>
      <c r="E197" s="37" t="n">
        <f aca="false">ROUND(Q197,0)-D197</f>
        <v>465</v>
      </c>
      <c r="F197" s="37" t="n">
        <f aca="false">IF(COUNTA(D197:E197)=0,"",SUM(D197:E197))</f>
        <v>969</v>
      </c>
      <c r="G197" s="52" t="n">
        <f aca="false">IF(OR(F197="",F197=0),"",D197/F197)</f>
        <v>0.520123839009288</v>
      </c>
      <c r="H197" s="52" t="n">
        <f aca="false">IF(OR(F197="",F197=0),"",E197/F197)</f>
        <v>0.479876160990712</v>
      </c>
      <c r="I197" s="21" t="s">
        <v>122</v>
      </c>
      <c r="J197" s="53" t="n">
        <v>1.88510957763259</v>
      </c>
      <c r="K197" s="52" t="n">
        <f aca="false">IF(G197="","",MAX(0,G197-J197/100))</f>
        <v>0.501272743232962</v>
      </c>
      <c r="L197" s="52" t="n">
        <f aca="false">IF(G197="","",MIN(1,G197+J197/100))</f>
        <v>0.538974934785614</v>
      </c>
      <c r="M197" s="37" t="n">
        <f aca="false">IF(F197="","",ROUND(F197*J197/100,0))</f>
        <v>18</v>
      </c>
      <c r="P197" s="54" t="n">
        <v>2.83056658852346</v>
      </c>
      <c r="Q197" s="55" t="n">
        <f aca="false">T197*$H$5</f>
        <v>969.162629757786</v>
      </c>
      <c r="R197" s="56" t="n">
        <f aca="false">MAX(0,MIN(1,P197/100+$D$5))</f>
        <v>0.520522789266765</v>
      </c>
      <c r="S197" s="57" t="s">
        <v>132</v>
      </c>
      <c r="T197" s="55" t="n">
        <v>969.162629757786</v>
      </c>
    </row>
    <row r="198" customFormat="false" ht="15" hidden="false" customHeight="false" outlineLevel="0" collapsed="false">
      <c r="A198" s="21" t="s">
        <v>189</v>
      </c>
      <c r="B198" s="21" t="s">
        <v>333</v>
      </c>
      <c r="C198" s="21" t="s">
        <v>340</v>
      </c>
      <c r="D198" s="37" t="n">
        <f aca="false">ROUND(Q198*R198,0)</f>
        <v>518</v>
      </c>
      <c r="E198" s="37" t="n">
        <f aca="false">ROUND(Q198,0)-D198</f>
        <v>412</v>
      </c>
      <c r="F198" s="37" t="n">
        <f aca="false">IF(COUNTA(D198:E198)=0,"",SUM(D198:E198))</f>
        <v>930</v>
      </c>
      <c r="G198" s="52" t="n">
        <f aca="false">IF(OR(F198="",F198=0),"",D198/F198)</f>
        <v>0.556989247311828</v>
      </c>
      <c r="H198" s="52" t="n">
        <f aca="false">IF(OR(F198="",F198=0),"",E198/F198)</f>
        <v>0.443010752688172</v>
      </c>
      <c r="I198" s="21" t="s">
        <v>122</v>
      </c>
      <c r="J198" s="53" t="n">
        <v>1.88510957763259</v>
      </c>
      <c r="K198" s="52" t="n">
        <f aca="false">IF(G198="","",MAX(0,G198-J198/100))</f>
        <v>0.538138151535502</v>
      </c>
      <c r="L198" s="52" t="n">
        <f aca="false">IF(G198="","",MIN(1,G198+J198/100))</f>
        <v>0.575840343088154</v>
      </c>
      <c r="M198" s="37" t="n">
        <f aca="false">IF(F198="","",ROUND(F198*J198/100,0))</f>
        <v>18</v>
      </c>
      <c r="P198" s="54" t="n">
        <v>6.50020900278972</v>
      </c>
      <c r="Q198" s="55" t="n">
        <f aca="false">T198*$H$5</f>
        <v>929.805201992252</v>
      </c>
      <c r="R198" s="56" t="n">
        <f aca="false">MAX(0,MIN(1,P198/100+$D$5))</f>
        <v>0.557219213409428</v>
      </c>
      <c r="S198" s="57" t="s">
        <v>132</v>
      </c>
      <c r="T198" s="55" t="n">
        <v>929.805201992252</v>
      </c>
    </row>
    <row r="199" customFormat="false" ht="15" hidden="false" customHeight="false" outlineLevel="0" collapsed="false">
      <c r="A199" s="21" t="s">
        <v>189</v>
      </c>
      <c r="B199" s="21" t="s">
        <v>333</v>
      </c>
      <c r="C199" s="21" t="s">
        <v>341</v>
      </c>
      <c r="D199" s="37" t="n">
        <f aca="false">ROUND(Q199*R199,0)</f>
        <v>541</v>
      </c>
      <c r="E199" s="37" t="n">
        <f aca="false">ROUND(Q199,0)-D199</f>
        <v>503</v>
      </c>
      <c r="F199" s="37" t="n">
        <f aca="false">IF(COUNTA(D199:E199)=0,"",SUM(D199:E199))</f>
        <v>1044</v>
      </c>
      <c r="G199" s="52" t="n">
        <f aca="false">IF(OR(F199="",F199=0),"",D199/F199)</f>
        <v>0.518199233716475</v>
      </c>
      <c r="H199" s="52" t="n">
        <f aca="false">IF(OR(F199="",F199=0),"",E199/F199)</f>
        <v>0.481800766283525</v>
      </c>
      <c r="I199" s="21" t="s">
        <v>122</v>
      </c>
      <c r="J199" s="53" t="n">
        <v>1.88510957763259</v>
      </c>
      <c r="K199" s="52" t="n">
        <f aca="false">IF(G199="","",MAX(0,G199-J199/100))</f>
        <v>0.499348137940149</v>
      </c>
      <c r="L199" s="52" t="n">
        <f aca="false">IF(G199="","",MIN(1,G199+J199/100))</f>
        <v>0.537050329492801</v>
      </c>
      <c r="M199" s="37" t="n">
        <f aca="false">IF(F199="","",ROUND(F199*J199/100,0))</f>
        <v>20</v>
      </c>
      <c r="P199" s="54" t="n">
        <v>2.60687636955945</v>
      </c>
      <c r="Q199" s="55" t="n">
        <f aca="false">T199*$H$5</f>
        <v>1044.14424242424</v>
      </c>
      <c r="R199" s="56" t="n">
        <f aca="false">MAX(0,MIN(1,P199/100+$D$5))</f>
        <v>0.518285887077125</v>
      </c>
      <c r="S199" s="57" t="s">
        <v>132</v>
      </c>
      <c r="T199" s="55" t="n">
        <v>1044.14424242424</v>
      </c>
    </row>
    <row r="200" customFormat="false" ht="15" hidden="false" customHeight="false" outlineLevel="0" collapsed="false">
      <c r="A200" s="21" t="s">
        <v>189</v>
      </c>
      <c r="B200" s="21" t="s">
        <v>342</v>
      </c>
      <c r="C200" s="21" t="s">
        <v>343</v>
      </c>
      <c r="D200" s="37" t="n">
        <f aca="false">ROUND(Q200*R200,0)</f>
        <v>1255</v>
      </c>
      <c r="E200" s="37" t="n">
        <f aca="false">ROUND(Q200,0)-D200</f>
        <v>1378</v>
      </c>
      <c r="F200" s="37" t="n">
        <f aca="false">IF(COUNTA(D200:E200)=0,"",SUM(D200:E200))</f>
        <v>2633</v>
      </c>
      <c r="G200" s="52" t="n">
        <f aca="false">IF(OR(F200="",F200=0),"",D200/F200)</f>
        <v>0.476642612988986</v>
      </c>
      <c r="H200" s="52" t="n">
        <f aca="false">IF(OR(F200="",F200=0),"",E200/F200)</f>
        <v>0.523357387011014</v>
      </c>
      <c r="I200" s="21" t="s">
        <v>122</v>
      </c>
      <c r="J200" s="53" t="n">
        <v>1.24424911322721</v>
      </c>
      <c r="K200" s="52" t="n">
        <f aca="false">IF(G200="","",MAX(0,G200-J200/100))</f>
        <v>0.464200121856714</v>
      </c>
      <c r="L200" s="52" t="n">
        <f aca="false">IF(G200="","",MIN(1,G200+J200/100))</f>
        <v>0.489085104121258</v>
      </c>
      <c r="M200" s="37" t="n">
        <f aca="false">IF(F200="","",ROUND(F200*J200/100,0))</f>
        <v>33</v>
      </c>
      <c r="P200" s="54" t="n">
        <v>-1.56305425885633</v>
      </c>
      <c r="Q200" s="55" t="n">
        <f aca="false">T200*$H$5</f>
        <v>2632.829612885</v>
      </c>
      <c r="R200" s="56" t="n">
        <f aca="false">MAX(0,MIN(1,P200/100+$D$5))</f>
        <v>0.476586580792967</v>
      </c>
      <c r="S200" s="57" t="s">
        <v>225</v>
      </c>
      <c r="T200" s="55" t="n">
        <v>2632.829612885</v>
      </c>
    </row>
    <row r="201" customFormat="false" ht="15" hidden="false" customHeight="false" outlineLevel="0" collapsed="false">
      <c r="A201" s="21" t="s">
        <v>189</v>
      </c>
      <c r="B201" s="21" t="s">
        <v>342</v>
      </c>
      <c r="C201" s="21" t="s">
        <v>344</v>
      </c>
      <c r="D201" s="37" t="n">
        <f aca="false">ROUND(Q201*R201,0)</f>
        <v>776</v>
      </c>
      <c r="E201" s="37" t="n">
        <f aca="false">ROUND(Q201,0)-D201</f>
        <v>1203</v>
      </c>
      <c r="F201" s="37" t="n">
        <f aca="false">IF(COUNTA(D201:E201)=0,"",SUM(D201:E201))</f>
        <v>1979</v>
      </c>
      <c r="G201" s="52" t="n">
        <f aca="false">IF(OR(F201="",F201=0),"",D201/F201)</f>
        <v>0.392117230924709</v>
      </c>
      <c r="H201" s="52" t="n">
        <f aca="false">IF(OR(F201="",F201=0),"",E201/F201)</f>
        <v>0.607882769075291</v>
      </c>
      <c r="I201" s="21" t="s">
        <v>122</v>
      </c>
      <c r="J201" s="53" t="n">
        <v>1.24424911322721</v>
      </c>
      <c r="K201" s="52" t="n">
        <f aca="false">IF(G201="","",MAX(0,G201-J201/100))</f>
        <v>0.379674739792437</v>
      </c>
      <c r="L201" s="52" t="n">
        <f aca="false">IF(G201="","",MIN(1,G201+J201/100))</f>
        <v>0.404559722056982</v>
      </c>
      <c r="M201" s="37" t="n">
        <f aca="false">IF(F201="","",ROUND(F201*J201/100,0))</f>
        <v>25</v>
      </c>
      <c r="P201" s="54" t="n">
        <v>-10.0217272427519</v>
      </c>
      <c r="Q201" s="55" t="n">
        <f aca="false">T201*$H$5</f>
        <v>1979.37527114968</v>
      </c>
      <c r="R201" s="56" t="n">
        <f aca="false">MAX(0,MIN(1,P201/100+$D$5))</f>
        <v>0.391999850954012</v>
      </c>
      <c r="S201" s="57" t="s">
        <v>225</v>
      </c>
      <c r="T201" s="55" t="n">
        <v>1979.37527114968</v>
      </c>
    </row>
    <row r="202" customFormat="false" ht="15" hidden="false" customHeight="false" outlineLevel="0" collapsed="false">
      <c r="A202" s="21" t="s">
        <v>189</v>
      </c>
      <c r="B202" s="21" t="s">
        <v>345</v>
      </c>
      <c r="C202" s="21" t="s">
        <v>346</v>
      </c>
      <c r="D202" s="37" t="n">
        <f aca="false">ROUND(Q202*R202,0)</f>
        <v>899</v>
      </c>
      <c r="E202" s="37" t="n">
        <f aca="false">ROUND(Q202,0)-D202</f>
        <v>870</v>
      </c>
      <c r="F202" s="37" t="n">
        <f aca="false">IF(COUNTA(D202:E202)=0,"",SUM(D202:E202))</f>
        <v>1769</v>
      </c>
      <c r="G202" s="52" t="n">
        <f aca="false">IF(OR(F202="",F202=0),"",D202/F202)</f>
        <v>0.508196721311475</v>
      </c>
      <c r="H202" s="52" t="n">
        <f aca="false">IF(OR(F202="",F202=0),"",E202/F202)</f>
        <v>0.491803278688525</v>
      </c>
      <c r="I202" s="21" t="s">
        <v>122</v>
      </c>
      <c r="J202" s="53" t="n">
        <v>1.24424911322721</v>
      </c>
      <c r="K202" s="52" t="n">
        <f aca="false">IF(G202="","",MAX(0,G202-J202/100))</f>
        <v>0.495754230179203</v>
      </c>
      <c r="L202" s="52" t="n">
        <f aca="false">IF(G202="","",MIN(1,G202+J202/100))</f>
        <v>0.520639212443747</v>
      </c>
      <c r="M202" s="37" t="n">
        <f aca="false">IF(F202="","",ROUND(F202*J202/100,0))</f>
        <v>22</v>
      </c>
      <c r="P202" s="54" t="n">
        <v>1.57885368845354</v>
      </c>
      <c r="Q202" s="55" t="n">
        <f aca="false">T202*$H$5</f>
        <v>1769.05616020897</v>
      </c>
      <c r="R202" s="56" t="n">
        <f aca="false">MAX(0,MIN(1,P202/100+$D$5))</f>
        <v>0.508005660266066</v>
      </c>
      <c r="S202" s="57" t="s">
        <v>225</v>
      </c>
      <c r="T202" s="55" t="n">
        <v>1769.05616020897</v>
      </c>
    </row>
    <row r="203" customFormat="false" ht="15" hidden="false" customHeight="false" outlineLevel="0" collapsed="false">
      <c r="A203" s="21" t="s">
        <v>189</v>
      </c>
      <c r="B203" s="21" t="s">
        <v>345</v>
      </c>
      <c r="C203" s="21" t="s">
        <v>347</v>
      </c>
      <c r="D203" s="37" t="n">
        <f aca="false">ROUND(Q203*R203,0)</f>
        <v>641</v>
      </c>
      <c r="E203" s="37" t="n">
        <f aca="false">ROUND(Q203,0)-D203</f>
        <v>664</v>
      </c>
      <c r="F203" s="37" t="n">
        <f aca="false">IF(COUNTA(D203:E203)=0,"",SUM(D203:E203))</f>
        <v>1305</v>
      </c>
      <c r="G203" s="52" t="n">
        <f aca="false">IF(OR(F203="",F203=0),"",D203/F203)</f>
        <v>0.491187739463602</v>
      </c>
      <c r="H203" s="52" t="n">
        <f aca="false">IF(OR(F203="",F203=0),"",E203/F203)</f>
        <v>0.508812260536399</v>
      </c>
      <c r="I203" s="21" t="s">
        <v>122</v>
      </c>
      <c r="J203" s="53" t="n">
        <v>1.24424911322721</v>
      </c>
      <c r="K203" s="52" t="n">
        <f aca="false">IF(G203="","",MAX(0,G203-J203/100))</f>
        <v>0.47874524833133</v>
      </c>
      <c r="L203" s="52" t="n">
        <f aca="false">IF(G203="","",MIN(1,G203+J203/100))</f>
        <v>0.503630230595874</v>
      </c>
      <c r="M203" s="37" t="n">
        <f aca="false">IF(F203="","",ROUND(F203*J203/100,0))</f>
        <v>16</v>
      </c>
      <c r="P203" s="54" t="n">
        <v>-0.109726192496918</v>
      </c>
      <c r="Q203" s="55" t="n">
        <f aca="false">T203*$H$5</f>
        <v>1304.62964959569</v>
      </c>
      <c r="R203" s="56" t="n">
        <f aca="false">MAX(0,MIN(1,P203/100+$D$5))</f>
        <v>0.491119861456562</v>
      </c>
      <c r="S203" s="57" t="s">
        <v>225</v>
      </c>
      <c r="T203" s="55" t="n">
        <v>1304.62964959569</v>
      </c>
    </row>
    <row r="204" customFormat="false" ht="15" hidden="false" customHeight="false" outlineLevel="0" collapsed="false">
      <c r="A204" s="21" t="s">
        <v>189</v>
      </c>
      <c r="B204" s="21" t="s">
        <v>345</v>
      </c>
      <c r="C204" s="21" t="s">
        <v>348</v>
      </c>
      <c r="D204" s="37" t="n">
        <f aca="false">ROUND(Q204*R204,0)</f>
        <v>654</v>
      </c>
      <c r="E204" s="37" t="n">
        <f aca="false">ROUND(Q204,0)-D204</f>
        <v>660</v>
      </c>
      <c r="F204" s="37" t="n">
        <f aca="false">IF(COUNTA(D204:E204)=0,"",SUM(D204:E204))</f>
        <v>1314</v>
      </c>
      <c r="G204" s="52" t="n">
        <f aca="false">IF(OR(F204="",F204=0),"",D204/F204)</f>
        <v>0.497716894977169</v>
      </c>
      <c r="H204" s="52" t="n">
        <f aca="false">IF(OR(F204="",F204=0),"",E204/F204)</f>
        <v>0.502283105022831</v>
      </c>
      <c r="I204" s="21" t="s">
        <v>122</v>
      </c>
      <c r="J204" s="53" t="n">
        <v>1.24424911322721</v>
      </c>
      <c r="K204" s="52" t="n">
        <f aca="false">IF(G204="","",MAX(0,G204-J204/100))</f>
        <v>0.485274403844897</v>
      </c>
      <c r="L204" s="52" t="n">
        <f aca="false">IF(G204="","",MIN(1,G204+J204/100))</f>
        <v>0.510159386109441</v>
      </c>
      <c r="M204" s="37" t="n">
        <f aca="false">IF(F204="","",ROUND(F204*J204/100,0))</f>
        <v>16</v>
      </c>
      <c r="P204" s="54" t="n">
        <v>0.552504101826005</v>
      </c>
      <c r="Q204" s="55" t="n">
        <f aca="false">T204*$H$5</f>
        <v>1313.96987951807</v>
      </c>
      <c r="R204" s="56" t="n">
        <f aca="false">MAX(0,MIN(1,P204/100+$D$5))</f>
        <v>0.497742164399791</v>
      </c>
      <c r="S204" s="57" t="s">
        <v>225</v>
      </c>
      <c r="T204" s="55" t="n">
        <v>1313.96987951807</v>
      </c>
    </row>
    <row r="205" customFormat="false" ht="15" hidden="false" customHeight="false" outlineLevel="0" collapsed="false">
      <c r="A205" s="21" t="s">
        <v>189</v>
      </c>
      <c r="B205" s="21" t="s">
        <v>345</v>
      </c>
      <c r="C205" s="21" t="s">
        <v>349</v>
      </c>
      <c r="D205" s="37" t="n">
        <f aca="false">ROUND(Q205*R205,0)</f>
        <v>1409</v>
      </c>
      <c r="E205" s="37" t="n">
        <f aca="false">ROUND(Q205,0)-D205</f>
        <v>1435</v>
      </c>
      <c r="F205" s="37" t="n">
        <f aca="false">IF(COUNTA(D205:E205)=0,"",SUM(D205:E205))</f>
        <v>2844</v>
      </c>
      <c r="G205" s="52" t="n">
        <f aca="false">IF(OR(F205="",F205=0),"",D205/F205)</f>
        <v>0.495428973277075</v>
      </c>
      <c r="H205" s="52" t="n">
        <f aca="false">IF(OR(F205="",F205=0),"",E205/F205)</f>
        <v>0.504571026722925</v>
      </c>
      <c r="I205" s="21" t="s">
        <v>122</v>
      </c>
      <c r="J205" s="53" t="n">
        <v>1.24424911322721</v>
      </c>
      <c r="K205" s="52" t="n">
        <f aca="false">IF(G205="","",MAX(0,G205-J205/100))</f>
        <v>0.482986482144803</v>
      </c>
      <c r="L205" s="52" t="n">
        <f aca="false">IF(G205="","",MIN(1,G205+J205/100))</f>
        <v>0.507871464409347</v>
      </c>
      <c r="M205" s="37" t="n">
        <f aca="false">IF(F205="","",ROUND(F205*J205/100,0))</f>
        <v>35</v>
      </c>
      <c r="P205" s="54" t="n">
        <v>0.324712743725244</v>
      </c>
      <c r="Q205" s="55" t="n">
        <f aca="false">T205*$H$5</f>
        <v>2844.46927374302</v>
      </c>
      <c r="R205" s="56" t="n">
        <f aca="false">MAX(0,MIN(1,P205/100+$D$5))</f>
        <v>0.495464250818783</v>
      </c>
      <c r="S205" s="57" t="s">
        <v>225</v>
      </c>
      <c r="T205" s="55" t="n">
        <v>2844.46927374302</v>
      </c>
    </row>
    <row r="206" customFormat="false" ht="15" hidden="false" customHeight="false" outlineLevel="0" collapsed="false">
      <c r="A206" s="21" t="s">
        <v>189</v>
      </c>
      <c r="B206" s="21" t="s">
        <v>345</v>
      </c>
      <c r="C206" s="21" t="s">
        <v>350</v>
      </c>
      <c r="D206" s="37" t="n">
        <f aca="false">ROUND(Q206*R206,0)</f>
        <v>562</v>
      </c>
      <c r="E206" s="37" t="n">
        <f aca="false">ROUND(Q206,0)-D206</f>
        <v>534</v>
      </c>
      <c r="F206" s="37" t="n">
        <f aca="false">IF(COUNTA(D206:E206)=0,"",SUM(D206:E206))</f>
        <v>1096</v>
      </c>
      <c r="G206" s="52" t="n">
        <f aca="false">IF(OR(F206="",F206=0),"",D206/F206)</f>
        <v>0.512773722627737</v>
      </c>
      <c r="H206" s="52" t="n">
        <f aca="false">IF(OR(F206="",F206=0),"",E206/F206)</f>
        <v>0.487226277372263</v>
      </c>
      <c r="I206" s="21" t="s">
        <v>122</v>
      </c>
      <c r="J206" s="53" t="n">
        <v>1.88510957763259</v>
      </c>
      <c r="K206" s="52" t="n">
        <f aca="false">IF(G206="","",MAX(0,G206-J206/100))</f>
        <v>0.493922626851411</v>
      </c>
      <c r="L206" s="52" t="n">
        <f aca="false">IF(G206="","",MIN(1,G206+J206/100))</f>
        <v>0.531624818404063</v>
      </c>
      <c r="M206" s="37" t="n">
        <f aca="false">IF(F206="","",ROUND(F206*J206/100,0))</f>
        <v>21</v>
      </c>
      <c r="P206" s="54" t="n">
        <v>2.02810309945534</v>
      </c>
      <c r="Q206" s="55" t="n">
        <f aca="false">T206*$H$5</f>
        <v>1095.71313506815</v>
      </c>
      <c r="R206" s="56" t="n">
        <f aca="false">MAX(0,MIN(1,P206/100+$D$5))</f>
        <v>0.512498154376084</v>
      </c>
      <c r="S206" s="57" t="s">
        <v>132</v>
      </c>
      <c r="T206" s="55" t="n">
        <v>1095.71313506815</v>
      </c>
    </row>
    <row r="207" customFormat="false" ht="15" hidden="false" customHeight="false" outlineLevel="0" collapsed="false">
      <c r="A207" s="21" t="s">
        <v>189</v>
      </c>
      <c r="B207" s="21" t="s">
        <v>345</v>
      </c>
      <c r="C207" s="21" t="s">
        <v>351</v>
      </c>
      <c r="D207" s="37" t="n">
        <f aca="false">ROUND(Q207*R207,0)</f>
        <v>543</v>
      </c>
      <c r="E207" s="37" t="n">
        <f aca="false">ROUND(Q207,0)-D207</f>
        <v>481</v>
      </c>
      <c r="F207" s="37" t="n">
        <f aca="false">IF(COUNTA(D207:E207)=0,"",SUM(D207:E207))</f>
        <v>1024</v>
      </c>
      <c r="G207" s="52" t="n">
        <f aca="false">IF(OR(F207="",F207=0),"",D207/F207)</f>
        <v>0.5302734375</v>
      </c>
      <c r="H207" s="52" t="n">
        <f aca="false">IF(OR(F207="",F207=0),"",E207/F207)</f>
        <v>0.4697265625</v>
      </c>
      <c r="I207" s="21" t="s">
        <v>122</v>
      </c>
      <c r="J207" s="53" t="n">
        <v>1.88510957763259</v>
      </c>
      <c r="K207" s="52" t="n">
        <f aca="false">IF(G207="","",MAX(0,G207-J207/100))</f>
        <v>0.511422341723674</v>
      </c>
      <c r="L207" s="52" t="n">
        <f aca="false">IF(G207="","",MIN(1,G207+J207/100))</f>
        <v>0.549124533276326</v>
      </c>
      <c r="M207" s="37" t="n">
        <f aca="false">IF(F207="","",ROUND(F207*J207/100,0))</f>
        <v>19</v>
      </c>
      <c r="P207" s="54" t="n">
        <v>3.78454518042345</v>
      </c>
      <c r="Q207" s="55" t="n">
        <f aca="false">T207*$H$5</f>
        <v>1023.63518138262</v>
      </c>
      <c r="R207" s="56" t="n">
        <f aca="false">MAX(0,MIN(1,P207/100+$D$5))</f>
        <v>0.530062575185765</v>
      </c>
      <c r="S207" s="57" t="s">
        <v>132</v>
      </c>
      <c r="T207" s="55" t="n">
        <v>1023.63518138262</v>
      </c>
    </row>
    <row r="208" customFormat="false" ht="15" hidden="false" customHeight="false" outlineLevel="0" collapsed="false">
      <c r="A208" s="21" t="s">
        <v>189</v>
      </c>
      <c r="B208" s="21" t="s">
        <v>352</v>
      </c>
      <c r="C208" s="21" t="s">
        <v>353</v>
      </c>
      <c r="D208" s="37" t="n">
        <f aca="false">ROUND(Q208*R208,0)</f>
        <v>191</v>
      </c>
      <c r="E208" s="37" t="n">
        <f aca="false">ROUND(Q208,0)-D208</f>
        <v>413</v>
      </c>
      <c r="F208" s="37" t="n">
        <f aca="false">IF(COUNTA(D208:E208)=0,"",SUM(D208:E208))</f>
        <v>604</v>
      </c>
      <c r="G208" s="52" t="n">
        <f aca="false">IF(OR(F208="",F208=0),"",D208/F208)</f>
        <v>0.316225165562914</v>
      </c>
      <c r="H208" s="52" t="n">
        <f aca="false">IF(OR(F208="",F208=0),"",E208/F208)</f>
        <v>0.683774834437086</v>
      </c>
      <c r="I208" s="21" t="s">
        <v>122</v>
      </c>
      <c r="J208" s="53" t="n">
        <v>3.15466234357281</v>
      </c>
      <c r="K208" s="52" t="n">
        <f aca="false">IF(G208="","",MAX(0,G208-J208/100))</f>
        <v>0.284678542127186</v>
      </c>
      <c r="L208" s="52" t="n">
        <f aca="false">IF(G208="","",MIN(1,G208+J208/100))</f>
        <v>0.347771788998642</v>
      </c>
      <c r="M208" s="37" t="n">
        <f aca="false">IF(F208="","",ROUND(F208*J208/100,0))</f>
        <v>19</v>
      </c>
      <c r="P208" s="54" t="n">
        <v>-17.632921383623</v>
      </c>
      <c r="Q208" s="55" t="n">
        <f aca="false">T208*$H$5</f>
        <v>604.352941176471</v>
      </c>
      <c r="R208" s="56" t="n">
        <f aca="false">MAX(0,MIN(1,P208/100+$D$5))</f>
        <v>0.315887909545301</v>
      </c>
      <c r="S208" s="57" t="s">
        <v>123</v>
      </c>
      <c r="T208" s="55" t="n">
        <v>604.352941176471</v>
      </c>
    </row>
    <row r="209" customFormat="false" ht="15" hidden="false" customHeight="false" outlineLevel="0" collapsed="false">
      <c r="A209" s="21" t="s">
        <v>189</v>
      </c>
      <c r="B209" s="21" t="s">
        <v>352</v>
      </c>
      <c r="C209" s="21" t="s">
        <v>354</v>
      </c>
      <c r="D209" s="37" t="n">
        <f aca="false">ROUND(Q209*R209,0)</f>
        <v>667</v>
      </c>
      <c r="E209" s="37" t="n">
        <f aca="false">ROUND(Q209,0)-D209</f>
        <v>1290</v>
      </c>
      <c r="F209" s="37" t="n">
        <f aca="false">IF(COUNTA(D209:E209)=0,"",SUM(D209:E209))</f>
        <v>1957</v>
      </c>
      <c r="G209" s="52" t="n">
        <f aca="false">IF(OR(F209="",F209=0),"",D209/F209)</f>
        <v>0.340827797649463</v>
      </c>
      <c r="H209" s="52" t="n">
        <f aca="false">IF(OR(F209="",F209=0),"",E209/F209)</f>
        <v>0.659172202350537</v>
      </c>
      <c r="I209" s="21" t="s">
        <v>122</v>
      </c>
      <c r="J209" s="53" t="n">
        <v>1.24424911322721</v>
      </c>
      <c r="K209" s="52" t="n">
        <f aca="false">IF(G209="","",MAX(0,G209-J209/100))</f>
        <v>0.328385306517191</v>
      </c>
      <c r="L209" s="52" t="n">
        <f aca="false">IF(G209="","",MIN(1,G209+J209/100))</f>
        <v>0.353270288781736</v>
      </c>
      <c r="M209" s="37" t="n">
        <f aca="false">IF(F209="","",ROUND(F209*J209/100,0))</f>
        <v>24</v>
      </c>
      <c r="P209" s="54" t="n">
        <v>-15.1453446685907</v>
      </c>
      <c r="Q209" s="55" t="n">
        <f aca="false">T209*$H$5</f>
        <v>1956.62307176392</v>
      </c>
      <c r="R209" s="56" t="n">
        <f aca="false">MAX(0,MIN(1,P209/100+$D$5))</f>
        <v>0.340763676695623</v>
      </c>
      <c r="S209" s="57" t="s">
        <v>225</v>
      </c>
      <c r="T209" s="55" t="n">
        <v>1956.62307176392</v>
      </c>
    </row>
    <row r="210" customFormat="false" ht="15" hidden="false" customHeight="false" outlineLevel="0" collapsed="false">
      <c r="A210" s="21" t="s">
        <v>189</v>
      </c>
      <c r="B210" s="21" t="s">
        <v>352</v>
      </c>
      <c r="C210" s="21" t="s">
        <v>355</v>
      </c>
      <c r="D210" s="37" t="n">
        <f aca="false">ROUND(Q210*R210,0)</f>
        <v>155</v>
      </c>
      <c r="E210" s="37" t="n">
        <f aca="false">ROUND(Q210,0)-D210</f>
        <v>387</v>
      </c>
      <c r="F210" s="37" t="n">
        <f aca="false">IF(COUNTA(D210:E210)=0,"",SUM(D210:E210))</f>
        <v>542</v>
      </c>
      <c r="G210" s="52" t="n">
        <f aca="false">IF(OR(F210="",F210=0),"",D210/F210)</f>
        <v>0.285977859778598</v>
      </c>
      <c r="H210" s="52" t="n">
        <f aca="false">IF(OR(F210="",F210=0),"",E210/F210)</f>
        <v>0.714022140221402</v>
      </c>
      <c r="I210" s="21" t="s">
        <v>122</v>
      </c>
      <c r="J210" s="53" t="n">
        <v>3.15466234357281</v>
      </c>
      <c r="K210" s="52" t="n">
        <f aca="false">IF(G210="","",MAX(0,G210-J210/100))</f>
        <v>0.25443123634287</v>
      </c>
      <c r="L210" s="52" t="n">
        <f aca="false">IF(G210="","",MIN(1,G210+J210/100))</f>
        <v>0.317524483214326</v>
      </c>
      <c r="M210" s="37" t="n">
        <f aca="false">IF(F210="","",ROUND(F210*J210/100,0))</f>
        <v>17</v>
      </c>
      <c r="P210" s="54" t="n">
        <v>-20.6341910463658</v>
      </c>
      <c r="Q210" s="55" t="n">
        <f aca="false">T210*$H$5</f>
        <v>542.370466321243</v>
      </c>
      <c r="R210" s="56" t="n">
        <f aca="false">MAX(0,MIN(1,P210/100+$D$5))</f>
        <v>0.285875212917873</v>
      </c>
      <c r="S210" s="57" t="s">
        <v>123</v>
      </c>
      <c r="T210" s="55" t="n">
        <v>542.370466321243</v>
      </c>
    </row>
    <row r="211" customFormat="false" ht="15" hidden="false" customHeight="false" outlineLevel="0" collapsed="false">
      <c r="A211" s="21" t="s">
        <v>189</v>
      </c>
      <c r="B211" s="21" t="s">
        <v>356</v>
      </c>
      <c r="C211" s="21" t="s">
        <v>356</v>
      </c>
      <c r="D211" s="37" t="n">
        <f aca="false">ROUND(Q211*R211,0)</f>
        <v>973</v>
      </c>
      <c r="E211" s="37" t="n">
        <f aca="false">ROUND(Q211,0)-D211</f>
        <v>1767</v>
      </c>
      <c r="F211" s="37" t="n">
        <f aca="false">IF(COUNTA(D211:E211)=0,"",SUM(D211:E211))</f>
        <v>2740</v>
      </c>
      <c r="G211" s="52" t="n">
        <f aca="false">IF(OR(F211="",F211=0),"",D211/F211)</f>
        <v>0.355109489051095</v>
      </c>
      <c r="H211" s="52" t="n">
        <f aca="false">IF(OR(F211="",F211=0),"",E211/F211)</f>
        <v>0.644890510948905</v>
      </c>
      <c r="I211" s="21" t="s">
        <v>122</v>
      </c>
      <c r="J211" s="53" t="n">
        <v>1.24424911322721</v>
      </c>
      <c r="K211" s="52" t="n">
        <f aca="false">IF(G211="","",MAX(0,G211-J211/100))</f>
        <v>0.342666997918823</v>
      </c>
      <c r="L211" s="52" t="n">
        <f aca="false">IF(G211="","",MIN(1,G211+J211/100))</f>
        <v>0.367551980183367</v>
      </c>
      <c r="M211" s="37" t="n">
        <f aca="false">IF(F211="","",ROUND(F211*J211/100,0))</f>
        <v>34</v>
      </c>
      <c r="P211" s="54" t="n">
        <v>-13.7183501687507</v>
      </c>
      <c r="Q211" s="55" t="n">
        <f aca="false">T211*$H$5</f>
        <v>2739.5017118778</v>
      </c>
      <c r="R211" s="56" t="n">
        <f aca="false">MAX(0,MIN(1,P211/100+$D$5))</f>
        <v>0.355033621694024</v>
      </c>
      <c r="S211" s="57" t="s">
        <v>225</v>
      </c>
      <c r="T211" s="55" t="n">
        <v>2739.5017118778</v>
      </c>
    </row>
    <row r="212" customFormat="false" ht="15" hidden="false" customHeight="false" outlineLevel="0" collapsed="false">
      <c r="A212" s="21" t="s">
        <v>189</v>
      </c>
      <c r="B212" s="21" t="s">
        <v>357</v>
      </c>
      <c r="C212" s="21" t="s">
        <v>358</v>
      </c>
      <c r="D212" s="37" t="n">
        <f aca="false">ROUND(Q212*R212,0)</f>
        <v>672</v>
      </c>
      <c r="E212" s="37" t="n">
        <f aca="false">ROUND(Q212,0)-D212</f>
        <v>698</v>
      </c>
      <c r="F212" s="37" t="n">
        <f aca="false">IF(COUNTA(D212:E212)=0,"",SUM(D212:E212))</f>
        <v>1370</v>
      </c>
      <c r="G212" s="52" t="n">
        <f aca="false">IF(OR(F212="",F212=0),"",D212/F212)</f>
        <v>0.49051094890511</v>
      </c>
      <c r="H212" s="52" t="n">
        <f aca="false">IF(OR(F212="",F212=0),"",E212/F212)</f>
        <v>0.509489051094891</v>
      </c>
      <c r="I212" s="21" t="s">
        <v>122</v>
      </c>
      <c r="J212" s="53" t="n">
        <v>1.24424911322721</v>
      </c>
      <c r="K212" s="52" t="n">
        <f aca="false">IF(G212="","",MAX(0,G212-J212/100))</f>
        <v>0.478068457772837</v>
      </c>
      <c r="L212" s="52" t="n">
        <f aca="false">IF(G212="","",MIN(1,G212+J212/100))</f>
        <v>0.502953440037382</v>
      </c>
      <c r="M212" s="37" t="n">
        <f aca="false">IF(F212="","",ROUND(F212*J212/100,0))</f>
        <v>17</v>
      </c>
      <c r="P212" s="54" t="n">
        <v>-0.200509955943677</v>
      </c>
      <c r="Q212" s="55" t="n">
        <f aca="false">T212*$H$5</f>
        <v>1370.10933470861</v>
      </c>
      <c r="R212" s="56" t="n">
        <f aca="false">MAX(0,MIN(1,P212/100+$D$5))</f>
        <v>0.490212023822094</v>
      </c>
      <c r="S212" s="57" t="s">
        <v>225</v>
      </c>
      <c r="T212" s="55" t="n">
        <v>1370.10933470861</v>
      </c>
    </row>
    <row r="213" customFormat="false" ht="15" hidden="false" customHeight="false" outlineLevel="0" collapsed="false">
      <c r="A213" s="21" t="s">
        <v>189</v>
      </c>
      <c r="B213" s="21" t="s">
        <v>357</v>
      </c>
      <c r="C213" s="21" t="s">
        <v>359</v>
      </c>
      <c r="D213" s="37" t="n">
        <f aca="false">ROUND(Q213*R213,0)</f>
        <v>478</v>
      </c>
      <c r="E213" s="37" t="n">
        <f aca="false">ROUND(Q213,0)-D213</f>
        <v>498</v>
      </c>
      <c r="F213" s="37" t="n">
        <f aca="false">IF(COUNTA(D213:E213)=0,"",SUM(D213:E213))</f>
        <v>976</v>
      </c>
      <c r="G213" s="52" t="n">
        <f aca="false">IF(OR(F213="",F213=0),"",D213/F213)</f>
        <v>0.489754098360656</v>
      </c>
      <c r="H213" s="52" t="n">
        <f aca="false">IF(OR(F213="",F213=0),"",E213/F213)</f>
        <v>0.510245901639344</v>
      </c>
      <c r="I213" s="21" t="s">
        <v>122</v>
      </c>
      <c r="J213" s="53" t="n">
        <v>1.88510957763259</v>
      </c>
      <c r="K213" s="52" t="n">
        <f aca="false">IF(G213="","",MAX(0,G213-J213/100))</f>
        <v>0.47090300258433</v>
      </c>
      <c r="L213" s="52" t="n">
        <f aca="false">IF(G213="","",MIN(1,G213+J213/100))</f>
        <v>0.508605194136982</v>
      </c>
      <c r="M213" s="37" t="n">
        <f aca="false">IF(F213="","",ROUND(F213*J213/100,0))</f>
        <v>18</v>
      </c>
      <c r="P213" s="54" t="n">
        <v>-0.220753062720389</v>
      </c>
      <c r="Q213" s="55" t="n">
        <f aca="false">T213*$H$5</f>
        <v>975.592154420922</v>
      </c>
      <c r="R213" s="56" t="n">
        <f aca="false">MAX(0,MIN(1,P213/100+$D$5))</f>
        <v>0.490009592754327</v>
      </c>
      <c r="S213" s="57" t="s">
        <v>132</v>
      </c>
      <c r="T213" s="55" t="n">
        <v>975.592154420922</v>
      </c>
    </row>
    <row r="214" customFormat="false" ht="15" hidden="false" customHeight="false" outlineLevel="0" collapsed="false">
      <c r="A214" s="21" t="s">
        <v>189</v>
      </c>
      <c r="B214" s="21" t="s">
        <v>357</v>
      </c>
      <c r="C214" s="21" t="s">
        <v>360</v>
      </c>
      <c r="D214" s="37" t="n">
        <f aca="false">ROUND(Q214*R214,0)</f>
        <v>528</v>
      </c>
      <c r="E214" s="37" t="n">
        <f aca="false">ROUND(Q214,0)-D214</f>
        <v>409</v>
      </c>
      <c r="F214" s="37" t="n">
        <f aca="false">IF(COUNTA(D214:E214)=0,"",SUM(D214:E214))</f>
        <v>937</v>
      </c>
      <c r="G214" s="52" t="n">
        <f aca="false">IF(OR(F214="",F214=0),"",D214/F214)</f>
        <v>0.56350053361793</v>
      </c>
      <c r="H214" s="52" t="n">
        <f aca="false">IF(OR(F214="",F214=0),"",E214/F214)</f>
        <v>0.43649946638207</v>
      </c>
      <c r="I214" s="21" t="s">
        <v>122</v>
      </c>
      <c r="J214" s="53" t="n">
        <v>1.88510957763259</v>
      </c>
      <c r="K214" s="52" t="n">
        <f aca="false">IF(G214="","",MAX(0,G214-J214/100))</f>
        <v>0.544649437841604</v>
      </c>
      <c r="L214" s="52" t="n">
        <f aca="false">IF(G214="","",MIN(1,G214+J214/100))</f>
        <v>0.582351629394255</v>
      </c>
      <c r="M214" s="37" t="n">
        <f aca="false">IF(F214="","",ROUND(F214*J214/100,0))</f>
        <v>18</v>
      </c>
      <c r="P214" s="54" t="n">
        <v>7.13945117368898</v>
      </c>
      <c r="Q214" s="55" t="n">
        <f aca="false">T214*$H$5</f>
        <v>936.993243243243</v>
      </c>
      <c r="R214" s="56" t="n">
        <f aca="false">MAX(0,MIN(1,P214/100+$D$5))</f>
        <v>0.563611635118421</v>
      </c>
      <c r="S214" s="57" t="s">
        <v>132</v>
      </c>
      <c r="T214" s="55" t="n">
        <v>936.993243243243</v>
      </c>
    </row>
    <row r="215" customFormat="false" ht="15" hidden="false" customHeight="false" outlineLevel="0" collapsed="false">
      <c r="A215" s="21" t="s">
        <v>189</v>
      </c>
      <c r="B215" s="21" t="s">
        <v>357</v>
      </c>
      <c r="C215" s="21" t="s">
        <v>361</v>
      </c>
      <c r="D215" s="37" t="n">
        <f aca="false">ROUND(Q215*R215,0)</f>
        <v>589</v>
      </c>
      <c r="E215" s="37" t="n">
        <f aca="false">ROUND(Q215,0)-D215</f>
        <v>415</v>
      </c>
      <c r="F215" s="37" t="n">
        <f aca="false">IF(COUNTA(D215:E215)=0,"",SUM(D215:E215))</f>
        <v>1004</v>
      </c>
      <c r="G215" s="52" t="n">
        <f aca="false">IF(OR(F215="",F215=0),"",D215/F215)</f>
        <v>0.586653386454183</v>
      </c>
      <c r="H215" s="52" t="n">
        <f aca="false">IF(OR(F215="",F215=0),"",E215/F215)</f>
        <v>0.413346613545817</v>
      </c>
      <c r="I215" s="21" t="s">
        <v>122</v>
      </c>
      <c r="J215" s="53" t="n">
        <v>1.88510957763259</v>
      </c>
      <c r="K215" s="52" t="n">
        <f aca="false">IF(G215="","",MAX(0,G215-J215/100))</f>
        <v>0.567802290677857</v>
      </c>
      <c r="L215" s="52" t="n">
        <f aca="false">IF(G215="","",MIN(1,G215+J215/100))</f>
        <v>0.605504482230509</v>
      </c>
      <c r="M215" s="37" t="n">
        <f aca="false">IF(F215="","",ROUND(F215*J215/100,0))</f>
        <v>19</v>
      </c>
      <c r="P215" s="54" t="n">
        <v>9.4321979037582</v>
      </c>
      <c r="Q215" s="55" t="n">
        <f aca="false">T215*$H$5</f>
        <v>1003.94947569114</v>
      </c>
      <c r="R215" s="56" t="n">
        <f aca="false">MAX(0,MIN(1,P215/100+$D$5))</f>
        <v>0.586539102419113</v>
      </c>
      <c r="S215" s="57" t="s">
        <v>132</v>
      </c>
      <c r="T215" s="55" t="n">
        <v>1003.94947569114</v>
      </c>
    </row>
    <row r="216" customFormat="false" ht="15" hidden="false" customHeight="false" outlineLevel="0" collapsed="false">
      <c r="A216" s="21" t="s">
        <v>189</v>
      </c>
      <c r="B216" s="21" t="s">
        <v>357</v>
      </c>
      <c r="C216" s="21" t="s">
        <v>362</v>
      </c>
      <c r="D216" s="37" t="n">
        <f aca="false">ROUND(Q216*R216,0)</f>
        <v>222</v>
      </c>
      <c r="E216" s="37" t="n">
        <f aca="false">ROUND(Q216,0)-D216</f>
        <v>177</v>
      </c>
      <c r="F216" s="37" t="n">
        <f aca="false">IF(COUNTA(D216:E216)=0,"",SUM(D216:E216))</f>
        <v>399</v>
      </c>
      <c r="G216" s="52" t="n">
        <f aca="false">IF(OR(F216="",F216=0),"",D216/F216)</f>
        <v>0.556390977443609</v>
      </c>
      <c r="H216" s="52" t="n">
        <f aca="false">IF(OR(F216="",F216=0),"",E216/F216)</f>
        <v>0.443609022556391</v>
      </c>
      <c r="I216" s="21" t="s">
        <v>122</v>
      </c>
      <c r="J216" s="53" t="n">
        <v>3.15466234357281</v>
      </c>
      <c r="K216" s="52" t="n">
        <f aca="false">IF(G216="","",MAX(0,G216-J216/100))</f>
        <v>0.524844354007881</v>
      </c>
      <c r="L216" s="52" t="n">
        <f aca="false">IF(G216="","",MIN(1,G216+J216/100))</f>
        <v>0.587937600879337</v>
      </c>
      <c r="M216" s="37" t="n">
        <f aca="false">IF(F216="","",ROUND(F216*J216/100,0))</f>
        <v>13</v>
      </c>
      <c r="P216" s="54" t="n">
        <v>6.46731565939054</v>
      </c>
      <c r="Q216" s="55" t="n">
        <f aca="false">T216*$H$5</f>
        <v>398.675306957708</v>
      </c>
      <c r="R216" s="56" t="n">
        <f aca="false">MAX(0,MIN(1,P216/100+$D$5))</f>
        <v>0.556890279975436</v>
      </c>
      <c r="S216" s="57" t="s">
        <v>123</v>
      </c>
      <c r="T216" s="55" t="n">
        <v>398.675306957708</v>
      </c>
    </row>
    <row r="217" customFormat="false" ht="15" hidden="false" customHeight="false" outlineLevel="0" collapsed="false">
      <c r="A217" s="21" t="s">
        <v>189</v>
      </c>
      <c r="B217" s="21" t="s">
        <v>357</v>
      </c>
      <c r="C217" s="21" t="s">
        <v>363</v>
      </c>
      <c r="D217" s="37" t="n">
        <f aca="false">ROUND(Q217*R217,0)</f>
        <v>313</v>
      </c>
      <c r="E217" s="37" t="n">
        <f aca="false">ROUND(Q217,0)-D217</f>
        <v>207</v>
      </c>
      <c r="F217" s="37" t="n">
        <f aca="false">IF(COUNTA(D217:E217)=0,"",SUM(D217:E217))</f>
        <v>520</v>
      </c>
      <c r="G217" s="52" t="n">
        <f aca="false">IF(OR(F217="",F217=0),"",D217/F217)</f>
        <v>0.601923076923077</v>
      </c>
      <c r="H217" s="52" t="n">
        <f aca="false">IF(OR(F217="",F217=0),"",E217/F217)</f>
        <v>0.398076923076923</v>
      </c>
      <c r="I217" s="21" t="s">
        <v>122</v>
      </c>
      <c r="J217" s="53" t="n">
        <v>3.15466234357281</v>
      </c>
      <c r="K217" s="52" t="n">
        <f aca="false">IF(G217="","",MAX(0,G217-J217/100))</f>
        <v>0.570376453487349</v>
      </c>
      <c r="L217" s="52" t="n">
        <f aca="false">IF(G217="","",MIN(1,G217+J217/100))</f>
        <v>0.633469700358805</v>
      </c>
      <c r="M217" s="37" t="n">
        <f aca="false">IF(F217="","",ROUND(F217*J217/100,0))</f>
        <v>16</v>
      </c>
      <c r="P217" s="54" t="n">
        <v>10.8775220724043</v>
      </c>
      <c r="Q217" s="55" t="n">
        <f aca="false">T217*$H$5</f>
        <v>520.227272727273</v>
      </c>
      <c r="R217" s="56" t="n">
        <f aca="false">MAX(0,MIN(1,P217/100+$D$5))</f>
        <v>0.600992344105574</v>
      </c>
      <c r="S217" s="57" t="s">
        <v>123</v>
      </c>
      <c r="T217" s="55" t="n">
        <v>520.227272727273</v>
      </c>
    </row>
    <row r="218" customFormat="false" ht="15" hidden="false" customHeight="false" outlineLevel="0" collapsed="false">
      <c r="A218" s="21" t="s">
        <v>189</v>
      </c>
      <c r="B218" s="21" t="s">
        <v>357</v>
      </c>
      <c r="C218" s="21" t="s">
        <v>364</v>
      </c>
      <c r="D218" s="37" t="n">
        <f aca="false">ROUND(Q218*R218,0)</f>
        <v>389</v>
      </c>
      <c r="E218" s="37" t="n">
        <f aca="false">ROUND(Q218,0)-D218</f>
        <v>298</v>
      </c>
      <c r="F218" s="37" t="n">
        <f aca="false">IF(COUNTA(D218:E218)=0,"",SUM(D218:E218))</f>
        <v>687</v>
      </c>
      <c r="G218" s="52" t="n">
        <f aca="false">IF(OR(F218="",F218=0),"",D218/F218)</f>
        <v>0.566229985443959</v>
      </c>
      <c r="H218" s="52" t="n">
        <f aca="false">IF(OR(F218="",F218=0),"",E218/F218)</f>
        <v>0.433770014556041</v>
      </c>
      <c r="I218" s="21" t="s">
        <v>122</v>
      </c>
      <c r="J218" s="53" t="n">
        <v>3.15466234357281</v>
      </c>
      <c r="K218" s="52" t="n">
        <f aca="false">IF(G218="","",MAX(0,G218-J218/100))</f>
        <v>0.534683362008231</v>
      </c>
      <c r="L218" s="52" t="n">
        <f aca="false">IF(G218="","",MIN(1,G218+J218/100))</f>
        <v>0.597776608879687</v>
      </c>
      <c r="M218" s="37" t="n">
        <f aca="false">IF(F218="","",ROUND(F218*J218/100,0))</f>
        <v>22</v>
      </c>
      <c r="P218" s="54" t="n">
        <v>7.30541589452001</v>
      </c>
      <c r="Q218" s="55" t="n">
        <f aca="false">T218*$H$5</f>
        <v>687.489614243323</v>
      </c>
      <c r="R218" s="56" t="n">
        <f aca="false">MAX(0,MIN(1,P218/100+$D$5))</f>
        <v>0.565271282326731</v>
      </c>
      <c r="S218" s="57" t="s">
        <v>123</v>
      </c>
      <c r="T218" s="55" t="n">
        <v>687.489614243323</v>
      </c>
    </row>
    <row r="219" customFormat="false" ht="15" hidden="false" customHeight="false" outlineLevel="0" collapsed="false">
      <c r="A219" s="21" t="s">
        <v>189</v>
      </c>
      <c r="B219" s="21" t="s">
        <v>357</v>
      </c>
      <c r="C219" s="21" t="s">
        <v>365</v>
      </c>
      <c r="D219" s="37" t="n">
        <f aca="false">ROUND(Q219*R219,0)</f>
        <v>221</v>
      </c>
      <c r="E219" s="37" t="n">
        <f aca="false">ROUND(Q219,0)-D219</f>
        <v>229</v>
      </c>
      <c r="F219" s="37" t="n">
        <f aca="false">IF(COUNTA(D219:E219)=0,"",SUM(D219:E219))</f>
        <v>450</v>
      </c>
      <c r="G219" s="52" t="n">
        <f aca="false">IF(OR(F219="",F219=0),"",D219/F219)</f>
        <v>0.491111111111111</v>
      </c>
      <c r="H219" s="52" t="n">
        <f aca="false">IF(OR(F219="",F219=0),"",E219/F219)</f>
        <v>0.508888888888889</v>
      </c>
      <c r="I219" s="21" t="s">
        <v>122</v>
      </c>
      <c r="J219" s="53" t="n">
        <v>3.15466234357281</v>
      </c>
      <c r="K219" s="52" t="n">
        <f aca="false">IF(G219="","",MAX(0,G219-J219/100))</f>
        <v>0.459564487675383</v>
      </c>
      <c r="L219" s="52" t="n">
        <f aca="false">IF(G219="","",MIN(1,G219+J219/100))</f>
        <v>0.522657734546839</v>
      </c>
      <c r="M219" s="37" t="n">
        <f aca="false">IF(F219="","",ROUND(F219*J219/100,0))</f>
        <v>14</v>
      </c>
      <c r="P219" s="54" t="n">
        <v>-0.156708417180799</v>
      </c>
      <c r="Q219" s="55" t="n">
        <f aca="false">T219*$H$5</f>
        <v>449.830708661417</v>
      </c>
      <c r="R219" s="56" t="n">
        <f aca="false">MAX(0,MIN(1,P219/100+$D$5))</f>
        <v>0.490650039209723</v>
      </c>
      <c r="S219" s="57" t="s">
        <v>123</v>
      </c>
      <c r="T219" s="55" t="n">
        <v>449.830708661417</v>
      </c>
    </row>
    <row r="220" customFormat="false" ht="15" hidden="false" customHeight="false" outlineLevel="0" collapsed="false">
      <c r="A220" s="21" t="s">
        <v>189</v>
      </c>
      <c r="B220" s="21" t="s">
        <v>357</v>
      </c>
      <c r="C220" s="21" t="s">
        <v>366</v>
      </c>
      <c r="D220" s="37" t="n">
        <f aca="false">ROUND(Q220*R220,0)</f>
        <v>412</v>
      </c>
      <c r="E220" s="37" t="n">
        <f aca="false">ROUND(Q220,0)-D220</f>
        <v>371</v>
      </c>
      <c r="F220" s="37" t="n">
        <f aca="false">IF(COUNTA(D220:E220)=0,"",SUM(D220:E220))</f>
        <v>783</v>
      </c>
      <c r="G220" s="52" t="n">
        <f aca="false">IF(OR(F220="",F220=0),"",D220/F220)</f>
        <v>0.526181353767561</v>
      </c>
      <c r="H220" s="52" t="n">
        <f aca="false">IF(OR(F220="",F220=0),"",E220/F220)</f>
        <v>0.473818646232439</v>
      </c>
      <c r="I220" s="21" t="s">
        <v>122</v>
      </c>
      <c r="J220" s="53" t="n">
        <v>1.88510957763259</v>
      </c>
      <c r="K220" s="52" t="n">
        <f aca="false">IF(G220="","",MAX(0,G220-J220/100))</f>
        <v>0.507330257991235</v>
      </c>
      <c r="L220" s="52" t="n">
        <f aca="false">IF(G220="","",MIN(1,G220+J220/100))</f>
        <v>0.545032449543887</v>
      </c>
      <c r="M220" s="37" t="n">
        <f aca="false">IF(F220="","",ROUND(F220*J220/100,0))</f>
        <v>15</v>
      </c>
      <c r="P220" s="54" t="n">
        <v>3.39276781531447</v>
      </c>
      <c r="Q220" s="55" t="n">
        <f aca="false">T220*$H$5</f>
        <v>782.513274336283</v>
      </c>
      <c r="R220" s="56" t="n">
        <f aca="false">MAX(0,MIN(1,P220/100+$D$5))</f>
        <v>0.526144801534676</v>
      </c>
      <c r="S220" s="57" t="s">
        <v>132</v>
      </c>
      <c r="T220" s="55" t="n">
        <v>782.513274336283</v>
      </c>
    </row>
    <row r="221" customFormat="false" ht="15" hidden="false" customHeight="false" outlineLevel="0" collapsed="false">
      <c r="A221" s="21" t="s">
        <v>189</v>
      </c>
      <c r="B221" s="21" t="s">
        <v>357</v>
      </c>
      <c r="C221" s="21" t="s">
        <v>367</v>
      </c>
      <c r="D221" s="37" t="n">
        <f aca="false">ROUND(Q221*R221,0)</f>
        <v>677</v>
      </c>
      <c r="E221" s="37" t="n">
        <f aca="false">ROUND(Q221,0)-D221</f>
        <v>718</v>
      </c>
      <c r="F221" s="37" t="n">
        <f aca="false">IF(COUNTA(D221:E221)=0,"",SUM(D221:E221))</f>
        <v>1395</v>
      </c>
      <c r="G221" s="52" t="n">
        <f aca="false">IF(OR(F221="",F221=0),"",D221/F221)</f>
        <v>0.485304659498208</v>
      </c>
      <c r="H221" s="52" t="n">
        <f aca="false">IF(OR(F221="",F221=0),"",E221/F221)</f>
        <v>0.514695340501792</v>
      </c>
      <c r="I221" s="21" t="s">
        <v>122</v>
      </c>
      <c r="J221" s="53" t="n">
        <v>1.24424911322721</v>
      </c>
      <c r="K221" s="52" t="n">
        <f aca="false">IF(G221="","",MAX(0,G221-J221/100))</f>
        <v>0.472862168365936</v>
      </c>
      <c r="L221" s="52" t="n">
        <f aca="false">IF(G221="","",MIN(1,G221+J221/100))</f>
        <v>0.49774715063048</v>
      </c>
      <c r="M221" s="37" t="n">
        <f aca="false">IF(F221="","",ROUND(F221*J221/100,0))</f>
        <v>17</v>
      </c>
      <c r="P221" s="54" t="n">
        <v>-0.679533285393304</v>
      </c>
      <c r="Q221" s="55" t="n">
        <f aca="false">T221*$H$5</f>
        <v>1394.83442469598</v>
      </c>
      <c r="R221" s="56" t="n">
        <f aca="false">MAX(0,MIN(1,P221/100+$D$5))</f>
        <v>0.485421790527598</v>
      </c>
      <c r="S221" s="57" t="s">
        <v>225</v>
      </c>
      <c r="T221" s="55" t="n">
        <v>1394.83442469598</v>
      </c>
    </row>
    <row r="222" customFormat="false" ht="15" hidden="false" customHeight="false" outlineLevel="0" collapsed="false">
      <c r="A222" s="21" t="s">
        <v>189</v>
      </c>
      <c r="B222" s="21" t="s">
        <v>357</v>
      </c>
      <c r="C222" s="21" t="s">
        <v>368</v>
      </c>
      <c r="D222" s="37" t="n">
        <f aca="false">ROUND(Q222*R222,0)</f>
        <v>574</v>
      </c>
      <c r="E222" s="37" t="n">
        <f aca="false">ROUND(Q222,0)-D222</f>
        <v>558</v>
      </c>
      <c r="F222" s="37" t="n">
        <f aca="false">IF(COUNTA(D222:E222)=0,"",SUM(D222:E222))</f>
        <v>1132</v>
      </c>
      <c r="G222" s="52" t="n">
        <f aca="false">IF(OR(F222="",F222=0),"",D222/F222)</f>
        <v>0.507067137809187</v>
      </c>
      <c r="H222" s="52" t="n">
        <f aca="false">IF(OR(F222="",F222=0),"",E222/F222)</f>
        <v>0.492932862190813</v>
      </c>
      <c r="I222" s="21" t="s">
        <v>122</v>
      </c>
      <c r="J222" s="53" t="n">
        <v>1.88510957763259</v>
      </c>
      <c r="K222" s="52" t="n">
        <f aca="false">IF(G222="","",MAX(0,G222-J222/100))</f>
        <v>0.488216042032861</v>
      </c>
      <c r="L222" s="52" t="n">
        <f aca="false">IF(G222="","",MIN(1,G222+J222/100))</f>
        <v>0.525918233585513</v>
      </c>
      <c r="M222" s="37" t="n">
        <f aca="false">IF(F222="","",ROUND(F222*J222/100,0))</f>
        <v>21</v>
      </c>
      <c r="P222" s="54" t="n">
        <v>1.45604003771212</v>
      </c>
      <c r="Q222" s="55" t="n">
        <f aca="false">T222*$H$5</f>
        <v>1132.25997719498</v>
      </c>
      <c r="R222" s="56" t="n">
        <f aca="false">MAX(0,MIN(1,P222/100+$D$5))</f>
        <v>0.506777523758652</v>
      </c>
      <c r="S222" s="57" t="s">
        <v>132</v>
      </c>
      <c r="T222" s="55" t="n">
        <v>1132.25997719498</v>
      </c>
    </row>
    <row r="223" customFormat="false" ht="15" hidden="false" customHeight="false" outlineLevel="0" collapsed="false">
      <c r="A223" s="21" t="s">
        <v>189</v>
      </c>
      <c r="B223" s="21" t="s">
        <v>357</v>
      </c>
      <c r="C223" s="21" t="s">
        <v>369</v>
      </c>
      <c r="D223" s="37" t="n">
        <f aca="false">ROUND(Q223*R223,0)</f>
        <v>447</v>
      </c>
      <c r="E223" s="37" t="n">
        <f aca="false">ROUND(Q223,0)-D223</f>
        <v>408</v>
      </c>
      <c r="F223" s="37" t="n">
        <f aca="false">IF(COUNTA(D223:E223)=0,"",SUM(D223:E223))</f>
        <v>855</v>
      </c>
      <c r="G223" s="52" t="n">
        <f aca="false">IF(OR(F223="",F223=0),"",D223/F223)</f>
        <v>0.52280701754386</v>
      </c>
      <c r="H223" s="52" t="n">
        <f aca="false">IF(OR(F223="",F223=0),"",E223/F223)</f>
        <v>0.47719298245614</v>
      </c>
      <c r="I223" s="21" t="s">
        <v>122</v>
      </c>
      <c r="J223" s="53" t="n">
        <v>1.88510957763259</v>
      </c>
      <c r="K223" s="52" t="n">
        <f aca="false">IF(G223="","",MAX(0,G223-J223/100))</f>
        <v>0.503955921767534</v>
      </c>
      <c r="L223" s="52" t="n">
        <f aca="false">IF(G223="","",MIN(1,G223+J223/100))</f>
        <v>0.541658113320186</v>
      </c>
      <c r="M223" s="37" t="n">
        <f aca="false">IF(F223="","",ROUND(F223*J223/100,0))</f>
        <v>16</v>
      </c>
      <c r="P223" s="54" t="n">
        <v>3.08728115881435</v>
      </c>
      <c r="Q223" s="55" t="n">
        <f aca="false">T223*$H$5</f>
        <v>855.159618008186</v>
      </c>
      <c r="R223" s="56" t="n">
        <f aca="false">MAX(0,MIN(1,P223/100+$D$5))</f>
        <v>0.523089934969674</v>
      </c>
      <c r="S223" s="57" t="s">
        <v>132</v>
      </c>
      <c r="T223" s="55" t="n">
        <v>855.159618008186</v>
      </c>
    </row>
    <row r="224" customFormat="false" ht="15" hidden="false" customHeight="false" outlineLevel="0" collapsed="false">
      <c r="A224" s="21" t="s">
        <v>370</v>
      </c>
      <c r="B224" s="21" t="s">
        <v>371</v>
      </c>
      <c r="C224" s="21" t="s">
        <v>372</v>
      </c>
      <c r="D224" s="37" t="n">
        <f aca="false">ROUND(Q224*R224,0)</f>
        <v>375</v>
      </c>
      <c r="E224" s="37" t="n">
        <f aca="false">ROUND(Q224,0)-D224</f>
        <v>859</v>
      </c>
      <c r="F224" s="37" t="n">
        <f aca="false">IF(COUNTA(D224:E224)=0,"",SUM(D224:E224))</f>
        <v>1234</v>
      </c>
      <c r="G224" s="52" t="n">
        <f aca="false">IF(OR(F224="",F224=0),"",D224/F224)</f>
        <v>0.303889789303079</v>
      </c>
      <c r="H224" s="52" t="n">
        <f aca="false">IF(OR(F224="",F224=0),"",E224/F224)</f>
        <v>0.696110210696921</v>
      </c>
      <c r="I224" s="21" t="s">
        <v>122</v>
      </c>
      <c r="J224" s="53" t="n">
        <v>1.24424911322721</v>
      </c>
      <c r="K224" s="52" t="n">
        <f aca="false">IF(G224="","",MAX(0,G224-J224/100))</f>
        <v>0.291447298170807</v>
      </c>
      <c r="L224" s="52" t="n">
        <f aca="false">IF(G224="","",MIN(1,G224+J224/100))</f>
        <v>0.316332280435351</v>
      </c>
      <c r="M224" s="37" t="n">
        <f aca="false">IF(F224="","",ROUND(F224*J224/100,0))</f>
        <v>15</v>
      </c>
      <c r="P224" s="54" t="n">
        <v>-18.836415183851</v>
      </c>
      <c r="Q224" s="55" t="n">
        <f aca="false">T224*$H$5</f>
        <v>1234.45226917058</v>
      </c>
      <c r="R224" s="56" t="n">
        <f aca="false">MAX(0,MIN(1,P224/100+$D$5))</f>
        <v>0.303852971543021</v>
      </c>
      <c r="S224" s="57" t="s">
        <v>225</v>
      </c>
      <c r="T224" s="55" t="n">
        <v>1234.45226917058</v>
      </c>
    </row>
    <row r="225" customFormat="false" ht="15" hidden="false" customHeight="false" outlineLevel="0" collapsed="false">
      <c r="A225" s="21" t="s">
        <v>370</v>
      </c>
      <c r="B225" s="21" t="s">
        <v>373</v>
      </c>
      <c r="C225" s="21" t="s">
        <v>374</v>
      </c>
      <c r="D225" s="37" t="n">
        <f aca="false">ROUND(Q225*R225,0)</f>
        <v>1044</v>
      </c>
      <c r="E225" s="37" t="n">
        <f aca="false">ROUND(Q225,0)-D225</f>
        <v>2106</v>
      </c>
      <c r="F225" s="37" t="n">
        <f aca="false">IF(COUNTA(D225:E225)=0,"",SUM(D225:E225))</f>
        <v>3150</v>
      </c>
      <c r="G225" s="52" t="n">
        <f aca="false">IF(OR(F225="",F225=0),"",D225/F225)</f>
        <v>0.331428571428571</v>
      </c>
      <c r="H225" s="52" t="n">
        <f aca="false">IF(OR(F225="",F225=0),"",E225/F225)</f>
        <v>0.668571428571429</v>
      </c>
      <c r="I225" s="21" t="s">
        <v>122</v>
      </c>
      <c r="J225" s="53" t="n">
        <v>1.24424911322721</v>
      </c>
      <c r="K225" s="52" t="n">
        <f aca="false">IF(G225="","",MAX(0,G225-J225/100))</f>
        <v>0.318986080296299</v>
      </c>
      <c r="L225" s="52" t="n">
        <f aca="false">IF(G225="","",MIN(1,G225+J225/100))</f>
        <v>0.343871062560843</v>
      </c>
      <c r="M225" s="37" t="n">
        <f aca="false">IF(F225="","",ROUND(F225*J225/100,0))</f>
        <v>39</v>
      </c>
      <c r="P225" s="54" t="n">
        <v>-16.0972468667947</v>
      </c>
      <c r="Q225" s="55" t="n">
        <f aca="false">T225*$H$5</f>
        <v>3150.44851429639</v>
      </c>
      <c r="R225" s="56" t="n">
        <f aca="false">MAX(0,MIN(1,P225/100+$D$5))</f>
        <v>0.331244654713584</v>
      </c>
      <c r="S225" s="57" t="s">
        <v>225</v>
      </c>
      <c r="T225" s="55" t="n">
        <v>3150.44851429639</v>
      </c>
    </row>
    <row r="226" customFormat="false" ht="15" hidden="false" customHeight="false" outlineLevel="0" collapsed="false">
      <c r="A226" s="21" t="s">
        <v>370</v>
      </c>
      <c r="B226" s="21" t="s">
        <v>375</v>
      </c>
      <c r="C226" s="21" t="s">
        <v>376</v>
      </c>
      <c r="D226" s="37" t="n">
        <f aca="false">ROUND(Q226*R226,0)</f>
        <v>408</v>
      </c>
      <c r="E226" s="37" t="n">
        <f aca="false">ROUND(Q226,0)-D226</f>
        <v>763</v>
      </c>
      <c r="F226" s="37" t="n">
        <f aca="false">IF(COUNTA(D226:E226)=0,"",SUM(D226:E226))</f>
        <v>1171</v>
      </c>
      <c r="G226" s="52" t="n">
        <f aca="false">IF(OR(F226="",F226=0),"",D226/F226)</f>
        <v>0.348420153714774</v>
      </c>
      <c r="H226" s="52" t="n">
        <f aca="false">IF(OR(F226="",F226=0),"",E226/F226)</f>
        <v>0.651579846285226</v>
      </c>
      <c r="I226" s="21" t="s">
        <v>122</v>
      </c>
      <c r="J226" s="53" t="n">
        <v>1.88510957763259</v>
      </c>
      <c r="K226" s="52" t="n">
        <f aca="false">IF(G226="","",MAX(0,G226-J226/100))</f>
        <v>0.329569057938448</v>
      </c>
      <c r="L226" s="52" t="n">
        <f aca="false">IF(G226="","",MIN(1,G226+J226/100))</f>
        <v>0.3672712494911</v>
      </c>
      <c r="M226" s="37" t="n">
        <f aca="false">IF(F226="","",ROUND(F226*J226/100,0))</f>
        <v>22</v>
      </c>
      <c r="P226" s="54" t="n">
        <v>-14.4021887783177</v>
      </c>
      <c r="Q226" s="55" t="n">
        <f aca="false">T226*$H$5</f>
        <v>1170.82273494654</v>
      </c>
      <c r="R226" s="56" t="n">
        <f aca="false">MAX(0,MIN(1,P226/100+$D$5))</f>
        <v>0.348195235598354</v>
      </c>
      <c r="S226" s="57" t="s">
        <v>132</v>
      </c>
      <c r="T226" s="55" t="n">
        <v>1170.82273494654</v>
      </c>
    </row>
    <row r="227" customFormat="false" ht="15" hidden="false" customHeight="false" outlineLevel="0" collapsed="false">
      <c r="A227" s="21" t="s">
        <v>377</v>
      </c>
      <c r="B227" s="21" t="s">
        <v>378</v>
      </c>
      <c r="C227" s="21" t="s">
        <v>379</v>
      </c>
      <c r="D227" s="37" t="n">
        <f aca="false">ROUND(Q227*R227,0)</f>
        <v>591</v>
      </c>
      <c r="E227" s="37" t="n">
        <f aca="false">ROUND(Q227,0)-D227</f>
        <v>813</v>
      </c>
      <c r="F227" s="37" t="n">
        <f aca="false">IF(COUNTA(D227:E227)=0,"",SUM(D227:E227))</f>
        <v>1404</v>
      </c>
      <c r="G227" s="52" t="n">
        <f aca="false">IF(OR(F227="",F227=0),"",D227/F227)</f>
        <v>0.420940170940171</v>
      </c>
      <c r="H227" s="52" t="n">
        <f aca="false">IF(OR(F227="",F227=0),"",E227/F227)</f>
        <v>0.579059829059829</v>
      </c>
      <c r="I227" s="21" t="s">
        <v>122</v>
      </c>
      <c r="J227" s="53" t="n">
        <v>1.24424911322721</v>
      </c>
      <c r="K227" s="52" t="n">
        <f aca="false">IF(G227="","",MAX(0,G227-J227/100))</f>
        <v>0.408497679807899</v>
      </c>
      <c r="L227" s="52" t="n">
        <f aca="false">IF(G227="","",MIN(1,G227+J227/100))</f>
        <v>0.433382662072443</v>
      </c>
      <c r="M227" s="37" t="n">
        <f aca="false">IF(F227="","",ROUND(F227*J227/100,0))</f>
        <v>17</v>
      </c>
      <c r="P227" s="54" t="n">
        <v>-7.07912027210306</v>
      </c>
      <c r="Q227" s="55" t="n">
        <f aca="false">T227*$H$5</f>
        <v>1403.51261829653</v>
      </c>
      <c r="R227" s="56" t="n">
        <f aca="false">MAX(0,MIN(1,P227/100+$D$5))</f>
        <v>0.4214259206605</v>
      </c>
      <c r="S227" s="57" t="s">
        <v>225</v>
      </c>
      <c r="T227" s="55" t="n">
        <v>1403.51261829653</v>
      </c>
    </row>
    <row r="228" customFormat="false" ht="15" hidden="false" customHeight="false" outlineLevel="0" collapsed="false">
      <c r="A228" s="21" t="s">
        <v>377</v>
      </c>
      <c r="B228" s="21" t="s">
        <v>378</v>
      </c>
      <c r="C228" s="21" t="s">
        <v>380</v>
      </c>
      <c r="D228" s="37" t="n">
        <f aca="false">ROUND(Q228*R228,0)</f>
        <v>629</v>
      </c>
      <c r="E228" s="37" t="n">
        <f aca="false">ROUND(Q228,0)-D228</f>
        <v>684</v>
      </c>
      <c r="F228" s="37" t="n">
        <f aca="false">IF(COUNTA(D228:E228)=0,"",SUM(D228:E228))</f>
        <v>1313</v>
      </c>
      <c r="G228" s="52" t="n">
        <f aca="false">IF(OR(F228="",F228=0),"",D228/F228)</f>
        <v>0.479055597867479</v>
      </c>
      <c r="H228" s="52" t="n">
        <f aca="false">IF(OR(F228="",F228=0),"",E228/F228)</f>
        <v>0.520944402132521</v>
      </c>
      <c r="I228" s="21" t="s">
        <v>122</v>
      </c>
      <c r="J228" s="53" t="n">
        <v>1.24424911322721</v>
      </c>
      <c r="K228" s="52" t="n">
        <f aca="false">IF(G228="","",MAX(0,G228-J228/100))</f>
        <v>0.466613106735207</v>
      </c>
      <c r="L228" s="52" t="n">
        <f aca="false">IF(G228="","",MIN(1,G228+J228/100))</f>
        <v>0.491498088999751</v>
      </c>
      <c r="M228" s="37" t="n">
        <f aca="false">IF(F228="","",ROUND(F228*J228/100,0))</f>
        <v>16</v>
      </c>
      <c r="P228" s="54" t="n">
        <v>-1.32415547380883</v>
      </c>
      <c r="Q228" s="55" t="n">
        <f aca="false">T228*$H$5</f>
        <v>1312.76307554761</v>
      </c>
      <c r="R228" s="56" t="n">
        <f aca="false">MAX(0,MIN(1,P228/100+$D$5))</f>
        <v>0.478975568643443</v>
      </c>
      <c r="S228" s="57" t="s">
        <v>225</v>
      </c>
      <c r="T228" s="55" t="n">
        <v>1312.76307554761</v>
      </c>
    </row>
    <row r="229" customFormat="false" ht="15" hidden="false" customHeight="false" outlineLevel="0" collapsed="false">
      <c r="A229" s="21" t="s">
        <v>377</v>
      </c>
      <c r="B229" s="21" t="s">
        <v>381</v>
      </c>
      <c r="C229" s="21" t="s">
        <v>382</v>
      </c>
      <c r="D229" s="37" t="n">
        <f aca="false">ROUND(Q229*R229,0)</f>
        <v>616</v>
      </c>
      <c r="E229" s="37" t="n">
        <f aca="false">ROUND(Q229,0)-D229</f>
        <v>918</v>
      </c>
      <c r="F229" s="37" t="n">
        <f aca="false">IF(COUNTA(D229:E229)=0,"",SUM(D229:E229))</f>
        <v>1534</v>
      </c>
      <c r="G229" s="52" t="n">
        <f aca="false">IF(OR(F229="",F229=0),"",D229/F229)</f>
        <v>0.401564537157758</v>
      </c>
      <c r="H229" s="52" t="n">
        <f aca="false">IF(OR(F229="",F229=0),"",E229/F229)</f>
        <v>0.598435462842243</v>
      </c>
      <c r="I229" s="21" t="s">
        <v>223</v>
      </c>
      <c r="J229" s="53" t="n">
        <v>1.24424911322721</v>
      </c>
      <c r="K229" s="52" t="n">
        <f aca="false">IF(G229="","",MAX(0,G229-J229/100))</f>
        <v>0.389122046025485</v>
      </c>
      <c r="L229" s="52" t="n">
        <f aca="false">IF(G229="","",MIN(1,G229+J229/100))</f>
        <v>0.41400702829003</v>
      </c>
      <c r="M229" s="37" t="n">
        <f aca="false">IF(F229="","",ROUND(F229*J229/100,0))</f>
        <v>19</v>
      </c>
      <c r="P229" s="54" t="n">
        <v>-9.08678118370839</v>
      </c>
      <c r="Q229" s="55" t="n">
        <f aca="false">T229*$H$5</f>
        <v>1533.89973598051</v>
      </c>
      <c r="R229" s="56" t="n">
        <f aca="false">MAX(0,MIN(1,P229/100+$D$5))</f>
        <v>0.401349311544447</v>
      </c>
      <c r="S229" s="57" t="s">
        <v>225</v>
      </c>
      <c r="T229" s="55" t="n">
        <v>1533.89973598051</v>
      </c>
    </row>
    <row r="230" customFormat="false" ht="15" hidden="false" customHeight="false" outlineLevel="0" collapsed="false">
      <c r="A230" s="21" t="s">
        <v>377</v>
      </c>
      <c r="B230" s="21" t="s">
        <v>381</v>
      </c>
      <c r="C230" s="21" t="s">
        <v>383</v>
      </c>
      <c r="D230" s="37" t="n">
        <f aca="false">ROUND(Q230*R230,0)</f>
        <v>707</v>
      </c>
      <c r="E230" s="37" t="n">
        <f aca="false">ROUND(Q230,0)-D230</f>
        <v>986</v>
      </c>
      <c r="F230" s="37" t="n">
        <f aca="false">IF(COUNTA(D230:E230)=0,"",SUM(D230:E230))</f>
        <v>1693</v>
      </c>
      <c r="G230" s="52" t="n">
        <f aca="false">IF(OR(F230="",F230=0),"",D230/F230)</f>
        <v>0.417601890135854</v>
      </c>
      <c r="H230" s="52" t="n">
        <f aca="false">IF(OR(F230="",F230=0),"",E230/F230)</f>
        <v>0.582398109864147</v>
      </c>
      <c r="I230" s="21" t="s">
        <v>223</v>
      </c>
      <c r="J230" s="53" t="n">
        <v>1.24424911322721</v>
      </c>
      <c r="K230" s="52" t="n">
        <f aca="false">IF(G230="","",MAX(0,G230-J230/100))</f>
        <v>0.405159399003582</v>
      </c>
      <c r="L230" s="52" t="n">
        <f aca="false">IF(G230="","",MIN(1,G230+J230/100))</f>
        <v>0.430044381268126</v>
      </c>
      <c r="M230" s="37" t="n">
        <f aca="false">IF(F230="","",ROUND(F230*J230/100,0))</f>
        <v>21</v>
      </c>
      <c r="P230" s="54" t="n">
        <v>-7.48357330923858</v>
      </c>
      <c r="Q230" s="55" t="n">
        <f aca="false">T230*$H$5</f>
        <v>1693.35062700362</v>
      </c>
      <c r="R230" s="56" t="n">
        <f aca="false">MAX(0,MIN(1,P230/100+$D$5))</f>
        <v>0.417381390289145</v>
      </c>
      <c r="S230" s="57" t="s">
        <v>225</v>
      </c>
      <c r="T230" s="55" t="n">
        <v>1693.35062700362</v>
      </c>
    </row>
    <row r="231" customFormat="false" ht="15" hidden="false" customHeight="false" outlineLevel="0" collapsed="false">
      <c r="A231" s="21" t="s">
        <v>377</v>
      </c>
      <c r="B231" s="21" t="s">
        <v>384</v>
      </c>
      <c r="C231" s="21" t="s">
        <v>385</v>
      </c>
      <c r="D231" s="37" t="n">
        <f aca="false">ROUND(Q231*R231,0)</f>
        <v>487</v>
      </c>
      <c r="E231" s="37" t="n">
        <f aca="false">ROUND(Q231,0)-D231</f>
        <v>529</v>
      </c>
      <c r="F231" s="37" t="n">
        <f aca="false">IF(COUNTA(D231:E231)=0,"",SUM(D231:E231))</f>
        <v>1016</v>
      </c>
      <c r="G231" s="52" t="n">
        <f aca="false">IF(OR(F231="",F231=0),"",D231/F231)</f>
        <v>0.479330708661417</v>
      </c>
      <c r="H231" s="52" t="n">
        <f aca="false">IF(OR(F231="",F231=0),"",E231/F231)</f>
        <v>0.520669291338583</v>
      </c>
      <c r="I231" s="21" t="s">
        <v>122</v>
      </c>
      <c r="J231" s="53" t="n">
        <v>1.88510957763259</v>
      </c>
      <c r="K231" s="52" t="n">
        <f aca="false">IF(G231="","",MAX(0,G231-J231/100))</f>
        <v>0.460479612885091</v>
      </c>
      <c r="L231" s="52" t="n">
        <f aca="false">IF(G231="","",MIN(1,G231+J231/100))</f>
        <v>0.498181804437743</v>
      </c>
      <c r="M231" s="37" t="n">
        <f aca="false">IF(F231="","",ROUND(F231*J231/100,0))</f>
        <v>19</v>
      </c>
      <c r="P231" s="54" t="n">
        <v>-1.31410004538514</v>
      </c>
      <c r="Q231" s="55" t="n">
        <f aca="false">T231*$H$5</f>
        <v>1015.97556912826</v>
      </c>
      <c r="R231" s="56" t="n">
        <f aca="false">MAX(0,MIN(1,P231/100+$D$5))</f>
        <v>0.479076122927679</v>
      </c>
      <c r="S231" s="57" t="s">
        <v>132</v>
      </c>
      <c r="T231" s="55" t="n">
        <v>1015.97556912826</v>
      </c>
    </row>
    <row r="232" customFormat="false" ht="15" hidden="false" customHeight="false" outlineLevel="0" collapsed="false">
      <c r="A232" s="21" t="s">
        <v>377</v>
      </c>
      <c r="B232" s="21" t="s">
        <v>252</v>
      </c>
      <c r="C232" s="21" t="s">
        <v>386</v>
      </c>
      <c r="D232" s="37" t="n">
        <f aca="false">ROUND(Q232*R232,0)</f>
        <v>632</v>
      </c>
      <c r="E232" s="37" t="n">
        <f aca="false">ROUND(Q232,0)-D232</f>
        <v>355</v>
      </c>
      <c r="F232" s="37" t="n">
        <f aca="false">IF(COUNTA(D232:E232)=0,"",SUM(D232:E232))</f>
        <v>987</v>
      </c>
      <c r="G232" s="52" t="n">
        <f aca="false">IF(OR(F232="",F232=0),"",D232/F232)</f>
        <v>0.6403242147923</v>
      </c>
      <c r="H232" s="52" t="n">
        <f aca="false">IF(OR(F232="",F232=0),"",E232/F232)</f>
        <v>0.3596757852077</v>
      </c>
      <c r="I232" s="21" t="s">
        <v>122</v>
      </c>
      <c r="J232" s="53" t="n">
        <v>1.88510957763259</v>
      </c>
      <c r="K232" s="52" t="n">
        <f aca="false">IF(G232="","",MAX(0,G232-J232/100))</f>
        <v>0.621473119015974</v>
      </c>
      <c r="L232" s="52" t="n">
        <f aca="false">IF(G232="","",MIN(1,G232+J232/100))</f>
        <v>0.659175310568626</v>
      </c>
      <c r="M232" s="37" t="n">
        <f aca="false">IF(F232="","",ROUND(F232*J232/100,0))</f>
        <v>19</v>
      </c>
      <c r="P232" s="54" t="n">
        <v>14.8794560260738</v>
      </c>
      <c r="Q232" s="55" t="n">
        <f aca="false">T232*$H$5</f>
        <v>986.587092297016</v>
      </c>
      <c r="R232" s="56" t="n">
        <f aca="false">MAX(0,MIN(1,P232/100+$D$5))</f>
        <v>0.641011683642269</v>
      </c>
      <c r="S232" s="57" t="s">
        <v>132</v>
      </c>
      <c r="T232" s="55" t="n">
        <v>986.587092297016</v>
      </c>
    </row>
    <row r="233" customFormat="false" ht="15" hidden="false" customHeight="false" outlineLevel="0" collapsed="false">
      <c r="A233" s="21" t="s">
        <v>377</v>
      </c>
      <c r="B233" s="21" t="s">
        <v>252</v>
      </c>
      <c r="C233" s="21" t="s">
        <v>387</v>
      </c>
      <c r="D233" s="37" t="n">
        <f aca="false">ROUND(Q233*R233,0)</f>
        <v>861</v>
      </c>
      <c r="E233" s="37" t="n">
        <f aca="false">ROUND(Q233,0)-D233</f>
        <v>564</v>
      </c>
      <c r="F233" s="37" t="n">
        <f aca="false">IF(COUNTA(D233:E233)=0,"",SUM(D233:E233))</f>
        <v>1425</v>
      </c>
      <c r="G233" s="52" t="n">
        <f aca="false">IF(OR(F233="",F233=0),"",D233/F233)</f>
        <v>0.604210526315789</v>
      </c>
      <c r="H233" s="52" t="n">
        <f aca="false">IF(OR(F233="",F233=0),"",E233/F233)</f>
        <v>0.395789473684211</v>
      </c>
      <c r="I233" s="21" t="s">
        <v>122</v>
      </c>
      <c r="J233" s="53" t="n">
        <v>1.24424911322721</v>
      </c>
      <c r="K233" s="52" t="n">
        <f aca="false">IF(G233="","",MAX(0,G233-J233/100))</f>
        <v>0.591768035183517</v>
      </c>
      <c r="L233" s="52" t="n">
        <f aca="false">IF(G233="","",MIN(1,G233+J233/100))</f>
        <v>0.616653017448061</v>
      </c>
      <c r="M233" s="37" t="n">
        <f aca="false">IF(F233="","",ROUND(F233*J233/100,0))</f>
        <v>18</v>
      </c>
      <c r="P233" s="54" t="n">
        <v>11.1975929690605</v>
      </c>
      <c r="Q233" s="55" t="n">
        <f aca="false">T233*$H$5</f>
        <v>1424.50747808149</v>
      </c>
      <c r="R233" s="56" t="n">
        <f aca="false">MAX(0,MIN(1,P233/100+$D$5))</f>
        <v>0.604193053072136</v>
      </c>
      <c r="S233" s="57" t="s">
        <v>225</v>
      </c>
      <c r="T233" s="55" t="n">
        <v>1424.50747808149</v>
      </c>
    </row>
    <row r="234" customFormat="false" ht="15" hidden="false" customHeight="false" outlineLevel="0" collapsed="false">
      <c r="A234" s="21" t="s">
        <v>377</v>
      </c>
      <c r="B234" s="21" t="s">
        <v>252</v>
      </c>
      <c r="C234" s="21" t="s">
        <v>388</v>
      </c>
      <c r="D234" s="37" t="n">
        <f aca="false">ROUND(Q234*R234,0)</f>
        <v>628</v>
      </c>
      <c r="E234" s="37" t="n">
        <f aca="false">ROUND(Q234,0)-D234</f>
        <v>330</v>
      </c>
      <c r="F234" s="37" t="n">
        <f aca="false">IF(COUNTA(D234:E234)=0,"",SUM(D234:E234))</f>
        <v>958</v>
      </c>
      <c r="G234" s="52" t="n">
        <f aca="false">IF(OR(F234="",F234=0),"",D234/F234)</f>
        <v>0.65553235908142</v>
      </c>
      <c r="H234" s="52" t="n">
        <f aca="false">IF(OR(F234="",F234=0),"",E234/F234)</f>
        <v>0.34446764091858</v>
      </c>
      <c r="I234" s="21" t="s">
        <v>122</v>
      </c>
      <c r="J234" s="53" t="n">
        <v>1.88510957763259</v>
      </c>
      <c r="K234" s="52" t="n">
        <f aca="false">IF(G234="","",MAX(0,G234-J234/100))</f>
        <v>0.636681263305094</v>
      </c>
      <c r="L234" s="52" t="n">
        <f aca="false">IF(G234="","",MIN(1,G234+J234/100))</f>
        <v>0.674383454857746</v>
      </c>
      <c r="M234" s="37" t="n">
        <f aca="false">IF(F234="","",ROUND(F234*J234/100,0))</f>
        <v>18</v>
      </c>
      <c r="P234" s="54" t="n">
        <v>16.3739749498049</v>
      </c>
      <c r="Q234" s="55" t="n">
        <f aca="false">T234*$H$5</f>
        <v>957.929752066116</v>
      </c>
      <c r="R234" s="56" t="n">
        <f aca="false">MAX(0,MIN(1,P234/100+$D$5))</f>
        <v>0.65595687287958</v>
      </c>
      <c r="S234" s="57" t="s">
        <v>132</v>
      </c>
      <c r="T234" s="55" t="n">
        <v>957.929752066116</v>
      </c>
    </row>
    <row r="235" customFormat="false" ht="15" hidden="false" customHeight="false" outlineLevel="0" collapsed="false">
      <c r="A235" s="21" t="s">
        <v>377</v>
      </c>
      <c r="B235" s="21" t="s">
        <v>252</v>
      </c>
      <c r="C235" s="21" t="s">
        <v>389</v>
      </c>
      <c r="D235" s="37" t="n">
        <f aca="false">ROUND(Q235*R235,0)</f>
        <v>472</v>
      </c>
      <c r="E235" s="37" t="n">
        <f aca="false">ROUND(Q235,0)-D235</f>
        <v>259</v>
      </c>
      <c r="F235" s="37" t="n">
        <f aca="false">IF(COUNTA(D235:E235)=0,"",SUM(D235:E235))</f>
        <v>731</v>
      </c>
      <c r="G235" s="52" t="n">
        <f aca="false">IF(OR(F235="",F235=0),"",D235/F235)</f>
        <v>0.645690834473324</v>
      </c>
      <c r="H235" s="52" t="n">
        <f aca="false">IF(OR(F235="",F235=0),"",E235/F235)</f>
        <v>0.354309165526676</v>
      </c>
      <c r="I235" s="21" t="s">
        <v>122</v>
      </c>
      <c r="J235" s="53" t="n">
        <v>3.15466234357281</v>
      </c>
      <c r="K235" s="52" t="n">
        <f aca="false">IF(G235="","",MAX(0,G235-J235/100))</f>
        <v>0.614144211037596</v>
      </c>
      <c r="L235" s="52" t="n">
        <f aca="false">IF(G235="","",MIN(1,G235+J235/100))</f>
        <v>0.677237457909052</v>
      </c>
      <c r="M235" s="37" t="n">
        <f aca="false">IF(F235="","",ROUND(F235*J235/100,0))</f>
        <v>23</v>
      </c>
      <c r="P235" s="54" t="n">
        <v>15.4182313750407</v>
      </c>
      <c r="Q235" s="55" t="n">
        <f aca="false">T235*$H$5</f>
        <v>730.770032051282</v>
      </c>
      <c r="R235" s="56" t="n">
        <f aca="false">MAX(0,MIN(1,P235/100+$D$5))</f>
        <v>0.646399437131938</v>
      </c>
      <c r="S235" s="57" t="s">
        <v>123</v>
      </c>
      <c r="T235" s="55" t="n">
        <v>730.770032051282</v>
      </c>
    </row>
    <row r="236" customFormat="false" ht="15" hidden="false" customHeight="false" outlineLevel="0" collapsed="false">
      <c r="A236" s="21" t="s">
        <v>377</v>
      </c>
      <c r="B236" s="21" t="s">
        <v>252</v>
      </c>
      <c r="C236" s="21" t="s">
        <v>390</v>
      </c>
      <c r="D236" s="37" t="n">
        <f aca="false">ROUND(Q236*R236,0)</f>
        <v>602</v>
      </c>
      <c r="E236" s="37" t="n">
        <f aca="false">ROUND(Q236,0)-D236</f>
        <v>381</v>
      </c>
      <c r="F236" s="37" t="n">
        <f aca="false">IF(COUNTA(D236:E236)=0,"",SUM(D236:E236))</f>
        <v>983</v>
      </c>
      <c r="G236" s="52" t="n">
        <f aca="false">IF(OR(F236="",F236=0),"",D236/F236)</f>
        <v>0.612410986775178</v>
      </c>
      <c r="H236" s="52" t="n">
        <f aca="false">IF(OR(F236="",F236=0),"",E236/F236)</f>
        <v>0.387589013224822</v>
      </c>
      <c r="I236" s="21" t="s">
        <v>122</v>
      </c>
      <c r="J236" s="53" t="n">
        <v>1.88510957763259</v>
      </c>
      <c r="K236" s="52" t="n">
        <f aca="false">IF(G236="","",MAX(0,G236-J236/100))</f>
        <v>0.593559890998852</v>
      </c>
      <c r="L236" s="52" t="n">
        <f aca="false">IF(G236="","",MIN(1,G236+J236/100))</f>
        <v>0.631262082551504</v>
      </c>
      <c r="M236" s="37" t="n">
        <f aca="false">IF(F236="","",ROUND(F236*J236/100,0))</f>
        <v>19</v>
      </c>
      <c r="P236" s="54" t="n">
        <v>11.9846516218101</v>
      </c>
      <c r="Q236" s="55" t="n">
        <f aca="false">T236*$H$5</f>
        <v>983.008610086101</v>
      </c>
      <c r="R236" s="56" t="n">
        <f aca="false">MAX(0,MIN(1,P236/100+$D$5))</f>
        <v>0.612063639599631</v>
      </c>
      <c r="S236" s="57" t="s">
        <v>132</v>
      </c>
      <c r="T236" s="55" t="n">
        <v>983.008610086101</v>
      </c>
    </row>
    <row r="237" customFormat="false" ht="15" hidden="false" customHeight="false" outlineLevel="0" collapsed="false">
      <c r="A237" s="21" t="s">
        <v>377</v>
      </c>
      <c r="B237" s="21" t="s">
        <v>252</v>
      </c>
      <c r="C237" s="21" t="s">
        <v>391</v>
      </c>
      <c r="D237" s="37" t="n">
        <f aca="false">ROUND(Q237*R237,0)</f>
        <v>753</v>
      </c>
      <c r="E237" s="37" t="n">
        <f aca="false">ROUND(Q237,0)-D237</f>
        <v>433</v>
      </c>
      <c r="F237" s="37" t="n">
        <f aca="false">IF(COUNTA(D237:E237)=0,"",SUM(D237:E237))</f>
        <v>1186</v>
      </c>
      <c r="G237" s="52" t="n">
        <f aca="false">IF(OR(F237="",F237=0),"",D237/F237)</f>
        <v>0.634907251264755</v>
      </c>
      <c r="H237" s="52" t="n">
        <f aca="false">IF(OR(F237="",F237=0),"",E237/F237)</f>
        <v>0.365092748735245</v>
      </c>
      <c r="I237" s="21" t="s">
        <v>122</v>
      </c>
      <c r="J237" s="53" t="n">
        <v>1.88510957763259</v>
      </c>
      <c r="K237" s="52" t="n">
        <f aca="false">IF(G237="","",MAX(0,G237-J237/100))</f>
        <v>0.61605615548843</v>
      </c>
      <c r="L237" s="52" t="n">
        <f aca="false">IF(G237="","",MIN(1,G237+J237/100))</f>
        <v>0.653758347041081</v>
      </c>
      <c r="M237" s="37" t="n">
        <f aca="false">IF(F237="","",ROUND(F237*J237/100,0))</f>
        <v>22</v>
      </c>
      <c r="P237" s="54" t="n">
        <v>14.2813071828014</v>
      </c>
      <c r="Q237" s="55" t="n">
        <f aca="false">T237*$H$5</f>
        <v>1185.78507842306</v>
      </c>
      <c r="R237" s="56" t="n">
        <f aca="false">MAX(0,MIN(1,P237/100+$D$5))</f>
        <v>0.635030195209545</v>
      </c>
      <c r="S237" s="57" t="s">
        <v>132</v>
      </c>
      <c r="T237" s="55" t="n">
        <v>1185.78507842306</v>
      </c>
    </row>
    <row r="238" customFormat="false" ht="15" hidden="false" customHeight="false" outlineLevel="0" collapsed="false">
      <c r="A238" s="21" t="s">
        <v>377</v>
      </c>
      <c r="B238" s="21" t="s">
        <v>252</v>
      </c>
      <c r="C238" s="21" t="s">
        <v>392</v>
      </c>
      <c r="D238" s="37" t="n">
        <f aca="false">ROUND(Q238*R238,0)</f>
        <v>593</v>
      </c>
      <c r="E238" s="37" t="n">
        <f aca="false">ROUND(Q238,0)-D238</f>
        <v>412</v>
      </c>
      <c r="F238" s="37" t="n">
        <f aca="false">IF(COUNTA(D238:E238)=0,"",SUM(D238:E238))</f>
        <v>1005</v>
      </c>
      <c r="G238" s="52" t="n">
        <f aca="false">IF(OR(F238="",F238=0),"",D238/F238)</f>
        <v>0.590049751243781</v>
      </c>
      <c r="H238" s="52" t="n">
        <f aca="false">IF(OR(F238="",F238=0),"",E238/F238)</f>
        <v>0.409950248756219</v>
      </c>
      <c r="I238" s="21" t="s">
        <v>122</v>
      </c>
      <c r="J238" s="53" t="n">
        <v>1.88510957763259</v>
      </c>
      <c r="K238" s="52" t="n">
        <f aca="false">IF(G238="","",MAX(0,G238-J238/100))</f>
        <v>0.571198655467455</v>
      </c>
      <c r="L238" s="52" t="n">
        <f aca="false">IF(G238="","",MIN(1,G238+J238/100))</f>
        <v>0.608900847020107</v>
      </c>
      <c r="M238" s="37" t="n">
        <f aca="false">IF(F238="","",ROUND(F238*J238/100,0))</f>
        <v>19</v>
      </c>
      <c r="P238" s="54" t="n">
        <v>9.79653050141544</v>
      </c>
      <c r="Q238" s="55" t="n">
        <f aca="false">T238*$H$5</f>
        <v>1004.54761904762</v>
      </c>
      <c r="R238" s="56" t="n">
        <f aca="false">MAX(0,MIN(1,P238/100+$D$5))</f>
        <v>0.590182428395685</v>
      </c>
      <c r="S238" s="57" t="s">
        <v>132</v>
      </c>
      <c r="T238" s="55" t="n">
        <v>1004.54761904762</v>
      </c>
    </row>
    <row r="239" customFormat="false" ht="15" hidden="false" customHeight="false" outlineLevel="0" collapsed="false">
      <c r="A239" s="21" t="s">
        <v>377</v>
      </c>
      <c r="B239" s="21" t="s">
        <v>252</v>
      </c>
      <c r="C239" s="21" t="s">
        <v>393</v>
      </c>
      <c r="D239" s="37" t="n">
        <f aca="false">ROUND(Q239*R239,0)</f>
        <v>453</v>
      </c>
      <c r="E239" s="37" t="n">
        <f aca="false">ROUND(Q239,0)-D239</f>
        <v>245</v>
      </c>
      <c r="F239" s="37" t="n">
        <f aca="false">IF(COUNTA(D239:E239)=0,"",SUM(D239:E239))</f>
        <v>698</v>
      </c>
      <c r="G239" s="52" t="n">
        <f aca="false">IF(OR(F239="",F239=0),"",D239/F239)</f>
        <v>0.648997134670487</v>
      </c>
      <c r="H239" s="52" t="n">
        <f aca="false">IF(OR(F239="",F239=0),"",E239/F239)</f>
        <v>0.351002865329513</v>
      </c>
      <c r="I239" s="21" t="s">
        <v>122</v>
      </c>
      <c r="J239" s="53" t="n">
        <v>3.15466234357281</v>
      </c>
      <c r="K239" s="52" t="n">
        <f aca="false">IF(G239="","",MAX(0,G239-J239/100))</f>
        <v>0.617450511234759</v>
      </c>
      <c r="L239" s="52" t="n">
        <f aca="false">IF(G239="","",MIN(1,G239+J239/100))</f>
        <v>0.680543758106215</v>
      </c>
      <c r="M239" s="37" t="n">
        <f aca="false">IF(F239="","",ROUND(F239*J239/100,0))</f>
        <v>22</v>
      </c>
      <c r="P239" s="54" t="n">
        <v>15.775368202041</v>
      </c>
      <c r="Q239" s="55" t="n">
        <f aca="false">T239*$H$5</f>
        <v>697.629411764706</v>
      </c>
      <c r="R239" s="56" t="n">
        <f aca="false">MAX(0,MIN(1,P239/100+$D$5))</f>
        <v>0.649970805401941</v>
      </c>
      <c r="S239" s="57" t="s">
        <v>123</v>
      </c>
      <c r="T239" s="55" t="n">
        <v>697.629411764706</v>
      </c>
    </row>
    <row r="240" customFormat="false" ht="15" hidden="false" customHeight="false" outlineLevel="0" collapsed="false">
      <c r="A240" s="21" t="s">
        <v>377</v>
      </c>
      <c r="B240" s="21" t="s">
        <v>252</v>
      </c>
      <c r="C240" s="21" t="s">
        <v>394</v>
      </c>
      <c r="D240" s="37" t="n">
        <f aca="false">ROUND(Q240*R240,0)</f>
        <v>583</v>
      </c>
      <c r="E240" s="37" t="n">
        <f aca="false">ROUND(Q240,0)-D240</f>
        <v>280</v>
      </c>
      <c r="F240" s="37" t="n">
        <f aca="false">IF(COUNTA(D240:E240)=0,"",SUM(D240:E240))</f>
        <v>863</v>
      </c>
      <c r="G240" s="52" t="n">
        <f aca="false">IF(OR(F240="",F240=0),"",D240/F240)</f>
        <v>0.675550405561993</v>
      </c>
      <c r="H240" s="52" t="n">
        <f aca="false">IF(OR(F240="",F240=0),"",E240/F240)</f>
        <v>0.324449594438007</v>
      </c>
      <c r="I240" s="21" t="s">
        <v>122</v>
      </c>
      <c r="J240" s="53" t="n">
        <v>1.88510957763259</v>
      </c>
      <c r="K240" s="52" t="n">
        <f aca="false">IF(G240="","",MAX(0,G240-J240/100))</f>
        <v>0.656699309785667</v>
      </c>
      <c r="L240" s="52" t="n">
        <f aca="false">IF(G240="","",MIN(1,G240+J240/100))</f>
        <v>0.694401501338319</v>
      </c>
      <c r="M240" s="37" t="n">
        <f aca="false">IF(F240="","",ROUND(F240*J240/100,0))</f>
        <v>16</v>
      </c>
      <c r="P240" s="54" t="n">
        <v>18.3644844431892</v>
      </c>
      <c r="Q240" s="55" t="n">
        <f aca="false">T240*$H$5</f>
        <v>863.161290322581</v>
      </c>
      <c r="R240" s="56" t="n">
        <f aca="false">MAX(0,MIN(1,P240/100+$D$5))</f>
        <v>0.675861967813423</v>
      </c>
      <c r="S240" s="57" t="s">
        <v>132</v>
      </c>
      <c r="T240" s="55" t="n">
        <v>863.161290322581</v>
      </c>
    </row>
    <row r="241" customFormat="false" ht="15" hidden="false" customHeight="false" outlineLevel="0" collapsed="false">
      <c r="A241" s="21" t="s">
        <v>377</v>
      </c>
      <c r="B241" s="21" t="s">
        <v>252</v>
      </c>
      <c r="C241" s="21" t="s">
        <v>395</v>
      </c>
      <c r="D241" s="37" t="n">
        <f aca="false">ROUND(Q241*R241,0)</f>
        <v>702</v>
      </c>
      <c r="E241" s="37" t="n">
        <f aca="false">ROUND(Q241,0)-D241</f>
        <v>429</v>
      </c>
      <c r="F241" s="37" t="n">
        <f aca="false">IF(COUNTA(D241:E241)=0,"",SUM(D241:E241))</f>
        <v>1131</v>
      </c>
      <c r="G241" s="52" t="n">
        <f aca="false">IF(OR(F241="",F241=0),"",D241/F241)</f>
        <v>0.620689655172414</v>
      </c>
      <c r="H241" s="52" t="n">
        <f aca="false">IF(OR(F241="",F241=0),"",E241/F241)</f>
        <v>0.379310344827586</v>
      </c>
      <c r="I241" s="21" t="s">
        <v>122</v>
      </c>
      <c r="J241" s="53" t="n">
        <v>1.88510957763259</v>
      </c>
      <c r="K241" s="52" t="n">
        <f aca="false">IF(G241="","",MAX(0,G241-J241/100))</f>
        <v>0.601838559396088</v>
      </c>
      <c r="L241" s="52" t="n">
        <f aca="false">IF(G241="","",MIN(1,G241+J241/100))</f>
        <v>0.63954075094874</v>
      </c>
      <c r="M241" s="37" t="n">
        <f aca="false">IF(F241="","",ROUND(F241*J241/100,0))</f>
        <v>21</v>
      </c>
      <c r="P241" s="54" t="n">
        <v>12.8622776712923</v>
      </c>
      <c r="Q241" s="55" t="n">
        <f aca="false">T241*$H$5</f>
        <v>1131.04550209205</v>
      </c>
      <c r="R241" s="56" t="n">
        <f aca="false">MAX(0,MIN(1,P241/100+$D$5))</f>
        <v>0.620839900094454</v>
      </c>
      <c r="S241" s="57" t="s">
        <v>132</v>
      </c>
      <c r="T241" s="55" t="n">
        <v>1131.04550209205</v>
      </c>
    </row>
    <row r="242" customFormat="false" ht="15" hidden="false" customHeight="false" outlineLevel="0" collapsed="false">
      <c r="A242" s="21" t="s">
        <v>377</v>
      </c>
      <c r="B242" s="21" t="s">
        <v>252</v>
      </c>
      <c r="C242" s="21" t="s">
        <v>396</v>
      </c>
      <c r="D242" s="37" t="n">
        <f aca="false">ROUND(Q242*R242,0)</f>
        <v>507</v>
      </c>
      <c r="E242" s="37" t="n">
        <f aca="false">ROUND(Q242,0)-D242</f>
        <v>233</v>
      </c>
      <c r="F242" s="37" t="n">
        <f aca="false">IF(COUNTA(D242:E242)=0,"",SUM(D242:E242))</f>
        <v>740</v>
      </c>
      <c r="G242" s="52" t="n">
        <f aca="false">IF(OR(F242="",F242=0),"",D242/F242)</f>
        <v>0.685135135135135</v>
      </c>
      <c r="H242" s="52" t="n">
        <f aca="false">IF(OR(F242="",F242=0),"",E242/F242)</f>
        <v>0.314864864864865</v>
      </c>
      <c r="I242" s="21" t="s">
        <v>122</v>
      </c>
      <c r="J242" s="53" t="n">
        <v>3.15466234357281</v>
      </c>
      <c r="K242" s="52" t="n">
        <f aca="false">IF(G242="","",MAX(0,G242-J242/100))</f>
        <v>0.653588511699407</v>
      </c>
      <c r="L242" s="52" t="n">
        <f aca="false">IF(G242="","",MIN(1,G242+J242/100))</f>
        <v>0.716681758570863</v>
      </c>
      <c r="M242" s="37" t="n">
        <f aca="false">IF(F242="","",ROUND(F242*J242/100,0))</f>
        <v>23</v>
      </c>
      <c r="P242" s="54" t="n">
        <v>19.3287342770914</v>
      </c>
      <c r="Q242" s="55" t="n">
        <f aca="false">T242*$H$5</f>
        <v>740.032921810699</v>
      </c>
      <c r="R242" s="56" t="n">
        <f aca="false">MAX(0,MIN(1,P242/100+$D$5))</f>
        <v>0.685504466152445</v>
      </c>
      <c r="S242" s="57" t="s">
        <v>123</v>
      </c>
      <c r="T242" s="55" t="n">
        <v>740.032921810699</v>
      </c>
    </row>
    <row r="243" customFormat="false" ht="15" hidden="false" customHeight="false" outlineLevel="0" collapsed="false">
      <c r="A243" s="21" t="s">
        <v>377</v>
      </c>
      <c r="B243" s="21" t="s">
        <v>252</v>
      </c>
      <c r="C243" s="21" t="s">
        <v>397</v>
      </c>
      <c r="D243" s="37" t="n">
        <f aca="false">ROUND(Q243*R243,0)</f>
        <v>547</v>
      </c>
      <c r="E243" s="37" t="n">
        <f aca="false">ROUND(Q243,0)-D243</f>
        <v>324</v>
      </c>
      <c r="F243" s="37" t="n">
        <f aca="false">IF(COUNTA(D243:E243)=0,"",SUM(D243:E243))</f>
        <v>871</v>
      </c>
      <c r="G243" s="52" t="n">
        <f aca="false">IF(OR(F243="",F243=0),"",D243/F243)</f>
        <v>0.628013777267509</v>
      </c>
      <c r="H243" s="52" t="n">
        <f aca="false">IF(OR(F243="",F243=0),"",E243/F243)</f>
        <v>0.371986222732491</v>
      </c>
      <c r="I243" s="21" t="s">
        <v>122</v>
      </c>
      <c r="J243" s="53" t="n">
        <v>1.88510957763259</v>
      </c>
      <c r="K243" s="52" t="n">
        <f aca="false">IF(G243="","",MAX(0,G243-J243/100))</f>
        <v>0.609162681491183</v>
      </c>
      <c r="L243" s="52" t="n">
        <f aca="false">IF(G243="","",MIN(1,G243+J243/100))</f>
        <v>0.646864873043835</v>
      </c>
      <c r="M243" s="37" t="n">
        <f aca="false">IF(F243="","",ROUND(F243*J243/100,0))</f>
        <v>16</v>
      </c>
      <c r="P243" s="54" t="n">
        <v>13.5627715579025</v>
      </c>
      <c r="Q243" s="55" t="n">
        <f aca="false">T243*$H$5</f>
        <v>870.802226935313</v>
      </c>
      <c r="R243" s="56" t="n">
        <f aca="false">MAX(0,MIN(1,P243/100+$D$5))</f>
        <v>0.627844838960556</v>
      </c>
      <c r="S243" s="57" t="s">
        <v>132</v>
      </c>
      <c r="T243" s="55" t="n">
        <v>870.802226935313</v>
      </c>
    </row>
    <row r="244" customFormat="false" ht="15" hidden="false" customHeight="false" outlineLevel="0" collapsed="false">
      <c r="A244" s="21" t="s">
        <v>377</v>
      </c>
      <c r="B244" s="21" t="s">
        <v>252</v>
      </c>
      <c r="C244" s="21" t="s">
        <v>398</v>
      </c>
      <c r="D244" s="37" t="n">
        <f aca="false">ROUND(Q244*R244,0)</f>
        <v>152</v>
      </c>
      <c r="E244" s="37" t="n">
        <f aca="false">ROUND(Q244,0)-D244</f>
        <v>63</v>
      </c>
      <c r="F244" s="37" t="n">
        <f aca="false">IF(COUNTA(D244:E244)=0,"",SUM(D244:E244))</f>
        <v>215</v>
      </c>
      <c r="G244" s="52" t="n">
        <f aca="false">IF(OR(F244="",F244=0),"",D244/F244)</f>
        <v>0.706976744186047</v>
      </c>
      <c r="H244" s="52" t="n">
        <f aca="false">IF(OR(F244="",F244=0),"",E244/F244)</f>
        <v>0.293023255813954</v>
      </c>
      <c r="I244" s="21" t="s">
        <v>122</v>
      </c>
      <c r="J244" s="53" t="n">
        <v>3.15466234357281</v>
      </c>
      <c r="K244" s="52" t="n">
        <f aca="false">IF(G244="","",MAX(0,G244-J244/100))</f>
        <v>0.675430120750318</v>
      </c>
      <c r="L244" s="52" t="n">
        <f aca="false">IF(G244="","",MIN(1,G244+J244/100))</f>
        <v>0.738523367621775</v>
      </c>
      <c r="M244" s="37" t="n">
        <f aca="false">IF(F244="","",ROUND(F244*J244/100,0))</f>
        <v>7</v>
      </c>
      <c r="P244" s="54" t="n">
        <v>21.2080360808083</v>
      </c>
      <c r="Q244" s="55" t="n">
        <f aca="false">T244*$H$5</f>
        <v>215.348525469169</v>
      </c>
      <c r="R244" s="56" t="n">
        <f aca="false">MAX(0,MIN(1,P244/100+$D$5))</f>
        <v>0.704297484189614</v>
      </c>
      <c r="S244" s="57" t="s">
        <v>123</v>
      </c>
      <c r="T244" s="55" t="n">
        <v>215.348525469169</v>
      </c>
    </row>
    <row r="245" customFormat="false" ht="15" hidden="false" customHeight="false" outlineLevel="0" collapsed="false">
      <c r="A245" s="21" t="s">
        <v>377</v>
      </c>
      <c r="B245" s="21" t="s">
        <v>252</v>
      </c>
      <c r="C245" s="21" t="s">
        <v>399</v>
      </c>
      <c r="D245" s="37" t="n">
        <f aca="false">ROUND(Q245*R245,0)</f>
        <v>320</v>
      </c>
      <c r="E245" s="37" t="n">
        <f aca="false">ROUND(Q245,0)-D245</f>
        <v>121</v>
      </c>
      <c r="F245" s="37" t="n">
        <f aca="false">IF(COUNTA(D245:E245)=0,"",SUM(D245:E245))</f>
        <v>441</v>
      </c>
      <c r="G245" s="52" t="n">
        <f aca="false">IF(OR(F245="",F245=0),"",D245/F245)</f>
        <v>0.72562358276644</v>
      </c>
      <c r="H245" s="52" t="n">
        <f aca="false">IF(OR(F245="",F245=0),"",E245/F245)</f>
        <v>0.27437641723356</v>
      </c>
      <c r="I245" s="21" t="s">
        <v>122</v>
      </c>
      <c r="J245" s="53" t="n">
        <v>3.15466234357281</v>
      </c>
      <c r="K245" s="52" t="n">
        <f aca="false">IF(G245="","",MAX(0,G245-J245/100))</f>
        <v>0.694076959330712</v>
      </c>
      <c r="L245" s="52" t="n">
        <f aca="false">IF(G245="","",MIN(1,G245+J245/100))</f>
        <v>0.757170206202168</v>
      </c>
      <c r="M245" s="37" t="n">
        <f aca="false">IF(F245="","",ROUND(F245*J245/100,0))</f>
        <v>14</v>
      </c>
      <c r="P245" s="54" t="n">
        <v>23.2776275370459</v>
      </c>
      <c r="Q245" s="55" t="n">
        <f aca="false">T245*$H$5</f>
        <v>440.805484147387</v>
      </c>
      <c r="R245" s="56" t="n">
        <f aca="false">MAX(0,MIN(1,P245/100+$D$5))</f>
        <v>0.72499339875199</v>
      </c>
      <c r="S245" s="57" t="s">
        <v>123</v>
      </c>
      <c r="T245" s="55" t="n">
        <v>440.805484147387</v>
      </c>
    </row>
    <row r="246" customFormat="false" ht="15" hidden="false" customHeight="false" outlineLevel="0" collapsed="false">
      <c r="A246" s="21" t="s">
        <v>377</v>
      </c>
      <c r="B246" s="21" t="s">
        <v>252</v>
      </c>
      <c r="C246" s="21" t="s">
        <v>400</v>
      </c>
      <c r="D246" s="37" t="n">
        <f aca="false">ROUND(Q246*R246,0)</f>
        <v>265</v>
      </c>
      <c r="E246" s="37" t="n">
        <f aca="false">ROUND(Q246,0)-D246</f>
        <v>103</v>
      </c>
      <c r="F246" s="37" t="n">
        <f aca="false">IF(COUNTA(D246:E246)=0,"",SUM(D246:E246))</f>
        <v>368</v>
      </c>
      <c r="G246" s="52" t="n">
        <f aca="false">IF(OR(F246="",F246=0),"",D246/F246)</f>
        <v>0.720108695652174</v>
      </c>
      <c r="H246" s="52" t="n">
        <f aca="false">IF(OR(F246="",F246=0),"",E246/F246)</f>
        <v>0.279891304347826</v>
      </c>
      <c r="I246" s="21" t="s">
        <v>122</v>
      </c>
      <c r="J246" s="53" t="n">
        <v>3.15466234357281</v>
      </c>
      <c r="K246" s="52" t="n">
        <f aca="false">IF(G246="","",MAX(0,G246-J246/100))</f>
        <v>0.688562072216446</v>
      </c>
      <c r="L246" s="52" t="n">
        <f aca="false">IF(G246="","",MIN(1,G246+J246/100))</f>
        <v>0.751655319087902</v>
      </c>
      <c r="M246" s="37" t="n">
        <f aca="false">IF(F246="","",ROUND(F246*J246/100,0))</f>
        <v>12</v>
      </c>
      <c r="P246" s="54" t="n">
        <v>22.6945919348961</v>
      </c>
      <c r="Q246" s="55" t="n">
        <f aca="false">T246*$H$5</f>
        <v>367.804159445407</v>
      </c>
      <c r="R246" s="56" t="n">
        <f aca="false">MAX(0,MIN(1,P246/100+$D$5))</f>
        <v>0.719163042730492</v>
      </c>
      <c r="S246" s="57" t="s">
        <v>123</v>
      </c>
      <c r="T246" s="55" t="n">
        <v>367.804159445407</v>
      </c>
    </row>
    <row r="247" customFormat="false" ht="15" hidden="false" customHeight="false" outlineLevel="0" collapsed="false">
      <c r="A247" s="21" t="s">
        <v>377</v>
      </c>
      <c r="B247" s="21" t="s">
        <v>252</v>
      </c>
      <c r="C247" s="21" t="s">
        <v>401</v>
      </c>
      <c r="D247" s="37" t="n">
        <f aca="false">ROUND(Q247*R247,0)</f>
        <v>359</v>
      </c>
      <c r="E247" s="37" t="n">
        <f aca="false">ROUND(Q247,0)-D247</f>
        <v>115</v>
      </c>
      <c r="F247" s="37" t="n">
        <f aca="false">IF(COUNTA(D247:E247)=0,"",SUM(D247:E247))</f>
        <v>474</v>
      </c>
      <c r="G247" s="52" t="n">
        <f aca="false">IF(OR(F247="",F247=0),"",D247/F247)</f>
        <v>0.757383966244726</v>
      </c>
      <c r="H247" s="52" t="n">
        <f aca="false">IF(OR(F247="",F247=0),"",E247/F247)</f>
        <v>0.242616033755274</v>
      </c>
      <c r="I247" s="21" t="s">
        <v>122</v>
      </c>
      <c r="J247" s="53" t="n">
        <v>3.15466234357281</v>
      </c>
      <c r="K247" s="52" t="n">
        <f aca="false">IF(G247="","",MAX(0,G247-J247/100))</f>
        <v>0.725837342808998</v>
      </c>
      <c r="L247" s="52" t="n">
        <f aca="false">IF(G247="","",MIN(1,G247+J247/100))</f>
        <v>0.788930589680454</v>
      </c>
      <c r="M247" s="37" t="n">
        <f aca="false">IF(F247="","",ROUND(F247*J247/100,0))</f>
        <v>15</v>
      </c>
      <c r="P247" s="54" t="n">
        <v>26.6345811428664</v>
      </c>
      <c r="Q247" s="55" t="n">
        <f aca="false">T247*$H$5</f>
        <v>473.687539936102</v>
      </c>
      <c r="R247" s="56" t="n">
        <f aca="false">MAX(0,MIN(1,P247/100+$D$5))</f>
        <v>0.758562934810195</v>
      </c>
      <c r="S247" s="57" t="s">
        <v>123</v>
      </c>
      <c r="T247" s="55" t="n">
        <v>473.687539936102</v>
      </c>
    </row>
    <row r="248" customFormat="false" ht="15" hidden="false" customHeight="false" outlineLevel="0" collapsed="false">
      <c r="A248" s="21" t="s">
        <v>377</v>
      </c>
      <c r="B248" s="21" t="s">
        <v>252</v>
      </c>
      <c r="C248" s="21" t="s">
        <v>402</v>
      </c>
      <c r="D248" s="37" t="n">
        <f aca="false">ROUND(Q248*R248,0)</f>
        <v>663</v>
      </c>
      <c r="E248" s="37" t="n">
        <f aca="false">ROUND(Q248,0)-D248</f>
        <v>173</v>
      </c>
      <c r="F248" s="37" t="n">
        <f aca="false">IF(COUNTA(D248:E248)=0,"",SUM(D248:E248))</f>
        <v>836</v>
      </c>
      <c r="G248" s="52" t="n">
        <f aca="false">IF(OR(F248="",F248=0),"",D248/F248)</f>
        <v>0.793062200956938</v>
      </c>
      <c r="H248" s="52" t="n">
        <f aca="false">IF(OR(F248="",F248=0),"",E248/F248)</f>
        <v>0.206937799043062</v>
      </c>
      <c r="I248" s="21" t="s">
        <v>122</v>
      </c>
      <c r="J248" s="53" t="n">
        <v>1.88510957763259</v>
      </c>
      <c r="K248" s="52" t="n">
        <f aca="false">IF(G248="","",MAX(0,G248-J248/100))</f>
        <v>0.774211105180612</v>
      </c>
      <c r="L248" s="52" t="n">
        <f aca="false">IF(G248="","",MIN(1,G248+J248/100))</f>
        <v>0.811913296733264</v>
      </c>
      <c r="M248" s="37" t="n">
        <f aca="false">IF(F248="","",ROUND(F248*J248/100,0))</f>
        <v>16</v>
      </c>
      <c r="P248" s="54" t="n">
        <v>30.1214984635318</v>
      </c>
      <c r="Q248" s="55" t="n">
        <f aca="false">T248*$H$5</f>
        <v>835.622727272728</v>
      </c>
      <c r="R248" s="56" t="n">
        <f aca="false">MAX(0,MIN(1,P248/100+$D$5))</f>
        <v>0.793432108016848</v>
      </c>
      <c r="S248" s="57" t="s">
        <v>132</v>
      </c>
      <c r="T248" s="55" t="n">
        <v>835.622727272728</v>
      </c>
    </row>
    <row r="249" customFormat="false" ht="15" hidden="false" customHeight="false" outlineLevel="0" collapsed="false">
      <c r="A249" s="21" t="s">
        <v>377</v>
      </c>
      <c r="B249" s="21" t="s">
        <v>252</v>
      </c>
      <c r="C249" s="21" t="s">
        <v>403</v>
      </c>
      <c r="D249" s="37" t="n">
        <f aca="false">ROUND(Q249*R249,0)</f>
        <v>372</v>
      </c>
      <c r="E249" s="37" t="n">
        <f aca="false">ROUND(Q249,0)-D249</f>
        <v>136</v>
      </c>
      <c r="F249" s="37" t="n">
        <f aca="false">IF(COUNTA(D249:E249)=0,"",SUM(D249:E249))</f>
        <v>508</v>
      </c>
      <c r="G249" s="52" t="n">
        <f aca="false">IF(OR(F249="",F249=0),"",D249/F249)</f>
        <v>0.732283464566929</v>
      </c>
      <c r="H249" s="52" t="n">
        <f aca="false">IF(OR(F249="",F249=0),"",E249/F249)</f>
        <v>0.267716535433071</v>
      </c>
      <c r="I249" s="21" t="s">
        <v>122</v>
      </c>
      <c r="J249" s="53" t="n">
        <v>3.15466234357281</v>
      </c>
      <c r="K249" s="52" t="n">
        <f aca="false">IF(G249="","",MAX(0,G249-J249/100))</f>
        <v>0.700736841131201</v>
      </c>
      <c r="L249" s="52" t="n">
        <f aca="false">IF(G249="","",MIN(1,G249+J249/100))</f>
        <v>0.763830088002657</v>
      </c>
      <c r="M249" s="37" t="n">
        <f aca="false">IF(F249="","",ROUND(F249*J249/100,0))</f>
        <v>16</v>
      </c>
      <c r="P249" s="54" t="n">
        <v>24.044902664767</v>
      </c>
      <c r="Q249" s="55" t="n">
        <f aca="false">T249*$H$5</f>
        <v>507.768014059754</v>
      </c>
      <c r="R249" s="56" t="n">
        <f aca="false">MAX(0,MIN(1,P249/100+$D$5))</f>
        <v>0.732666150029201</v>
      </c>
      <c r="S249" s="57" t="s">
        <v>123</v>
      </c>
      <c r="T249" s="55" t="n">
        <v>507.768014059754</v>
      </c>
    </row>
    <row r="250" customFormat="false" ht="15" hidden="false" customHeight="false" outlineLevel="0" collapsed="false">
      <c r="A250" s="21" t="s">
        <v>377</v>
      </c>
      <c r="B250" s="21" t="s">
        <v>252</v>
      </c>
      <c r="C250" s="21" t="s">
        <v>404</v>
      </c>
      <c r="D250" s="37" t="n">
        <f aca="false">ROUND(Q250*R250,0)</f>
        <v>356</v>
      </c>
      <c r="E250" s="37" t="n">
        <f aca="false">ROUND(Q250,0)-D250</f>
        <v>143</v>
      </c>
      <c r="F250" s="37" t="n">
        <f aca="false">IF(COUNTA(D250:E250)=0,"",SUM(D250:E250))</f>
        <v>499</v>
      </c>
      <c r="G250" s="52" t="n">
        <f aca="false">IF(OR(F250="",F250=0),"",D250/F250)</f>
        <v>0.713426853707415</v>
      </c>
      <c r="H250" s="52" t="n">
        <f aca="false">IF(OR(F250="",F250=0),"",E250/F250)</f>
        <v>0.286573146292585</v>
      </c>
      <c r="I250" s="21" t="s">
        <v>122</v>
      </c>
      <c r="J250" s="53" t="n">
        <v>3.15466234357281</v>
      </c>
      <c r="K250" s="52" t="n">
        <f aca="false">IF(G250="","",MAX(0,G250-J250/100))</f>
        <v>0.681880230271687</v>
      </c>
      <c r="L250" s="52" t="n">
        <f aca="false">IF(G250="","",MIN(1,G250+J250/100))</f>
        <v>0.744973477143143</v>
      </c>
      <c r="M250" s="37" t="n">
        <f aca="false">IF(F250="","",ROUND(F250*J250/100,0))</f>
        <v>16</v>
      </c>
      <c r="P250" s="54" t="n">
        <v>22.191352702949</v>
      </c>
      <c r="Q250" s="55" t="n">
        <f aca="false">T250*$H$5</f>
        <v>498.871436256052</v>
      </c>
      <c r="R250" s="56" t="n">
        <f aca="false">MAX(0,MIN(1,P250/100+$D$5))</f>
        <v>0.714130650411021</v>
      </c>
      <c r="S250" s="57" t="s">
        <v>123</v>
      </c>
      <c r="T250" s="55" t="n">
        <v>498.871436256052</v>
      </c>
    </row>
    <row r="251" customFormat="false" ht="15" hidden="false" customHeight="false" outlineLevel="0" collapsed="false">
      <c r="A251" s="21" t="s">
        <v>377</v>
      </c>
      <c r="B251" s="21" t="s">
        <v>252</v>
      </c>
      <c r="C251" s="21" t="s">
        <v>405</v>
      </c>
      <c r="D251" s="37" t="n">
        <f aca="false">ROUND(Q251*R251,0)</f>
        <v>388</v>
      </c>
      <c r="E251" s="37" t="n">
        <f aca="false">ROUND(Q251,0)-D251</f>
        <v>146</v>
      </c>
      <c r="F251" s="37" t="n">
        <f aca="false">IF(COUNTA(D251:E251)=0,"",SUM(D251:E251))</f>
        <v>534</v>
      </c>
      <c r="G251" s="52" t="n">
        <f aca="false">IF(OR(F251="",F251=0),"",D251/F251)</f>
        <v>0.726591760299626</v>
      </c>
      <c r="H251" s="52" t="n">
        <f aca="false">IF(OR(F251="",F251=0),"",E251/F251)</f>
        <v>0.273408239700375</v>
      </c>
      <c r="I251" s="21" t="s">
        <v>122</v>
      </c>
      <c r="J251" s="53" t="n">
        <v>3.15466234357281</v>
      </c>
      <c r="K251" s="52" t="n">
        <f aca="false">IF(G251="","",MAX(0,G251-J251/100))</f>
        <v>0.695045136863897</v>
      </c>
      <c r="L251" s="52" t="n">
        <f aca="false">IF(G251="","",MIN(1,G251+J251/100))</f>
        <v>0.758138383735354</v>
      </c>
      <c r="M251" s="37" t="n">
        <f aca="false">IF(F251="","",ROUND(F251*J251/100,0))</f>
        <v>17</v>
      </c>
      <c r="P251" s="54" t="n">
        <v>23.498938367459</v>
      </c>
      <c r="Q251" s="55" t="n">
        <f aca="false">T251*$H$5</f>
        <v>533.985148514852</v>
      </c>
      <c r="R251" s="56" t="n">
        <f aca="false">MAX(0,MIN(1,P251/100+$D$5))</f>
        <v>0.727206507056121</v>
      </c>
      <c r="S251" s="57" t="s">
        <v>123</v>
      </c>
      <c r="T251" s="55" t="n">
        <v>533.985148514852</v>
      </c>
    </row>
    <row r="252" customFormat="false" ht="15" hidden="false" customHeight="false" outlineLevel="0" collapsed="false">
      <c r="A252" s="21" t="s">
        <v>377</v>
      </c>
      <c r="B252" s="21" t="s">
        <v>252</v>
      </c>
      <c r="C252" s="21" t="s">
        <v>406</v>
      </c>
      <c r="D252" s="37" t="n">
        <f aca="false">ROUND(Q252*R252,0)</f>
        <v>565</v>
      </c>
      <c r="E252" s="37" t="n">
        <f aca="false">ROUND(Q252,0)-D252</f>
        <v>233</v>
      </c>
      <c r="F252" s="37" t="n">
        <f aca="false">IF(COUNTA(D252:E252)=0,"",SUM(D252:E252))</f>
        <v>798</v>
      </c>
      <c r="G252" s="52" t="n">
        <f aca="false">IF(OR(F252="",F252=0),"",D252/F252)</f>
        <v>0.708020050125313</v>
      </c>
      <c r="H252" s="52" t="n">
        <f aca="false">IF(OR(F252="",F252=0),"",E252/F252)</f>
        <v>0.291979949874687</v>
      </c>
      <c r="I252" s="21" t="s">
        <v>122</v>
      </c>
      <c r="J252" s="53" t="n">
        <v>1.88510957763259</v>
      </c>
      <c r="K252" s="52" t="n">
        <f aca="false">IF(G252="","",MAX(0,G252-J252/100))</f>
        <v>0.689168954348987</v>
      </c>
      <c r="L252" s="52" t="n">
        <f aca="false">IF(G252="","",MIN(1,G252+J252/100))</f>
        <v>0.726871145901639</v>
      </c>
      <c r="M252" s="37" t="n">
        <f aca="false">IF(F252="","",ROUND(F252*J252/100,0))</f>
        <v>15</v>
      </c>
      <c r="P252" s="54" t="n">
        <v>21.5064785053684</v>
      </c>
      <c r="Q252" s="55" t="n">
        <f aca="false">T252*$H$5</f>
        <v>798.341340075854</v>
      </c>
      <c r="R252" s="56" t="n">
        <f aca="false">MAX(0,MIN(1,P252/100+$D$5))</f>
        <v>0.707281908435214</v>
      </c>
      <c r="S252" s="57" t="s">
        <v>132</v>
      </c>
      <c r="T252" s="55" t="n">
        <v>798.341340075854</v>
      </c>
    </row>
    <row r="253" customFormat="false" ht="15" hidden="false" customHeight="false" outlineLevel="0" collapsed="false">
      <c r="A253" s="21" t="s">
        <v>377</v>
      </c>
      <c r="B253" s="21" t="s">
        <v>252</v>
      </c>
      <c r="C253" s="21" t="s">
        <v>407</v>
      </c>
      <c r="D253" s="37" t="n">
        <f aca="false">ROUND(Q253*R253,0)</f>
        <v>471</v>
      </c>
      <c r="E253" s="37" t="n">
        <f aca="false">ROUND(Q253,0)-D253</f>
        <v>211</v>
      </c>
      <c r="F253" s="37" t="n">
        <f aca="false">IF(COUNTA(D253:E253)=0,"",SUM(D253:E253))</f>
        <v>682</v>
      </c>
      <c r="G253" s="52" t="n">
        <f aca="false">IF(OR(F253="",F253=0),"",D253/F253)</f>
        <v>0.690615835777126</v>
      </c>
      <c r="H253" s="52" t="n">
        <f aca="false">IF(OR(F253="",F253=0),"",E253/F253)</f>
        <v>0.309384164222874</v>
      </c>
      <c r="I253" s="21" t="s">
        <v>122</v>
      </c>
      <c r="J253" s="53" t="n">
        <v>3.15466234357281</v>
      </c>
      <c r="K253" s="52" t="n">
        <f aca="false">IF(G253="","",MAX(0,G253-J253/100))</f>
        <v>0.659069212341398</v>
      </c>
      <c r="L253" s="52" t="n">
        <f aca="false">IF(G253="","",MIN(1,G253+J253/100))</f>
        <v>0.722162459212854</v>
      </c>
      <c r="M253" s="37" t="n">
        <f aca="false">IF(F253="","",ROUND(F253*J253/100,0))</f>
        <v>22</v>
      </c>
      <c r="P253" s="54" t="n">
        <v>19.7926181900264</v>
      </c>
      <c r="Q253" s="55" t="n">
        <f aca="false">T253*$H$5</f>
        <v>682.091267235719</v>
      </c>
      <c r="R253" s="56" t="n">
        <f aca="false">MAX(0,MIN(1,P253/100+$D$5))</f>
        <v>0.690143305281794</v>
      </c>
      <c r="S253" s="57" t="s">
        <v>123</v>
      </c>
      <c r="T253" s="55" t="n">
        <v>682.091267235719</v>
      </c>
    </row>
    <row r="254" customFormat="false" ht="15" hidden="false" customHeight="false" outlineLevel="0" collapsed="false">
      <c r="A254" s="21" t="s">
        <v>377</v>
      </c>
      <c r="B254" s="21" t="s">
        <v>252</v>
      </c>
      <c r="C254" s="21" t="s">
        <v>408</v>
      </c>
      <c r="D254" s="37" t="n">
        <f aca="false">ROUND(Q254*R254,0)</f>
        <v>542</v>
      </c>
      <c r="E254" s="37" t="n">
        <f aca="false">ROUND(Q254,0)-D254</f>
        <v>243</v>
      </c>
      <c r="F254" s="37" t="n">
        <f aca="false">IF(COUNTA(D254:E254)=0,"",SUM(D254:E254))</f>
        <v>785</v>
      </c>
      <c r="G254" s="52" t="n">
        <f aca="false">IF(OR(F254="",F254=0),"",D254/F254)</f>
        <v>0.690445859872611</v>
      </c>
      <c r="H254" s="52" t="n">
        <f aca="false">IF(OR(F254="",F254=0),"",E254/F254)</f>
        <v>0.309554140127389</v>
      </c>
      <c r="I254" s="21" t="s">
        <v>122</v>
      </c>
      <c r="J254" s="53" t="n">
        <v>1.88510957763259</v>
      </c>
      <c r="K254" s="52" t="n">
        <f aca="false">IF(G254="","",MAX(0,G254-J254/100))</f>
        <v>0.671594764096286</v>
      </c>
      <c r="L254" s="52" t="n">
        <f aca="false">IF(G254="","",MIN(1,G254+J254/100))</f>
        <v>0.709296955648937</v>
      </c>
      <c r="M254" s="37" t="n">
        <f aca="false">IF(F254="","",ROUND(F254*J254/100,0))</f>
        <v>15</v>
      </c>
      <c r="P254" s="54" t="n">
        <v>19.8042668652927</v>
      </c>
      <c r="Q254" s="55" t="n">
        <f aca="false">T254*$H$5</f>
        <v>785.450874831763</v>
      </c>
      <c r="R254" s="56" t="n">
        <f aca="false">MAX(0,MIN(1,P254/100+$D$5))</f>
        <v>0.690259792034457</v>
      </c>
      <c r="S254" s="57" t="s">
        <v>132</v>
      </c>
      <c r="T254" s="55" t="n">
        <v>785.450874831763</v>
      </c>
    </row>
    <row r="255" customFormat="false" ht="15" hidden="false" customHeight="false" outlineLevel="0" collapsed="false">
      <c r="A255" s="21" t="s">
        <v>377</v>
      </c>
      <c r="B255" s="21" t="s">
        <v>252</v>
      </c>
      <c r="C255" s="21" t="s">
        <v>409</v>
      </c>
      <c r="D255" s="37" t="n">
        <f aca="false">ROUND(Q255*R255,0)</f>
        <v>895</v>
      </c>
      <c r="E255" s="37" t="n">
        <f aca="false">ROUND(Q255,0)-D255</f>
        <v>533</v>
      </c>
      <c r="F255" s="37" t="n">
        <f aca="false">IF(COUNTA(D255:E255)=0,"",SUM(D255:E255))</f>
        <v>1428</v>
      </c>
      <c r="G255" s="52" t="n">
        <f aca="false">IF(OR(F255="",F255=0),"",D255/F255)</f>
        <v>0.626750700280112</v>
      </c>
      <c r="H255" s="52" t="n">
        <f aca="false">IF(OR(F255="",F255=0),"",E255/F255)</f>
        <v>0.373249299719888</v>
      </c>
      <c r="I255" s="21" t="s">
        <v>223</v>
      </c>
      <c r="J255" s="53" t="n">
        <v>1.24424911322721</v>
      </c>
      <c r="K255" s="52" t="n">
        <f aca="false">IF(G255="","",MAX(0,G255-J255/100))</f>
        <v>0.61430820914784</v>
      </c>
      <c r="L255" s="52" t="n">
        <f aca="false">IF(G255="","",MIN(1,G255+J255/100))</f>
        <v>0.639193191412384</v>
      </c>
      <c r="M255" s="37" t="n">
        <f aca="false">IF(F255="","",ROUND(F255*J255/100,0))</f>
        <v>18</v>
      </c>
      <c r="P255" s="54" t="n">
        <v>13.4397334036973</v>
      </c>
      <c r="Q255" s="55" t="n">
        <f aca="false">T255*$H$5</f>
        <v>1428.36591156443</v>
      </c>
      <c r="R255" s="56" t="n">
        <f aca="false">MAX(0,MIN(1,P255/100+$D$5))</f>
        <v>0.626614457418504</v>
      </c>
      <c r="S255" s="57" t="s">
        <v>225</v>
      </c>
      <c r="T255" s="55" t="n">
        <v>1428.36591156443</v>
      </c>
    </row>
    <row r="256" customFormat="false" ht="15" hidden="false" customHeight="false" outlineLevel="0" collapsed="false">
      <c r="A256" s="21" t="s">
        <v>377</v>
      </c>
      <c r="B256" s="21" t="s">
        <v>410</v>
      </c>
      <c r="C256" s="21" t="s">
        <v>411</v>
      </c>
      <c r="D256" s="37" t="n">
        <f aca="false">ROUND(Q256*R256,0)</f>
        <v>390</v>
      </c>
      <c r="E256" s="37" t="n">
        <f aca="false">ROUND(Q256,0)-D256</f>
        <v>329</v>
      </c>
      <c r="F256" s="37" t="n">
        <f aca="false">IF(COUNTA(D256:E256)=0,"",SUM(D256:E256))</f>
        <v>719</v>
      </c>
      <c r="G256" s="52" t="n">
        <f aca="false">IF(OR(F256="",F256=0),"",D256/F256)</f>
        <v>0.542420027816412</v>
      </c>
      <c r="H256" s="52" t="n">
        <f aca="false">IF(OR(F256="",F256=0),"",E256/F256)</f>
        <v>0.457579972183588</v>
      </c>
      <c r="I256" s="21" t="s">
        <v>122</v>
      </c>
      <c r="J256" s="53" t="n">
        <v>3.15466234357281</v>
      </c>
      <c r="K256" s="52" t="n">
        <f aca="false">IF(G256="","",MAX(0,G256-J256/100))</f>
        <v>0.510873404380684</v>
      </c>
      <c r="L256" s="52" t="n">
        <f aca="false">IF(G256="","",MIN(1,G256+J256/100))</f>
        <v>0.57396665125214</v>
      </c>
      <c r="M256" s="37" t="n">
        <f aca="false">IF(F256="","",ROUND(F256*J256/100,0))</f>
        <v>23</v>
      </c>
      <c r="P256" s="54" t="n">
        <v>4.97650716202094</v>
      </c>
      <c r="Q256" s="55" t="n">
        <f aca="false">T256*$H$5</f>
        <v>718.755218216319</v>
      </c>
      <c r="R256" s="56" t="n">
        <f aca="false">MAX(0,MIN(1,P256/100+$D$5))</f>
        <v>0.54198219500174</v>
      </c>
      <c r="S256" s="57" t="s">
        <v>123</v>
      </c>
      <c r="T256" s="55" t="n">
        <v>718.755218216319</v>
      </c>
    </row>
    <row r="257" customFormat="false" ht="15" hidden="false" customHeight="false" outlineLevel="0" collapsed="false">
      <c r="A257" s="21" t="s">
        <v>377</v>
      </c>
      <c r="B257" s="21" t="s">
        <v>410</v>
      </c>
      <c r="C257" s="21" t="s">
        <v>412</v>
      </c>
      <c r="D257" s="37" t="n">
        <f aca="false">ROUND(Q257*R257,0)</f>
        <v>490</v>
      </c>
      <c r="E257" s="37" t="n">
        <f aca="false">ROUND(Q257,0)-D257</f>
        <v>439</v>
      </c>
      <c r="F257" s="37" t="n">
        <f aca="false">IF(COUNTA(D257:E257)=0,"",SUM(D257:E257))</f>
        <v>929</v>
      </c>
      <c r="G257" s="52" t="n">
        <f aca="false">IF(OR(F257="",F257=0),"",D257/F257)</f>
        <v>0.527448869752422</v>
      </c>
      <c r="H257" s="52" t="n">
        <f aca="false">IF(OR(F257="",F257=0),"",E257/F257)</f>
        <v>0.472551130247578</v>
      </c>
      <c r="I257" s="21" t="s">
        <v>122</v>
      </c>
      <c r="J257" s="53" t="n">
        <v>1.88510957763259</v>
      </c>
      <c r="K257" s="52" t="n">
        <f aca="false">IF(G257="","",MAX(0,G257-J257/100))</f>
        <v>0.508597773976096</v>
      </c>
      <c r="L257" s="52" t="n">
        <f aca="false">IF(G257="","",MIN(1,G257+J257/100))</f>
        <v>0.546299965528748</v>
      </c>
      <c r="M257" s="37" t="n">
        <f aca="false">IF(F257="","",ROUND(F257*J257/100,0))</f>
        <v>18</v>
      </c>
      <c r="P257" s="54" t="n">
        <v>3.53058172912142</v>
      </c>
      <c r="Q257" s="55" t="n">
        <f aca="false">T257*$H$5</f>
        <v>929.064439140811</v>
      </c>
      <c r="R257" s="56" t="n">
        <f aca="false">MAX(0,MIN(1,P257/100+$D$5))</f>
        <v>0.527522940672745</v>
      </c>
      <c r="S257" s="57" t="s">
        <v>132</v>
      </c>
      <c r="T257" s="55" t="n">
        <v>929.064439140811</v>
      </c>
    </row>
    <row r="258" customFormat="false" ht="15" hidden="false" customHeight="false" outlineLevel="0" collapsed="false">
      <c r="A258" s="21" t="s">
        <v>377</v>
      </c>
      <c r="B258" s="21" t="s">
        <v>410</v>
      </c>
      <c r="C258" s="21" t="s">
        <v>413</v>
      </c>
      <c r="D258" s="37" t="n">
        <f aca="false">ROUND(Q258*R258,0)</f>
        <v>557</v>
      </c>
      <c r="E258" s="37" t="n">
        <f aca="false">ROUND(Q258,0)-D258</f>
        <v>433</v>
      </c>
      <c r="F258" s="37" t="n">
        <f aca="false">IF(COUNTA(D258:E258)=0,"",SUM(D258:E258))</f>
        <v>990</v>
      </c>
      <c r="G258" s="52" t="n">
        <f aca="false">IF(OR(F258="",F258=0),"",D258/F258)</f>
        <v>0.562626262626263</v>
      </c>
      <c r="H258" s="52" t="n">
        <f aca="false">IF(OR(F258="",F258=0),"",E258/F258)</f>
        <v>0.437373737373737</v>
      </c>
      <c r="I258" s="21" t="s">
        <v>122</v>
      </c>
      <c r="J258" s="53" t="n">
        <v>1.88510957763259</v>
      </c>
      <c r="K258" s="52" t="n">
        <f aca="false">IF(G258="","",MAX(0,G258-J258/100))</f>
        <v>0.543775166849937</v>
      </c>
      <c r="L258" s="52" t="n">
        <f aca="false">IF(G258="","",MIN(1,G258+J258/100))</f>
        <v>0.581477358402589</v>
      </c>
      <c r="M258" s="37" t="n">
        <f aca="false">IF(F258="","",ROUND(F258*J258/100,0))</f>
        <v>19</v>
      </c>
      <c r="P258" s="54" t="n">
        <v>7.07385595273147</v>
      </c>
      <c r="Q258" s="55" t="n">
        <f aca="false">T258*$H$5</f>
        <v>990.257425742575</v>
      </c>
      <c r="R258" s="56" t="n">
        <f aca="false">MAX(0,MIN(1,P258/100+$D$5))</f>
        <v>0.562955682908846</v>
      </c>
      <c r="S258" s="57" t="s">
        <v>132</v>
      </c>
      <c r="T258" s="55" t="n">
        <v>990.257425742575</v>
      </c>
    </row>
    <row r="259" customFormat="false" ht="15" hidden="false" customHeight="false" outlineLevel="0" collapsed="false">
      <c r="A259" s="21" t="s">
        <v>377</v>
      </c>
      <c r="B259" s="21" t="s">
        <v>410</v>
      </c>
      <c r="C259" s="21" t="s">
        <v>414</v>
      </c>
      <c r="D259" s="37" t="n">
        <f aca="false">ROUND(Q259*R259,0)</f>
        <v>262</v>
      </c>
      <c r="E259" s="37" t="n">
        <f aca="false">ROUND(Q259,0)-D259</f>
        <v>252</v>
      </c>
      <c r="F259" s="37" t="n">
        <f aca="false">IF(COUNTA(D259:E259)=0,"",SUM(D259:E259))</f>
        <v>514</v>
      </c>
      <c r="G259" s="52" t="n">
        <f aca="false">IF(OR(F259="",F259=0),"",D259/F259)</f>
        <v>0.509727626459144</v>
      </c>
      <c r="H259" s="52" t="n">
        <f aca="false">IF(OR(F259="",F259=0),"",E259/F259)</f>
        <v>0.490272373540856</v>
      </c>
      <c r="I259" s="21" t="s">
        <v>122</v>
      </c>
      <c r="J259" s="53" t="n">
        <v>3.15466234357281</v>
      </c>
      <c r="K259" s="52" t="n">
        <f aca="false">IF(G259="","",MAX(0,G259-J259/100))</f>
        <v>0.478181003023416</v>
      </c>
      <c r="L259" s="52" t="n">
        <f aca="false">IF(G259="","",MIN(1,G259+J259/100))</f>
        <v>0.541274249894872</v>
      </c>
      <c r="M259" s="37" t="n">
        <f aca="false">IF(F259="","",ROUND(F259*J259/100,0))</f>
        <v>16</v>
      </c>
      <c r="P259" s="54" t="n">
        <v>1.8098870679096</v>
      </c>
      <c r="Q259" s="55" t="n">
        <f aca="false">T259*$H$5</f>
        <v>513.768181818182</v>
      </c>
      <c r="R259" s="56" t="n">
        <f aca="false">MAX(0,MIN(1,P259/100+$D$5))</f>
        <v>0.510315994060627</v>
      </c>
      <c r="S259" s="57" t="s">
        <v>123</v>
      </c>
      <c r="T259" s="55" t="n">
        <v>513.768181818182</v>
      </c>
    </row>
    <row r="260" customFormat="false" ht="15" hidden="false" customHeight="false" outlineLevel="0" collapsed="false">
      <c r="A260" s="21" t="s">
        <v>377</v>
      </c>
      <c r="B260" s="21" t="s">
        <v>410</v>
      </c>
      <c r="C260" s="21" t="s">
        <v>415</v>
      </c>
      <c r="D260" s="37" t="n">
        <f aca="false">ROUND(Q260*R260,0)</f>
        <v>449</v>
      </c>
      <c r="E260" s="37" t="n">
        <f aca="false">ROUND(Q260,0)-D260</f>
        <v>343</v>
      </c>
      <c r="F260" s="37" t="n">
        <f aca="false">IF(COUNTA(D260:E260)=0,"",SUM(D260:E260))</f>
        <v>792</v>
      </c>
      <c r="G260" s="52" t="n">
        <f aca="false">IF(OR(F260="",F260=0),"",D260/F260)</f>
        <v>0.566919191919192</v>
      </c>
      <c r="H260" s="52" t="n">
        <f aca="false">IF(OR(F260="",F260=0),"",E260/F260)</f>
        <v>0.433080808080808</v>
      </c>
      <c r="I260" s="21" t="s">
        <v>122</v>
      </c>
      <c r="J260" s="53" t="n">
        <v>1.88510957763259</v>
      </c>
      <c r="K260" s="52" t="n">
        <f aca="false">IF(G260="","",MAX(0,G260-J260/100))</f>
        <v>0.548068096142866</v>
      </c>
      <c r="L260" s="52" t="n">
        <f aca="false">IF(G260="","",MIN(1,G260+J260/100))</f>
        <v>0.585770287695518</v>
      </c>
      <c r="M260" s="37" t="n">
        <f aca="false">IF(F260="","",ROUND(F260*J260/100,0))</f>
        <v>15</v>
      </c>
      <c r="P260" s="54" t="n">
        <v>7.45148635467744</v>
      </c>
      <c r="Q260" s="55" t="n">
        <f aca="false">T260*$H$5</f>
        <v>792.466367713005</v>
      </c>
      <c r="R260" s="56" t="n">
        <f aca="false">MAX(0,MIN(1,P260/100+$D$5))</f>
        <v>0.566731986928305</v>
      </c>
      <c r="S260" s="57" t="s">
        <v>132</v>
      </c>
      <c r="T260" s="55" t="n">
        <v>792.466367713005</v>
      </c>
    </row>
    <row r="261" customFormat="false" ht="15" hidden="false" customHeight="false" outlineLevel="0" collapsed="false">
      <c r="A261" s="21" t="s">
        <v>377</v>
      </c>
      <c r="B261" s="21" t="s">
        <v>410</v>
      </c>
      <c r="C261" s="21" t="s">
        <v>416</v>
      </c>
      <c r="D261" s="37" t="n">
        <f aca="false">ROUND(Q261*R261,0)</f>
        <v>444</v>
      </c>
      <c r="E261" s="37" t="n">
        <f aca="false">ROUND(Q261,0)-D261</f>
        <v>396</v>
      </c>
      <c r="F261" s="37" t="n">
        <f aca="false">IF(COUNTA(D261:E261)=0,"",SUM(D261:E261))</f>
        <v>840</v>
      </c>
      <c r="G261" s="52" t="n">
        <f aca="false">IF(OR(F261="",F261=0),"",D261/F261)</f>
        <v>0.528571428571429</v>
      </c>
      <c r="H261" s="52" t="n">
        <f aca="false">IF(OR(F261="",F261=0),"",E261/F261)</f>
        <v>0.471428571428571</v>
      </c>
      <c r="I261" s="21" t="s">
        <v>122</v>
      </c>
      <c r="J261" s="53" t="n">
        <v>1.88510957763259</v>
      </c>
      <c r="K261" s="52" t="n">
        <f aca="false">IF(G261="","",MAX(0,G261-J261/100))</f>
        <v>0.509720332795103</v>
      </c>
      <c r="L261" s="52" t="n">
        <f aca="false">IF(G261="","",MIN(1,G261+J261/100))</f>
        <v>0.547422524347755</v>
      </c>
      <c r="M261" s="37" t="n">
        <f aca="false">IF(F261="","",ROUND(F261*J261/100,0))</f>
        <v>16</v>
      </c>
      <c r="P261" s="54" t="n">
        <v>3.6275136471335</v>
      </c>
      <c r="Q261" s="55" t="n">
        <f aca="false">T261*$H$5</f>
        <v>839.707716289945</v>
      </c>
      <c r="R261" s="56" t="n">
        <f aca="false">MAX(0,MIN(1,P261/100+$D$5))</f>
        <v>0.528492259852866</v>
      </c>
      <c r="S261" s="57" t="s">
        <v>132</v>
      </c>
      <c r="T261" s="55" t="n">
        <v>839.707716289945</v>
      </c>
    </row>
    <row r="262" customFormat="false" ht="15" hidden="false" customHeight="false" outlineLevel="0" collapsed="false">
      <c r="A262" s="21" t="s">
        <v>377</v>
      </c>
      <c r="B262" s="21" t="s">
        <v>410</v>
      </c>
      <c r="C262" s="21" t="s">
        <v>417</v>
      </c>
      <c r="D262" s="37" t="n">
        <f aca="false">ROUND(Q262*R262,0)</f>
        <v>287</v>
      </c>
      <c r="E262" s="37" t="n">
        <f aca="false">ROUND(Q262,0)-D262</f>
        <v>227</v>
      </c>
      <c r="F262" s="37" t="n">
        <f aca="false">IF(COUNTA(D262:E262)=0,"",SUM(D262:E262))</f>
        <v>514</v>
      </c>
      <c r="G262" s="52" t="n">
        <f aca="false">IF(OR(F262="",F262=0),"",D262/F262)</f>
        <v>0.558365758754864</v>
      </c>
      <c r="H262" s="52" t="n">
        <f aca="false">IF(OR(F262="",F262=0),"",E262/F262)</f>
        <v>0.441634241245136</v>
      </c>
      <c r="I262" s="21" t="s">
        <v>122</v>
      </c>
      <c r="J262" s="53" t="n">
        <v>3.15466234357281</v>
      </c>
      <c r="K262" s="52" t="n">
        <f aca="false">IF(G262="","",MAX(0,G262-J262/100))</f>
        <v>0.526819135319136</v>
      </c>
      <c r="L262" s="52" t="n">
        <f aca="false">IF(G262="","",MIN(1,G262+J262/100))</f>
        <v>0.589912382190592</v>
      </c>
      <c r="M262" s="37" t="n">
        <f aca="false">IF(F262="","",ROUND(F262*J262/100,0))</f>
        <v>16</v>
      </c>
      <c r="P262" s="54" t="n">
        <v>6.5257758415193</v>
      </c>
      <c r="Q262" s="55" t="n">
        <f aca="false">T262*$H$5</f>
        <v>514.18359375</v>
      </c>
      <c r="R262" s="56" t="n">
        <f aca="false">MAX(0,MIN(1,P262/100+$D$5))</f>
        <v>0.557474881796724</v>
      </c>
      <c r="S262" s="57" t="s">
        <v>123</v>
      </c>
      <c r="T262" s="55" t="n">
        <v>514.18359375</v>
      </c>
    </row>
    <row r="263" customFormat="false" ht="15" hidden="false" customHeight="false" outlineLevel="0" collapsed="false">
      <c r="A263" s="21" t="s">
        <v>377</v>
      </c>
      <c r="B263" s="21" t="s">
        <v>410</v>
      </c>
      <c r="C263" s="21" t="s">
        <v>418</v>
      </c>
      <c r="D263" s="37" t="n">
        <f aca="false">ROUND(Q263*R263,0)</f>
        <v>411</v>
      </c>
      <c r="E263" s="37" t="n">
        <f aca="false">ROUND(Q263,0)-D263</f>
        <v>295</v>
      </c>
      <c r="F263" s="37" t="n">
        <f aca="false">IF(COUNTA(D263:E263)=0,"",SUM(D263:E263))</f>
        <v>706</v>
      </c>
      <c r="G263" s="52" t="n">
        <f aca="false">IF(OR(F263="",F263=0),"",D263/F263)</f>
        <v>0.582152974504249</v>
      </c>
      <c r="H263" s="52" t="n">
        <f aca="false">IF(OR(F263="",F263=0),"",E263/F263)</f>
        <v>0.417847025495751</v>
      </c>
      <c r="I263" s="21" t="s">
        <v>122</v>
      </c>
      <c r="J263" s="53" t="n">
        <v>3.15466234357281</v>
      </c>
      <c r="K263" s="52" t="n">
        <f aca="false">IF(G263="","",MAX(0,G263-J263/100))</f>
        <v>0.550606351068521</v>
      </c>
      <c r="L263" s="52" t="n">
        <f aca="false">IF(G263="","",MIN(1,G263+J263/100))</f>
        <v>0.613699597939977</v>
      </c>
      <c r="M263" s="37" t="n">
        <f aca="false">IF(F263="","",ROUND(F263*J263/100,0))</f>
        <v>22</v>
      </c>
      <c r="P263" s="54" t="n">
        <v>8.96943260937215</v>
      </c>
      <c r="Q263" s="55" t="n">
        <f aca="false">T263*$H$5</f>
        <v>705.860894941634</v>
      </c>
      <c r="R263" s="56" t="n">
        <f aca="false">MAX(0,MIN(1,P263/100+$D$5))</f>
        <v>0.581911449475252</v>
      </c>
      <c r="S263" s="57" t="s">
        <v>123</v>
      </c>
      <c r="T263" s="55" t="n">
        <v>705.860894941634</v>
      </c>
    </row>
    <row r="264" customFormat="false" ht="15" hidden="false" customHeight="false" outlineLevel="0" collapsed="false">
      <c r="A264" s="21" t="s">
        <v>377</v>
      </c>
      <c r="B264" s="21" t="s">
        <v>410</v>
      </c>
      <c r="C264" s="21" t="s">
        <v>419</v>
      </c>
      <c r="D264" s="37" t="n">
        <f aca="false">ROUND(Q264*R264,0)</f>
        <v>257</v>
      </c>
      <c r="E264" s="37" t="n">
        <f aca="false">ROUND(Q264,0)-D264</f>
        <v>172</v>
      </c>
      <c r="F264" s="37" t="n">
        <f aca="false">IF(COUNTA(D264:E264)=0,"",SUM(D264:E264))</f>
        <v>429</v>
      </c>
      <c r="G264" s="52" t="n">
        <f aca="false">IF(OR(F264="",F264=0),"",D264/F264)</f>
        <v>0.599067599067599</v>
      </c>
      <c r="H264" s="52" t="n">
        <f aca="false">IF(OR(F264="",F264=0),"",E264/F264)</f>
        <v>0.400932400932401</v>
      </c>
      <c r="I264" s="21" t="s">
        <v>122</v>
      </c>
      <c r="J264" s="53" t="n">
        <v>3.15466234357281</v>
      </c>
      <c r="K264" s="52" t="n">
        <f aca="false">IF(G264="","",MAX(0,G264-J264/100))</f>
        <v>0.567520975631871</v>
      </c>
      <c r="L264" s="52" t="n">
        <f aca="false">IF(G264="","",MIN(1,G264+J264/100))</f>
        <v>0.630614222503327</v>
      </c>
      <c r="M264" s="37" t="n">
        <f aca="false">IF(F264="","",ROUND(F264*J264/100,0))</f>
        <v>14</v>
      </c>
      <c r="P264" s="54" t="n">
        <v>10.6729768559479</v>
      </c>
      <c r="Q264" s="55" t="n">
        <f aca="false">T264*$H$5</f>
        <v>429.344262295082</v>
      </c>
      <c r="R264" s="56" t="n">
        <f aca="false">MAX(0,MIN(1,P264/100+$D$5))</f>
        <v>0.598946891941009</v>
      </c>
      <c r="S264" s="57" t="s">
        <v>123</v>
      </c>
      <c r="T264" s="55" t="n">
        <v>429.344262295082</v>
      </c>
    </row>
    <row r="265" customFormat="false" ht="15" hidden="false" customHeight="false" outlineLevel="0" collapsed="false">
      <c r="A265" s="21" t="s">
        <v>377</v>
      </c>
      <c r="B265" s="21" t="s">
        <v>410</v>
      </c>
      <c r="C265" s="21" t="s">
        <v>420</v>
      </c>
      <c r="D265" s="37" t="n">
        <f aca="false">ROUND(Q265*R265,0)</f>
        <v>281</v>
      </c>
      <c r="E265" s="37" t="n">
        <f aca="false">ROUND(Q265,0)-D265</f>
        <v>263</v>
      </c>
      <c r="F265" s="37" t="n">
        <f aca="false">IF(COUNTA(D265:E265)=0,"",SUM(D265:E265))</f>
        <v>544</v>
      </c>
      <c r="G265" s="52" t="n">
        <f aca="false">IF(OR(F265="",F265=0),"",D265/F265)</f>
        <v>0.516544117647059</v>
      </c>
      <c r="H265" s="52" t="n">
        <f aca="false">IF(OR(F265="",F265=0),"",E265/F265)</f>
        <v>0.483455882352941</v>
      </c>
      <c r="I265" s="21" t="s">
        <v>122</v>
      </c>
      <c r="J265" s="53" t="n">
        <v>3.15466234357281</v>
      </c>
      <c r="K265" s="52" t="n">
        <f aca="false">IF(G265="","",MAX(0,G265-J265/100))</f>
        <v>0.484997494211331</v>
      </c>
      <c r="L265" s="52" t="n">
        <f aca="false">IF(G265="","",MIN(1,G265+J265/100))</f>
        <v>0.548090741082787</v>
      </c>
      <c r="M265" s="37" t="n">
        <f aca="false">IF(F265="","",ROUND(F265*J265/100,0))</f>
        <v>17</v>
      </c>
      <c r="P265" s="54" t="n">
        <v>2.4442639713844</v>
      </c>
      <c r="Q265" s="55" t="n">
        <f aca="false">T265*$H$5</f>
        <v>543.75093399751</v>
      </c>
      <c r="R265" s="56" t="n">
        <f aca="false">MAX(0,MIN(1,P265/100+$D$5))</f>
        <v>0.516659763095375</v>
      </c>
      <c r="S265" s="57" t="s">
        <v>123</v>
      </c>
      <c r="T265" s="55" t="n">
        <v>543.75093399751</v>
      </c>
    </row>
    <row r="266" customFormat="false" ht="15" hidden="false" customHeight="false" outlineLevel="0" collapsed="false">
      <c r="A266" s="21" t="s">
        <v>377</v>
      </c>
      <c r="B266" s="21" t="s">
        <v>410</v>
      </c>
      <c r="C266" s="21" t="s">
        <v>421</v>
      </c>
      <c r="D266" s="37" t="n">
        <f aca="false">ROUND(Q266*R266,0)</f>
        <v>351</v>
      </c>
      <c r="E266" s="37" t="n">
        <f aca="false">ROUND(Q266,0)-D266</f>
        <v>302</v>
      </c>
      <c r="F266" s="37" t="n">
        <f aca="false">IF(COUNTA(D266:E266)=0,"",SUM(D266:E266))</f>
        <v>653</v>
      </c>
      <c r="G266" s="52" t="n">
        <f aca="false">IF(OR(F266="",F266=0),"",D266/F266)</f>
        <v>0.537519142419602</v>
      </c>
      <c r="H266" s="52" t="n">
        <f aca="false">IF(OR(F266="",F266=0),"",E266/F266)</f>
        <v>0.462480857580398</v>
      </c>
      <c r="I266" s="21" t="s">
        <v>122</v>
      </c>
      <c r="J266" s="53" t="n">
        <v>3.15466234357281</v>
      </c>
      <c r="K266" s="52" t="n">
        <f aca="false">IF(G266="","",MAX(0,G266-J266/100))</f>
        <v>0.505972518983874</v>
      </c>
      <c r="L266" s="52" t="n">
        <f aca="false">IF(G266="","",MIN(1,G266+J266/100))</f>
        <v>0.56906576585533</v>
      </c>
      <c r="M266" s="37" t="n">
        <f aca="false">IF(F266="","",ROUND(F266*J266/100,0))</f>
        <v>21</v>
      </c>
      <c r="P266" s="54" t="n">
        <v>4.56703244473311</v>
      </c>
      <c r="Q266" s="55" t="n">
        <f aca="false">T266*$H$5</f>
        <v>652.778593913956</v>
      </c>
      <c r="R266" s="56" t="n">
        <f aca="false">MAX(0,MIN(1,P266/100+$D$5))</f>
        <v>0.537887447828862</v>
      </c>
      <c r="S266" s="57" t="s">
        <v>123</v>
      </c>
      <c r="T266" s="55" t="n">
        <v>652.778593913956</v>
      </c>
    </row>
    <row r="267" customFormat="false" ht="15" hidden="false" customHeight="false" outlineLevel="0" collapsed="false">
      <c r="A267" s="21" t="s">
        <v>377</v>
      </c>
      <c r="B267" s="21" t="s">
        <v>410</v>
      </c>
      <c r="C267" s="21" t="s">
        <v>422</v>
      </c>
      <c r="D267" s="37" t="n">
        <f aca="false">ROUND(Q267*R267,0)</f>
        <v>442</v>
      </c>
      <c r="E267" s="37" t="n">
        <f aca="false">ROUND(Q267,0)-D267</f>
        <v>328</v>
      </c>
      <c r="F267" s="37" t="n">
        <f aca="false">IF(COUNTA(D267:E267)=0,"",SUM(D267:E267))</f>
        <v>770</v>
      </c>
      <c r="G267" s="52" t="n">
        <f aca="false">IF(OR(F267="",F267=0),"",D267/F267)</f>
        <v>0.574025974025974</v>
      </c>
      <c r="H267" s="52" t="n">
        <f aca="false">IF(OR(F267="",F267=0),"",E267/F267)</f>
        <v>0.425974025974026</v>
      </c>
      <c r="I267" s="21" t="s">
        <v>122</v>
      </c>
      <c r="J267" s="53" t="n">
        <v>3.15466234357281</v>
      </c>
      <c r="K267" s="52" t="n">
        <f aca="false">IF(G267="","",MAX(0,G267-J267/100))</f>
        <v>0.542479350590246</v>
      </c>
      <c r="L267" s="52" t="n">
        <f aca="false">IF(G267="","",MIN(1,G267+J267/100))</f>
        <v>0.605572597461702</v>
      </c>
      <c r="M267" s="37" t="n">
        <f aca="false">IF(F267="","",ROUND(F267*J267/100,0))</f>
        <v>24</v>
      </c>
      <c r="P267" s="54" t="n">
        <v>8.14732039380386</v>
      </c>
      <c r="Q267" s="55" t="n">
        <f aca="false">T267*$H$5</f>
        <v>770.401725790987</v>
      </c>
      <c r="R267" s="56" t="n">
        <f aca="false">MAX(0,MIN(1,P267/100+$D$5))</f>
        <v>0.573690327319569</v>
      </c>
      <c r="S267" s="57" t="s">
        <v>123</v>
      </c>
      <c r="T267" s="55" t="n">
        <v>770.401725790987</v>
      </c>
    </row>
    <row r="268" customFormat="false" ht="15" hidden="false" customHeight="false" outlineLevel="0" collapsed="false">
      <c r="A268" s="21" t="s">
        <v>377</v>
      </c>
      <c r="B268" s="21" t="s">
        <v>410</v>
      </c>
      <c r="C268" s="21" t="s">
        <v>423</v>
      </c>
      <c r="D268" s="37" t="n">
        <f aca="false">ROUND(Q268*R268,0)</f>
        <v>342</v>
      </c>
      <c r="E268" s="37" t="n">
        <f aca="false">ROUND(Q268,0)-D268</f>
        <v>325</v>
      </c>
      <c r="F268" s="37" t="n">
        <f aca="false">IF(COUNTA(D268:E268)=0,"",SUM(D268:E268))</f>
        <v>667</v>
      </c>
      <c r="G268" s="52" t="n">
        <f aca="false">IF(OR(F268="",F268=0),"",D268/F268)</f>
        <v>0.512743628185907</v>
      </c>
      <c r="H268" s="52" t="n">
        <f aca="false">IF(OR(F268="",F268=0),"",E268/F268)</f>
        <v>0.487256371814093</v>
      </c>
      <c r="I268" s="21" t="s">
        <v>122</v>
      </c>
      <c r="J268" s="53" t="n">
        <v>3.15466234357281</v>
      </c>
      <c r="K268" s="52" t="n">
        <f aca="false">IF(G268="","",MAX(0,G268-J268/100))</f>
        <v>0.481197004750179</v>
      </c>
      <c r="L268" s="52" t="n">
        <f aca="false">IF(G268="","",MIN(1,G268+J268/100))</f>
        <v>0.544290251621635</v>
      </c>
      <c r="M268" s="37" t="n">
        <f aca="false">IF(F268="","",ROUND(F268*J268/100,0))</f>
        <v>21</v>
      </c>
      <c r="P268" s="54" t="n">
        <v>2.05581266995057</v>
      </c>
      <c r="Q268" s="55" t="n">
        <f aca="false">T268*$H$5</f>
        <v>666.944444444445</v>
      </c>
      <c r="R268" s="56" t="n">
        <f aca="false">MAX(0,MIN(1,P268/100+$D$5))</f>
        <v>0.512775250081036</v>
      </c>
      <c r="S268" s="57" t="s">
        <v>123</v>
      </c>
      <c r="T268" s="55" t="n">
        <v>666.944444444445</v>
      </c>
    </row>
    <row r="269" customFormat="false" ht="15" hidden="false" customHeight="false" outlineLevel="0" collapsed="false">
      <c r="A269" s="21" t="s">
        <v>377</v>
      </c>
      <c r="B269" s="21" t="s">
        <v>410</v>
      </c>
      <c r="C269" s="21" t="s">
        <v>424</v>
      </c>
      <c r="D269" s="37" t="n">
        <f aca="false">ROUND(Q269*R269,0)</f>
        <v>758</v>
      </c>
      <c r="E269" s="37" t="n">
        <f aca="false">ROUND(Q269,0)-D269</f>
        <v>568</v>
      </c>
      <c r="F269" s="37" t="n">
        <f aca="false">IF(COUNTA(D269:E269)=0,"",SUM(D269:E269))</f>
        <v>1326</v>
      </c>
      <c r="G269" s="52" t="n">
        <f aca="false">IF(OR(F269="",F269=0),"",D269/F269)</f>
        <v>0.571644042232278</v>
      </c>
      <c r="H269" s="52" t="n">
        <f aca="false">IF(OR(F269="",F269=0),"",E269/F269)</f>
        <v>0.428355957767722</v>
      </c>
      <c r="I269" s="21" t="s">
        <v>122</v>
      </c>
      <c r="J269" s="53" t="n">
        <v>1.24424911322721</v>
      </c>
      <c r="K269" s="52" t="n">
        <f aca="false">IF(G269="","",MAX(0,G269-J269/100))</f>
        <v>0.559201551100006</v>
      </c>
      <c r="L269" s="52" t="n">
        <f aca="false">IF(G269="","",MIN(1,G269+J269/100))</f>
        <v>0.58408653336455</v>
      </c>
      <c r="M269" s="37" t="n">
        <f aca="false">IF(F269="","",ROUND(F269*J269/100,0))</f>
        <v>16</v>
      </c>
      <c r="P269" s="54" t="n">
        <v>7.98353390005525</v>
      </c>
      <c r="Q269" s="55" t="n">
        <f aca="false">T269*$H$5</f>
        <v>1325.7421875</v>
      </c>
      <c r="R269" s="56" t="n">
        <f aca="false">MAX(0,MIN(1,P269/100+$D$5))</f>
        <v>0.572052462382083</v>
      </c>
      <c r="S269" s="57" t="s">
        <v>225</v>
      </c>
      <c r="T269" s="55" t="n">
        <v>1325.7421875</v>
      </c>
    </row>
    <row r="270" customFormat="false" ht="15" hidden="false" customHeight="false" outlineLevel="0" collapsed="false">
      <c r="A270" s="21" t="s">
        <v>377</v>
      </c>
      <c r="B270" s="21" t="s">
        <v>410</v>
      </c>
      <c r="C270" s="21" t="s">
        <v>425</v>
      </c>
      <c r="D270" s="37" t="n">
        <f aca="false">ROUND(Q270*R270,0)</f>
        <v>412</v>
      </c>
      <c r="E270" s="37" t="n">
        <f aca="false">ROUND(Q270,0)-D270</f>
        <v>390</v>
      </c>
      <c r="F270" s="37" t="n">
        <f aca="false">IF(COUNTA(D270:E270)=0,"",SUM(D270:E270))</f>
        <v>802</v>
      </c>
      <c r="G270" s="52" t="n">
        <f aca="false">IF(OR(F270="",F270=0),"",D270/F270)</f>
        <v>0.513715710723192</v>
      </c>
      <c r="H270" s="52" t="n">
        <f aca="false">IF(OR(F270="",F270=0),"",E270/F270)</f>
        <v>0.486284289276808</v>
      </c>
      <c r="I270" s="21" t="s">
        <v>122</v>
      </c>
      <c r="J270" s="53" t="n">
        <v>1.88510957763259</v>
      </c>
      <c r="K270" s="52" t="n">
        <f aca="false">IF(G270="","",MAX(0,G270-J270/100))</f>
        <v>0.494864614946866</v>
      </c>
      <c r="L270" s="52" t="n">
        <f aca="false">IF(G270="","",MIN(1,G270+J270/100))</f>
        <v>0.532566806499518</v>
      </c>
      <c r="M270" s="37" t="n">
        <f aca="false">IF(F270="","",ROUND(F270*J270/100,0))</f>
        <v>15</v>
      </c>
      <c r="P270" s="54" t="n">
        <v>2.14156913558494</v>
      </c>
      <c r="Q270" s="55" t="n">
        <f aca="false">T270*$H$5</f>
        <v>802.258193445243</v>
      </c>
      <c r="R270" s="56" t="n">
        <f aca="false">MAX(0,MIN(1,P270/100+$D$5))</f>
        <v>0.51363281473738</v>
      </c>
      <c r="S270" s="57" t="s">
        <v>132</v>
      </c>
      <c r="T270" s="55" t="n">
        <v>802.258193445243</v>
      </c>
    </row>
    <row r="271" customFormat="false" ht="15" hidden="false" customHeight="false" outlineLevel="0" collapsed="false">
      <c r="A271" s="21" t="s">
        <v>377</v>
      </c>
      <c r="B271" s="21" t="s">
        <v>410</v>
      </c>
      <c r="C271" s="21" t="s">
        <v>426</v>
      </c>
      <c r="D271" s="37" t="n">
        <f aca="false">ROUND(Q271*R271,0)</f>
        <v>411</v>
      </c>
      <c r="E271" s="37" t="n">
        <f aca="false">ROUND(Q271,0)-D271</f>
        <v>372</v>
      </c>
      <c r="F271" s="37" t="n">
        <f aca="false">IF(COUNTA(D271:E271)=0,"",SUM(D271:E271))</f>
        <v>783</v>
      </c>
      <c r="G271" s="52" t="n">
        <f aca="false">IF(OR(F271="",F271=0),"",D271/F271)</f>
        <v>0.524904214559387</v>
      </c>
      <c r="H271" s="52" t="n">
        <f aca="false">IF(OR(F271="",F271=0),"",E271/F271)</f>
        <v>0.475095785440613</v>
      </c>
      <c r="I271" s="21" t="s">
        <v>122</v>
      </c>
      <c r="J271" s="53" t="n">
        <v>1.88510957763259</v>
      </c>
      <c r="K271" s="52" t="n">
        <f aca="false">IF(G271="","",MAX(0,G271-J271/100))</f>
        <v>0.506053118783061</v>
      </c>
      <c r="L271" s="52" t="n">
        <f aca="false">IF(G271="","",MIN(1,G271+J271/100))</f>
        <v>0.543755310335713</v>
      </c>
      <c r="M271" s="37" t="n">
        <f aca="false">IF(F271="","",ROUND(F271*J271/100,0))</f>
        <v>15</v>
      </c>
      <c r="P271" s="54" t="n">
        <v>3.3036405664747</v>
      </c>
      <c r="Q271" s="55" t="n">
        <f aca="false">T271*$H$5</f>
        <v>782.654941373534</v>
      </c>
      <c r="R271" s="56" t="n">
        <f aca="false">MAX(0,MIN(1,P271/100+$D$5))</f>
        <v>0.525253529046278</v>
      </c>
      <c r="S271" s="57" t="s">
        <v>132</v>
      </c>
      <c r="T271" s="55" t="n">
        <v>782.654941373534</v>
      </c>
    </row>
    <row r="272" customFormat="false" ht="15" hidden="false" customHeight="false" outlineLevel="0" collapsed="false">
      <c r="A272" s="21" t="s">
        <v>377</v>
      </c>
      <c r="B272" s="21" t="s">
        <v>410</v>
      </c>
      <c r="C272" s="21" t="s">
        <v>427</v>
      </c>
      <c r="D272" s="37" t="n">
        <f aca="false">ROUND(Q272*R272,0)</f>
        <v>396</v>
      </c>
      <c r="E272" s="37" t="n">
        <f aca="false">ROUND(Q272,0)-D272</f>
        <v>361</v>
      </c>
      <c r="F272" s="37" t="n">
        <f aca="false">IF(COUNTA(D272:E272)=0,"",SUM(D272:E272))</f>
        <v>757</v>
      </c>
      <c r="G272" s="52" t="n">
        <f aca="false">IF(OR(F272="",F272=0),"",D272/F272)</f>
        <v>0.523117569352708</v>
      </c>
      <c r="H272" s="52" t="n">
        <f aca="false">IF(OR(F272="",F272=0),"",E272/F272)</f>
        <v>0.476882430647292</v>
      </c>
      <c r="I272" s="21" t="s">
        <v>122</v>
      </c>
      <c r="J272" s="53" t="n">
        <v>3.15466234357281</v>
      </c>
      <c r="K272" s="52" t="n">
        <f aca="false">IF(G272="","",MAX(0,G272-J272/100))</f>
        <v>0.49157094591698</v>
      </c>
      <c r="L272" s="52" t="n">
        <f aca="false">IF(G272="","",MIN(1,G272+J272/100))</f>
        <v>0.554664192788436</v>
      </c>
      <c r="M272" s="37" t="n">
        <f aca="false">IF(F272="","",ROUND(F272*J272/100,0))</f>
        <v>24</v>
      </c>
      <c r="P272" s="54" t="n">
        <v>3.07643971726949</v>
      </c>
      <c r="Q272" s="55" t="n">
        <f aca="false">T272*$H$5</f>
        <v>757.186813186813</v>
      </c>
      <c r="R272" s="56" t="n">
        <f aca="false">MAX(0,MIN(1,P272/100+$D$5))</f>
        <v>0.522981520554226</v>
      </c>
      <c r="S272" s="57" t="s">
        <v>123</v>
      </c>
      <c r="T272" s="55" t="n">
        <v>757.186813186813</v>
      </c>
    </row>
    <row r="273" customFormat="false" ht="15" hidden="false" customHeight="false" outlineLevel="0" collapsed="false">
      <c r="A273" s="21" t="s">
        <v>377</v>
      </c>
      <c r="B273" s="21" t="s">
        <v>428</v>
      </c>
      <c r="C273" s="21" t="s">
        <v>429</v>
      </c>
      <c r="D273" s="37" t="n">
        <f aca="false">ROUND(Q273*R273,0)</f>
        <v>722</v>
      </c>
      <c r="E273" s="37" t="n">
        <f aca="false">ROUND(Q273,0)-D273</f>
        <v>1136</v>
      </c>
      <c r="F273" s="37" t="n">
        <f aca="false">IF(COUNTA(D273:E273)=0,"",SUM(D273:E273))</f>
        <v>1858</v>
      </c>
      <c r="G273" s="52" t="n">
        <f aca="false">IF(OR(F273="",F273=0),"",D273/F273)</f>
        <v>0.388589881593111</v>
      </c>
      <c r="H273" s="52" t="n">
        <f aca="false">IF(OR(F273="",F273=0),"",E273/F273)</f>
        <v>0.611410118406889</v>
      </c>
      <c r="I273" s="21" t="s">
        <v>122</v>
      </c>
      <c r="J273" s="53" t="n">
        <v>1.24424911322721</v>
      </c>
      <c r="K273" s="52" t="n">
        <f aca="false">IF(G273="","",MAX(0,G273-J273/100))</f>
        <v>0.376147390460839</v>
      </c>
      <c r="L273" s="52" t="n">
        <f aca="false">IF(G273="","",MIN(1,G273+J273/100))</f>
        <v>0.401032372725383</v>
      </c>
      <c r="M273" s="37" t="n">
        <f aca="false">IF(F273="","",ROUND(F273*J273/100,0))</f>
        <v>23</v>
      </c>
      <c r="P273" s="54" t="n">
        <v>-10.3547872212278</v>
      </c>
      <c r="Q273" s="55" t="n">
        <f aca="false">T273*$H$5</f>
        <v>1857.89473684211</v>
      </c>
      <c r="R273" s="56" t="n">
        <f aca="false">MAX(0,MIN(1,P273/100+$D$5))</f>
        <v>0.388669251169253</v>
      </c>
      <c r="S273" s="57" t="s">
        <v>225</v>
      </c>
      <c r="T273" s="55" t="n">
        <v>1857.89473684211</v>
      </c>
    </row>
    <row r="274" customFormat="false" ht="15" hidden="false" customHeight="false" outlineLevel="0" collapsed="false">
      <c r="A274" s="21" t="s">
        <v>377</v>
      </c>
      <c r="B274" s="21" t="s">
        <v>428</v>
      </c>
      <c r="C274" s="21" t="s">
        <v>430</v>
      </c>
      <c r="D274" s="37" t="n">
        <f aca="false">ROUND(Q274*R274,0)</f>
        <v>661</v>
      </c>
      <c r="E274" s="37" t="n">
        <f aca="false">ROUND(Q274,0)-D274</f>
        <v>939</v>
      </c>
      <c r="F274" s="37" t="n">
        <f aca="false">IF(COUNTA(D274:E274)=0,"",SUM(D274:E274))</f>
        <v>1600</v>
      </c>
      <c r="G274" s="52" t="n">
        <f aca="false">IF(OR(F274="",F274=0),"",D274/F274)</f>
        <v>0.413125</v>
      </c>
      <c r="H274" s="52" t="n">
        <f aca="false">IF(OR(F274="",F274=0),"",E274/F274)</f>
        <v>0.586875</v>
      </c>
      <c r="I274" s="21" t="s">
        <v>122</v>
      </c>
      <c r="J274" s="53" t="n">
        <v>1.24424911322721</v>
      </c>
      <c r="K274" s="52" t="n">
        <f aca="false">IF(G274="","",MAX(0,G274-J274/100))</f>
        <v>0.400682508867728</v>
      </c>
      <c r="L274" s="52" t="n">
        <f aca="false">IF(G274="","",MIN(1,G274+J274/100))</f>
        <v>0.425567491132272</v>
      </c>
      <c r="M274" s="37" t="n">
        <f aca="false">IF(F274="","",ROUND(F274*J274/100,0))</f>
        <v>20</v>
      </c>
      <c r="P274" s="54" t="n">
        <v>-7.88772857705511</v>
      </c>
      <c r="Q274" s="55" t="n">
        <f aca="false">T274*$H$5</f>
        <v>1600.33208176888</v>
      </c>
      <c r="R274" s="56" t="n">
        <f aca="false">MAX(0,MIN(1,P274/100+$D$5))</f>
        <v>0.41333983761098</v>
      </c>
      <c r="S274" s="57" t="s">
        <v>225</v>
      </c>
      <c r="T274" s="55" t="n">
        <v>1600.33208176888</v>
      </c>
    </row>
    <row r="275" customFormat="false" ht="15" hidden="false" customHeight="false" outlineLevel="0" collapsed="false">
      <c r="A275" s="21" t="s">
        <v>377</v>
      </c>
      <c r="B275" s="21" t="s">
        <v>428</v>
      </c>
      <c r="C275" s="21" t="s">
        <v>431</v>
      </c>
      <c r="D275" s="37" t="n">
        <f aca="false">ROUND(Q275*R275,0)</f>
        <v>337</v>
      </c>
      <c r="E275" s="37" t="n">
        <f aca="false">ROUND(Q275,0)-D275</f>
        <v>626</v>
      </c>
      <c r="F275" s="37" t="n">
        <f aca="false">IF(COUNTA(D275:E275)=0,"",SUM(D275:E275))</f>
        <v>963</v>
      </c>
      <c r="G275" s="52" t="n">
        <f aca="false">IF(OR(F275="",F275=0),"",D275/F275)</f>
        <v>0.349948078920042</v>
      </c>
      <c r="H275" s="52" t="n">
        <f aca="false">IF(OR(F275="",F275=0),"",E275/F275)</f>
        <v>0.650051921079959</v>
      </c>
      <c r="I275" s="21" t="s">
        <v>122</v>
      </c>
      <c r="J275" s="53" t="n">
        <v>1.88510957763259</v>
      </c>
      <c r="K275" s="52" t="n">
        <f aca="false">IF(G275="","",MAX(0,G275-J275/100))</f>
        <v>0.331096983143716</v>
      </c>
      <c r="L275" s="52" t="n">
        <f aca="false">IF(G275="","",MIN(1,G275+J275/100))</f>
        <v>0.368799174696367</v>
      </c>
      <c r="M275" s="37" t="n">
        <f aca="false">IF(F275="","",ROUND(F275*J275/100,0))</f>
        <v>18</v>
      </c>
      <c r="P275" s="54" t="n">
        <v>-14.196124784542</v>
      </c>
      <c r="Q275" s="55" t="n">
        <f aca="false">T275*$H$5</f>
        <v>963.38125</v>
      </c>
      <c r="R275" s="56" t="n">
        <f aca="false">MAX(0,MIN(1,P275/100+$D$5))</f>
        <v>0.350255875536111</v>
      </c>
      <c r="S275" s="57" t="s">
        <v>132</v>
      </c>
      <c r="T275" s="55" t="n">
        <v>963.38125</v>
      </c>
    </row>
    <row r="276" customFormat="false" ht="15" hidden="false" customHeight="false" outlineLevel="0" collapsed="false">
      <c r="A276" s="21" t="s">
        <v>377</v>
      </c>
      <c r="B276" s="21" t="s">
        <v>432</v>
      </c>
      <c r="C276" s="21" t="s">
        <v>432</v>
      </c>
      <c r="D276" s="37" t="n">
        <f aca="false">ROUND(Q276*R276,0)</f>
        <v>34</v>
      </c>
      <c r="E276" s="37" t="n">
        <f aca="false">ROUND(Q276,0)-D276</f>
        <v>63</v>
      </c>
      <c r="F276" s="37" t="n">
        <f aca="false">IF(COUNTA(D276:E276)=0,"",SUM(D276:E276))</f>
        <v>97</v>
      </c>
      <c r="G276" s="52" t="n">
        <f aca="false">IF(OR(F276="",F276=0),"",D276/F276)</f>
        <v>0.350515463917526</v>
      </c>
      <c r="H276" s="52" t="n">
        <f aca="false">IF(OR(F276="",F276=0),"",E276/F276)</f>
        <v>0.649484536082474</v>
      </c>
      <c r="I276" s="21" t="s">
        <v>122</v>
      </c>
      <c r="J276" s="53" t="n">
        <v>3.15466234357281</v>
      </c>
      <c r="K276" s="52" t="n">
        <f aca="false">IF(G276="","",MAX(0,G276-J276/100))</f>
        <v>0.318968840481798</v>
      </c>
      <c r="L276" s="52" t="n">
        <f aca="false">IF(G276="","",MIN(1,G276+J276/100))</f>
        <v>0.382062087353254</v>
      </c>
      <c r="M276" s="37" t="n">
        <f aca="false">IF(F276="","",ROUND(F276*J276/100,0))</f>
        <v>3</v>
      </c>
      <c r="P276" s="54" t="n">
        <v>-14.2836822494906</v>
      </c>
      <c r="Q276" s="55" t="n">
        <f aca="false">T276*$H$5</f>
        <v>97.2992700729927</v>
      </c>
      <c r="R276" s="56" t="n">
        <f aca="false">MAX(0,MIN(1,P276/100+$D$5))</f>
        <v>0.349380300886625</v>
      </c>
      <c r="S276" s="57" t="s">
        <v>123</v>
      </c>
      <c r="T276" s="55" t="n">
        <v>97.2992700729927</v>
      </c>
    </row>
    <row r="277" customFormat="false" ht="15" hidden="false" customHeight="false" outlineLevel="0" collapsed="false">
      <c r="A277" s="21" t="s">
        <v>377</v>
      </c>
      <c r="B277" s="21" t="s">
        <v>433</v>
      </c>
      <c r="C277" s="21" t="s">
        <v>434</v>
      </c>
      <c r="D277" s="37" t="n">
        <f aca="false">ROUND(Q277*R277,0)</f>
        <v>613</v>
      </c>
      <c r="E277" s="37" t="n">
        <f aca="false">ROUND(Q277,0)-D277</f>
        <v>804</v>
      </c>
      <c r="F277" s="37" t="n">
        <f aca="false">IF(COUNTA(D277:E277)=0,"",SUM(D277:E277))</f>
        <v>1417</v>
      </c>
      <c r="G277" s="52" t="n">
        <f aca="false">IF(OR(F277="",F277=0),"",D277/F277)</f>
        <v>0.432604093154552</v>
      </c>
      <c r="H277" s="52" t="n">
        <f aca="false">IF(OR(F277="",F277=0),"",E277/F277)</f>
        <v>0.567395906845448</v>
      </c>
      <c r="I277" s="21" t="s">
        <v>122</v>
      </c>
      <c r="J277" s="53" t="n">
        <v>1.24424911322721</v>
      </c>
      <c r="K277" s="52" t="n">
        <f aca="false">IF(G277="","",MAX(0,G277-J277/100))</f>
        <v>0.42016160202228</v>
      </c>
      <c r="L277" s="52" t="n">
        <f aca="false">IF(G277="","",MIN(1,G277+J277/100))</f>
        <v>0.445046584286824</v>
      </c>
      <c r="M277" s="37" t="n">
        <f aca="false">IF(F277="","",ROUND(F277*J277/100,0))</f>
        <v>18</v>
      </c>
      <c r="P277" s="54" t="n">
        <v>-5.97689989958843</v>
      </c>
      <c r="Q277" s="55" t="n">
        <f aca="false">T277*$H$5</f>
        <v>1417.27954319762</v>
      </c>
      <c r="R277" s="56" t="n">
        <f aca="false">MAX(0,MIN(1,P277/100+$D$5))</f>
        <v>0.432448124385647</v>
      </c>
      <c r="S277" s="57" t="s">
        <v>225</v>
      </c>
      <c r="T277" s="55" t="n">
        <v>1417.27954319762</v>
      </c>
    </row>
    <row r="278" customFormat="false" ht="15" hidden="false" customHeight="false" outlineLevel="0" collapsed="false">
      <c r="A278" s="21" t="s">
        <v>377</v>
      </c>
      <c r="B278" s="21" t="s">
        <v>433</v>
      </c>
      <c r="C278" s="21" t="s">
        <v>435</v>
      </c>
      <c r="D278" s="37" t="n">
        <f aca="false">ROUND(Q278*R278,0)</f>
        <v>559</v>
      </c>
      <c r="E278" s="37" t="n">
        <f aca="false">ROUND(Q278,0)-D278</f>
        <v>666</v>
      </c>
      <c r="F278" s="37" t="n">
        <f aca="false">IF(COUNTA(D278:E278)=0,"",SUM(D278:E278))</f>
        <v>1225</v>
      </c>
      <c r="G278" s="52" t="n">
        <f aca="false">IF(OR(F278="",F278=0),"",D278/F278)</f>
        <v>0.456326530612245</v>
      </c>
      <c r="H278" s="52" t="n">
        <f aca="false">IF(OR(F278="",F278=0),"",E278/F278)</f>
        <v>0.543673469387755</v>
      </c>
      <c r="I278" s="21" t="s">
        <v>122</v>
      </c>
      <c r="J278" s="53" t="n">
        <v>1.24424911322721</v>
      </c>
      <c r="K278" s="52" t="n">
        <f aca="false">IF(G278="","",MAX(0,G278-J278/100))</f>
        <v>0.443884039479973</v>
      </c>
      <c r="L278" s="52" t="n">
        <f aca="false">IF(G278="","",MIN(1,G278+J278/100))</f>
        <v>0.468769021744517</v>
      </c>
      <c r="M278" s="37" t="n">
        <f aca="false">IF(F278="","",ROUND(F278*J278/100,0))</f>
        <v>15</v>
      </c>
      <c r="P278" s="54" t="n">
        <v>-3.57784979656802</v>
      </c>
      <c r="Q278" s="55" t="n">
        <f aca="false">T278*$H$5</f>
        <v>1224.74062660503</v>
      </c>
      <c r="R278" s="56" t="n">
        <f aca="false">MAX(0,MIN(1,P278/100+$D$5))</f>
        <v>0.456438625415851</v>
      </c>
      <c r="S278" s="57" t="s">
        <v>225</v>
      </c>
      <c r="T278" s="55" t="n">
        <v>1224.74062660503</v>
      </c>
    </row>
    <row r="279" customFormat="false" ht="15" hidden="false" customHeight="false" outlineLevel="0" collapsed="false">
      <c r="A279" s="21" t="s">
        <v>377</v>
      </c>
      <c r="B279" s="21" t="s">
        <v>436</v>
      </c>
      <c r="C279" s="21" t="s">
        <v>436</v>
      </c>
      <c r="D279" s="37" t="n">
        <f aca="false">ROUND(Q279*R279,0)</f>
        <v>145</v>
      </c>
      <c r="E279" s="37" t="n">
        <f aca="false">ROUND(Q279,0)-D279</f>
        <v>215</v>
      </c>
      <c r="F279" s="37" t="n">
        <f aca="false">IF(COUNTA(D279:E279)=0,"",SUM(D279:E279))</f>
        <v>360</v>
      </c>
      <c r="G279" s="52" t="n">
        <f aca="false">IF(OR(F279="",F279=0),"",D279/F279)</f>
        <v>0.402777777777778</v>
      </c>
      <c r="H279" s="52" t="n">
        <f aca="false">IF(OR(F279="",F279=0),"",E279/F279)</f>
        <v>0.597222222222222</v>
      </c>
      <c r="I279" s="21" t="s">
        <v>122</v>
      </c>
      <c r="J279" s="53" t="n">
        <v>3.15466234357281</v>
      </c>
      <c r="K279" s="52" t="n">
        <f aca="false">IF(G279="","",MAX(0,G279-J279/100))</f>
        <v>0.37123115434205</v>
      </c>
      <c r="L279" s="52" t="n">
        <f aca="false">IF(G279="","",MIN(1,G279+J279/100))</f>
        <v>0.434324401213506</v>
      </c>
      <c r="M279" s="37" t="n">
        <f aca="false">IF(F279="","",ROUND(F279*J279/100,0))</f>
        <v>11</v>
      </c>
      <c r="P279" s="54" t="n">
        <v>-8.97938404435849</v>
      </c>
      <c r="Q279" s="55" t="n">
        <f aca="false">T279*$H$5</f>
        <v>360.236842105263</v>
      </c>
      <c r="R279" s="56" t="n">
        <f aca="false">MAX(0,MIN(1,P279/100+$D$5))</f>
        <v>0.402423282937946</v>
      </c>
      <c r="S279" s="57" t="s">
        <v>123</v>
      </c>
      <c r="T279" s="55" t="n">
        <v>360.236842105263</v>
      </c>
    </row>
    <row r="280" customFormat="false" ht="15" hidden="false" customHeight="false" outlineLevel="0" collapsed="false">
      <c r="A280" s="21" t="s">
        <v>377</v>
      </c>
      <c r="B280" s="21" t="s">
        <v>437</v>
      </c>
      <c r="C280" s="21" t="s">
        <v>438</v>
      </c>
      <c r="D280" s="37" t="n">
        <f aca="false">ROUND(Q280*R280,0)</f>
        <v>1127</v>
      </c>
      <c r="E280" s="37" t="n">
        <f aca="false">ROUND(Q280,0)-D280</f>
        <v>738</v>
      </c>
      <c r="F280" s="37" t="n">
        <f aca="false">IF(COUNTA(D280:E280)=0,"",SUM(D280:E280))</f>
        <v>1865</v>
      </c>
      <c r="G280" s="52" t="n">
        <f aca="false">IF(OR(F280="",F280=0),"",D280/F280)</f>
        <v>0.604289544235925</v>
      </c>
      <c r="H280" s="52" t="n">
        <f aca="false">IF(OR(F280="",F280=0),"",E280/F280)</f>
        <v>0.395710455764075</v>
      </c>
      <c r="I280" s="21" t="s">
        <v>223</v>
      </c>
      <c r="J280" s="53" t="n">
        <v>1.24424911322721</v>
      </c>
      <c r="K280" s="52" t="n">
        <f aca="false">IF(G280="","",MAX(0,G280-J280/100))</f>
        <v>0.591847053103653</v>
      </c>
      <c r="L280" s="52" t="n">
        <f aca="false">IF(G280="","",MIN(1,G280+J280/100))</f>
        <v>0.616732035368197</v>
      </c>
      <c r="M280" s="37" t="n">
        <f aca="false">IF(F280="","",ROUND(F280*J280/100,0))</f>
        <v>23</v>
      </c>
      <c r="P280" s="54" t="n">
        <v>11.200220435565</v>
      </c>
      <c r="Q280" s="55" t="n">
        <f aca="false">T280*$H$5</f>
        <v>1864.58361114764</v>
      </c>
      <c r="R280" s="56" t="n">
        <f aca="false">MAX(0,MIN(1,P280/100+$D$5))</f>
        <v>0.604219327737181</v>
      </c>
      <c r="S280" s="57" t="s">
        <v>225</v>
      </c>
      <c r="T280" s="55" t="n">
        <v>1864.58361114764</v>
      </c>
    </row>
    <row r="281" customFormat="false" ht="15" hidden="false" customHeight="false" outlineLevel="0" collapsed="false">
      <c r="A281" s="21" t="s">
        <v>377</v>
      </c>
      <c r="B281" s="21" t="s">
        <v>437</v>
      </c>
      <c r="C281" s="21" t="s">
        <v>439</v>
      </c>
      <c r="D281" s="37" t="n">
        <f aca="false">ROUND(Q281*R281,0)</f>
        <v>492</v>
      </c>
      <c r="E281" s="37" t="n">
        <f aca="false">ROUND(Q281,0)-D281</f>
        <v>288</v>
      </c>
      <c r="F281" s="37" t="n">
        <f aca="false">IF(COUNTA(D281:E281)=0,"",SUM(D281:E281))</f>
        <v>780</v>
      </c>
      <c r="G281" s="52" t="n">
        <f aca="false">IF(OR(F281="",F281=0),"",D281/F281)</f>
        <v>0.630769230769231</v>
      </c>
      <c r="H281" s="52" t="n">
        <f aca="false">IF(OR(F281="",F281=0),"",E281/F281)</f>
        <v>0.369230769230769</v>
      </c>
      <c r="I281" s="21" t="s">
        <v>122</v>
      </c>
      <c r="J281" s="53" t="n">
        <v>1.88510957763259</v>
      </c>
      <c r="K281" s="52" t="n">
        <f aca="false">IF(G281="","",MAX(0,G281-J281/100))</f>
        <v>0.611918134992905</v>
      </c>
      <c r="L281" s="52" t="n">
        <f aca="false">IF(G281="","",MIN(1,G281+J281/100))</f>
        <v>0.649620326545557</v>
      </c>
      <c r="M281" s="37" t="n">
        <f aca="false">IF(F281="","",ROUND(F281*J281/100,0))</f>
        <v>15</v>
      </c>
      <c r="P281" s="54" t="n">
        <v>13.8063844372105</v>
      </c>
      <c r="Q281" s="55" t="n">
        <f aca="false">T281*$H$5</f>
        <v>779.911439114391</v>
      </c>
      <c r="R281" s="56" t="n">
        <f aca="false">MAX(0,MIN(1,P281/100+$D$5))</f>
        <v>0.630280967753635</v>
      </c>
      <c r="S281" s="57" t="s">
        <v>132</v>
      </c>
      <c r="T281" s="55" t="n">
        <v>779.911439114391</v>
      </c>
    </row>
    <row r="282" customFormat="false" ht="15" hidden="false" customHeight="false" outlineLevel="0" collapsed="false">
      <c r="A282" s="21" t="s">
        <v>377</v>
      </c>
      <c r="B282" s="21" t="s">
        <v>437</v>
      </c>
      <c r="C282" s="21" t="s">
        <v>440</v>
      </c>
      <c r="D282" s="37" t="n">
        <f aca="false">ROUND(Q282*R282,0)</f>
        <v>427</v>
      </c>
      <c r="E282" s="37" t="n">
        <f aca="false">ROUND(Q282,0)-D282</f>
        <v>176</v>
      </c>
      <c r="F282" s="37" t="n">
        <f aca="false">IF(COUNTA(D282:E282)=0,"",SUM(D282:E282))</f>
        <v>603</v>
      </c>
      <c r="G282" s="52" t="n">
        <f aca="false">IF(OR(F282="",F282=0),"",D282/F282)</f>
        <v>0.708126036484245</v>
      </c>
      <c r="H282" s="52" t="n">
        <f aca="false">IF(OR(F282="",F282=0),"",E282/F282)</f>
        <v>0.291873963515755</v>
      </c>
      <c r="I282" s="21" t="s">
        <v>122</v>
      </c>
      <c r="J282" s="53" t="n">
        <v>3.15466234357281</v>
      </c>
      <c r="K282" s="52" t="n">
        <f aca="false">IF(G282="","",MAX(0,G282-J282/100))</f>
        <v>0.676579413048517</v>
      </c>
      <c r="L282" s="52" t="n">
        <f aca="false">IF(G282="","",MIN(1,G282+J282/100))</f>
        <v>0.739672659919974</v>
      </c>
      <c r="M282" s="37" t="n">
        <f aca="false">IF(F282="","",ROUND(F282*J282/100,0))</f>
        <v>19</v>
      </c>
      <c r="P282" s="54" t="n">
        <v>21.6347433925671</v>
      </c>
      <c r="Q282" s="55" t="n">
        <f aca="false">T282*$H$5</f>
        <v>602.870201096892</v>
      </c>
      <c r="R282" s="56" t="n">
        <f aca="false">MAX(0,MIN(1,P282/100+$D$5))</f>
        <v>0.708564557307202</v>
      </c>
      <c r="S282" s="57" t="s">
        <v>123</v>
      </c>
      <c r="T282" s="55" t="n">
        <v>602.870201096892</v>
      </c>
    </row>
    <row r="283" customFormat="false" ht="15" hidden="false" customHeight="false" outlineLevel="0" collapsed="false">
      <c r="A283" s="21" t="s">
        <v>377</v>
      </c>
      <c r="B283" s="21" t="s">
        <v>437</v>
      </c>
      <c r="C283" s="21" t="s">
        <v>441</v>
      </c>
      <c r="D283" s="37" t="n">
        <f aca="false">ROUND(Q283*R283,0)</f>
        <v>599</v>
      </c>
      <c r="E283" s="37" t="n">
        <f aca="false">ROUND(Q283,0)-D283</f>
        <v>222</v>
      </c>
      <c r="F283" s="37" t="n">
        <f aca="false">IF(COUNTA(D283:E283)=0,"",SUM(D283:E283))</f>
        <v>821</v>
      </c>
      <c r="G283" s="52" t="n">
        <f aca="false">IF(OR(F283="",F283=0),"",D283/F283)</f>
        <v>0.729598051157126</v>
      </c>
      <c r="H283" s="52" t="n">
        <f aca="false">IF(OR(F283="",F283=0),"",E283/F283)</f>
        <v>0.270401948842875</v>
      </c>
      <c r="I283" s="21" t="s">
        <v>122</v>
      </c>
      <c r="J283" s="53" t="n">
        <v>1.88510957763259</v>
      </c>
      <c r="K283" s="52" t="n">
        <f aca="false">IF(G283="","",MAX(0,G283-J283/100))</f>
        <v>0.7107469553808</v>
      </c>
      <c r="L283" s="52" t="n">
        <f aca="false">IF(G283="","",MIN(1,G283+J283/100))</f>
        <v>0.748449146933451</v>
      </c>
      <c r="M283" s="37" t="n">
        <f aca="false">IF(F283="","",ROUND(F283*J283/100,0))</f>
        <v>15</v>
      </c>
      <c r="P283" s="54" t="n">
        <v>23.8089960544295</v>
      </c>
      <c r="Q283" s="55" t="n">
        <f aca="false">T283*$H$5</f>
        <v>820.6703125</v>
      </c>
      <c r="R283" s="56" t="n">
        <f aca="false">MAX(0,MIN(1,P283/100+$D$5))</f>
        <v>0.730307083925825</v>
      </c>
      <c r="S283" s="57" t="s">
        <v>132</v>
      </c>
      <c r="T283" s="55" t="n">
        <v>820.6703125</v>
      </c>
    </row>
    <row r="284" customFormat="false" ht="15" hidden="false" customHeight="false" outlineLevel="0" collapsed="false">
      <c r="A284" s="21" t="s">
        <v>377</v>
      </c>
      <c r="B284" s="21" t="s">
        <v>437</v>
      </c>
      <c r="C284" s="21" t="s">
        <v>442</v>
      </c>
      <c r="D284" s="37" t="n">
        <f aca="false">ROUND(Q284*R284,0)</f>
        <v>457</v>
      </c>
      <c r="E284" s="37" t="n">
        <f aca="false">ROUND(Q284,0)-D284</f>
        <v>134</v>
      </c>
      <c r="F284" s="37" t="n">
        <f aca="false">IF(COUNTA(D284:E284)=0,"",SUM(D284:E284))</f>
        <v>591</v>
      </c>
      <c r="G284" s="52" t="n">
        <f aca="false">IF(OR(F284="",F284=0),"",D284/F284)</f>
        <v>0.77326565143824</v>
      </c>
      <c r="H284" s="52" t="n">
        <f aca="false">IF(OR(F284="",F284=0),"",E284/F284)</f>
        <v>0.22673434856176</v>
      </c>
      <c r="I284" s="21" t="s">
        <v>122</v>
      </c>
      <c r="J284" s="53" t="n">
        <v>3.15466234357281</v>
      </c>
      <c r="K284" s="52" t="n">
        <f aca="false">IF(G284="","",MAX(0,G284-J284/100))</f>
        <v>0.741719028002512</v>
      </c>
      <c r="L284" s="52" t="n">
        <f aca="false">IF(G284="","",MIN(1,G284+J284/100))</f>
        <v>0.804812274873968</v>
      </c>
      <c r="M284" s="37" t="n">
        <f aca="false">IF(F284="","",ROUND(F284*J284/100,0))</f>
        <v>19</v>
      </c>
      <c r="P284" s="54" t="n">
        <v>28.1083741038508</v>
      </c>
      <c r="Q284" s="55" t="n">
        <f aca="false">T284*$H$5</f>
        <v>590.669623059868</v>
      </c>
      <c r="R284" s="56" t="n">
        <f aca="false">MAX(0,MIN(1,P284/100+$D$5))</f>
        <v>0.773300864420039</v>
      </c>
      <c r="S284" s="57" t="s">
        <v>123</v>
      </c>
      <c r="T284" s="55" t="n">
        <v>590.669623059868</v>
      </c>
    </row>
    <row r="285" customFormat="false" ht="15" hidden="false" customHeight="false" outlineLevel="0" collapsed="false">
      <c r="A285" s="21" t="s">
        <v>377</v>
      </c>
      <c r="B285" s="21" t="s">
        <v>437</v>
      </c>
      <c r="C285" s="21" t="s">
        <v>443</v>
      </c>
      <c r="D285" s="37" t="n">
        <f aca="false">ROUND(Q285*R285,0)</f>
        <v>477</v>
      </c>
      <c r="E285" s="37" t="n">
        <f aca="false">ROUND(Q285,0)-D285</f>
        <v>214</v>
      </c>
      <c r="F285" s="37" t="n">
        <f aca="false">IF(COUNTA(D285:E285)=0,"",SUM(D285:E285))</f>
        <v>691</v>
      </c>
      <c r="G285" s="52" t="n">
        <f aca="false">IF(OR(F285="",F285=0),"",D285/F285)</f>
        <v>0.690303907380608</v>
      </c>
      <c r="H285" s="52" t="n">
        <f aca="false">IF(OR(F285="",F285=0),"",E285/F285)</f>
        <v>0.309696092619392</v>
      </c>
      <c r="I285" s="21" t="s">
        <v>122</v>
      </c>
      <c r="J285" s="53" t="n">
        <v>3.15466234357281</v>
      </c>
      <c r="K285" s="52" t="n">
        <f aca="false">IF(G285="","",MAX(0,G285-J285/100))</f>
        <v>0.65875728394488</v>
      </c>
      <c r="L285" s="52" t="n">
        <f aca="false">IF(G285="","",MIN(1,G285+J285/100))</f>
        <v>0.721850530816336</v>
      </c>
      <c r="M285" s="37" t="n">
        <f aca="false">IF(F285="","",ROUND(F285*J285/100,0))</f>
        <v>22</v>
      </c>
      <c r="P285" s="54" t="n">
        <v>19.7867728849597</v>
      </c>
      <c r="Q285" s="55" t="n">
        <f aca="false">T285*$H$5</f>
        <v>691.24526600541</v>
      </c>
      <c r="R285" s="56" t="n">
        <f aca="false">MAX(0,MIN(1,P285/100+$D$5))</f>
        <v>0.690084852231128</v>
      </c>
      <c r="S285" s="57" t="s">
        <v>123</v>
      </c>
      <c r="T285" s="55" t="n">
        <v>691.24526600541</v>
      </c>
    </row>
    <row r="286" customFormat="false" ht="15" hidden="false" customHeight="false" outlineLevel="0" collapsed="false">
      <c r="A286" s="21" t="s">
        <v>377</v>
      </c>
      <c r="B286" s="21" t="s">
        <v>437</v>
      </c>
      <c r="C286" s="21" t="s">
        <v>444</v>
      </c>
      <c r="D286" s="37" t="n">
        <f aca="false">ROUND(Q286*R286,0)</f>
        <v>342</v>
      </c>
      <c r="E286" s="37" t="n">
        <f aca="false">ROUND(Q286,0)-D286</f>
        <v>168</v>
      </c>
      <c r="F286" s="37" t="n">
        <f aca="false">IF(COUNTA(D286:E286)=0,"",SUM(D286:E286))</f>
        <v>510</v>
      </c>
      <c r="G286" s="52" t="n">
        <f aca="false">IF(OR(F286="",F286=0),"",D286/F286)</f>
        <v>0.670588235294118</v>
      </c>
      <c r="H286" s="52" t="n">
        <f aca="false">IF(OR(F286="",F286=0),"",E286/F286)</f>
        <v>0.329411764705882</v>
      </c>
      <c r="I286" s="21" t="s">
        <v>122</v>
      </c>
      <c r="J286" s="53" t="n">
        <v>3.15466234357281</v>
      </c>
      <c r="K286" s="52" t="n">
        <f aca="false">IF(G286="","",MAX(0,G286-J286/100))</f>
        <v>0.63904161185839</v>
      </c>
      <c r="L286" s="52" t="n">
        <f aca="false">IF(G286="","",MIN(1,G286+J286/100))</f>
        <v>0.702134858729846</v>
      </c>
      <c r="M286" s="37" t="n">
        <f aca="false">IF(F286="","",ROUND(F286*J286/100,0))</f>
        <v>16</v>
      </c>
      <c r="P286" s="54" t="n">
        <v>17.7487429497426</v>
      </c>
      <c r="Q286" s="55" t="n">
        <f aca="false">T286*$H$5</f>
        <v>510.153409090909</v>
      </c>
      <c r="R286" s="56" t="n">
        <f aca="false">MAX(0,MIN(1,P286/100+$D$5))</f>
        <v>0.669704552878957</v>
      </c>
      <c r="S286" s="57" t="s">
        <v>123</v>
      </c>
      <c r="T286" s="55" t="n">
        <v>510.153409090909</v>
      </c>
    </row>
    <row r="287" customFormat="false" ht="15" hidden="false" customHeight="false" outlineLevel="0" collapsed="false">
      <c r="A287" s="21" t="s">
        <v>377</v>
      </c>
      <c r="B287" s="21" t="s">
        <v>437</v>
      </c>
      <c r="C287" s="21" t="s">
        <v>445</v>
      </c>
      <c r="D287" s="37" t="n">
        <f aca="false">ROUND(Q287*R287,0)</f>
        <v>145</v>
      </c>
      <c r="E287" s="37" t="n">
        <f aca="false">ROUND(Q287,0)-D287</f>
        <v>58</v>
      </c>
      <c r="F287" s="37" t="n">
        <f aca="false">IF(COUNTA(D287:E287)=0,"",SUM(D287:E287))</f>
        <v>203</v>
      </c>
      <c r="G287" s="52" t="n">
        <f aca="false">IF(OR(F287="",F287=0),"",D287/F287)</f>
        <v>0.714285714285714</v>
      </c>
      <c r="H287" s="52" t="n">
        <f aca="false">IF(OR(F287="",F287=0),"",E287/F287)</f>
        <v>0.285714285714286</v>
      </c>
      <c r="I287" s="21" t="s">
        <v>122</v>
      </c>
      <c r="J287" s="53" t="n">
        <v>3.15466234357281</v>
      </c>
      <c r="K287" s="52" t="n">
        <f aca="false">IF(G287="","",MAX(0,G287-J287/100))</f>
        <v>0.682739090849986</v>
      </c>
      <c r="L287" s="52" t="n">
        <f aca="false">IF(G287="","",MIN(1,G287+J287/100))</f>
        <v>0.745832337721442</v>
      </c>
      <c r="M287" s="37" t="n">
        <f aca="false">IF(F287="","",ROUND(F287*J287/100,0))</f>
        <v>6</v>
      </c>
      <c r="P287" s="54" t="n">
        <v>22.5105177760612</v>
      </c>
      <c r="Q287" s="55" t="n">
        <f aca="false">T287*$H$5</f>
        <v>202.766550522648</v>
      </c>
      <c r="R287" s="56" t="n">
        <f aca="false">MAX(0,MIN(1,P287/100+$D$5))</f>
        <v>0.717322301142143</v>
      </c>
      <c r="S287" s="57" t="s">
        <v>123</v>
      </c>
      <c r="T287" s="55" t="n">
        <v>202.766550522648</v>
      </c>
    </row>
    <row r="288" customFormat="false" ht="15" hidden="false" customHeight="false" outlineLevel="0" collapsed="false">
      <c r="A288" s="21" t="s">
        <v>377</v>
      </c>
      <c r="B288" s="21" t="s">
        <v>437</v>
      </c>
      <c r="C288" s="21" t="s">
        <v>446</v>
      </c>
      <c r="D288" s="37" t="n">
        <f aca="false">ROUND(Q288*R288,0)</f>
        <v>227</v>
      </c>
      <c r="E288" s="37" t="n">
        <f aca="false">ROUND(Q288,0)-D288</f>
        <v>91</v>
      </c>
      <c r="F288" s="37" t="n">
        <f aca="false">IF(COUNTA(D288:E288)=0,"",SUM(D288:E288))</f>
        <v>318</v>
      </c>
      <c r="G288" s="52" t="n">
        <f aca="false">IF(OR(F288="",F288=0),"",D288/F288)</f>
        <v>0.713836477987421</v>
      </c>
      <c r="H288" s="52" t="n">
        <f aca="false">IF(OR(F288="",F288=0),"",E288/F288)</f>
        <v>0.286163522012579</v>
      </c>
      <c r="I288" s="21" t="s">
        <v>122</v>
      </c>
      <c r="J288" s="53" t="n">
        <v>3.15466234357281</v>
      </c>
      <c r="K288" s="52" t="n">
        <f aca="false">IF(G288="","",MAX(0,G288-J288/100))</f>
        <v>0.682289854551693</v>
      </c>
      <c r="L288" s="52" t="n">
        <f aca="false">IF(G288="","",MIN(1,G288+J288/100))</f>
        <v>0.74538310142315</v>
      </c>
      <c r="M288" s="37" t="n">
        <f aca="false">IF(F288="","",ROUND(F288*J288/100,0))</f>
        <v>10</v>
      </c>
      <c r="P288" s="54" t="n">
        <v>22.1435974614724</v>
      </c>
      <c r="Q288" s="55" t="n">
        <f aca="false">T288*$H$5</f>
        <v>318.271119842829</v>
      </c>
      <c r="R288" s="56" t="n">
        <f aca="false">MAX(0,MIN(1,P288/100+$D$5))</f>
        <v>0.713653097996255</v>
      </c>
      <c r="S288" s="57" t="s">
        <v>123</v>
      </c>
      <c r="T288" s="55" t="n">
        <v>318.271119842829</v>
      </c>
    </row>
    <row r="289" customFormat="false" ht="15" hidden="false" customHeight="false" outlineLevel="0" collapsed="false">
      <c r="A289" s="21" t="s">
        <v>377</v>
      </c>
      <c r="B289" s="21" t="s">
        <v>437</v>
      </c>
      <c r="C289" s="21" t="s">
        <v>447</v>
      </c>
      <c r="D289" s="37" t="n">
        <f aca="false">ROUND(Q289*R289,0)</f>
        <v>239</v>
      </c>
      <c r="E289" s="37" t="n">
        <f aca="false">ROUND(Q289,0)-D289</f>
        <v>112</v>
      </c>
      <c r="F289" s="37" t="n">
        <f aca="false">IF(COUNTA(D289:E289)=0,"",SUM(D289:E289))</f>
        <v>351</v>
      </c>
      <c r="G289" s="52" t="n">
        <f aca="false">IF(OR(F289="",F289=0),"",D289/F289)</f>
        <v>0.680911680911681</v>
      </c>
      <c r="H289" s="52" t="n">
        <f aca="false">IF(OR(F289="",F289=0),"",E289/F289)</f>
        <v>0.319088319088319</v>
      </c>
      <c r="I289" s="21" t="s">
        <v>122</v>
      </c>
      <c r="J289" s="53" t="n">
        <v>3.15466234357281</v>
      </c>
      <c r="K289" s="52" t="n">
        <f aca="false">IF(G289="","",MAX(0,G289-J289/100))</f>
        <v>0.649365057475953</v>
      </c>
      <c r="L289" s="52" t="n">
        <f aca="false">IF(G289="","",MIN(1,G289+J289/100))</f>
        <v>0.712458304347409</v>
      </c>
      <c r="M289" s="37" t="n">
        <f aca="false">IF(F289="","",ROUND(F289*J289/100,0))</f>
        <v>11</v>
      </c>
      <c r="P289" s="54" t="n">
        <v>19.0746251412861</v>
      </c>
      <c r="Q289" s="55" t="n">
        <f aca="false">T289*$H$5</f>
        <v>350.591240875912</v>
      </c>
      <c r="R289" s="56" t="n">
        <f aca="false">MAX(0,MIN(1,P289/100+$D$5))</f>
        <v>0.682963374794392</v>
      </c>
      <c r="S289" s="57" t="s">
        <v>123</v>
      </c>
      <c r="T289" s="55" t="n">
        <v>350.591240875912</v>
      </c>
    </row>
    <row r="290" customFormat="false" ht="15" hidden="false" customHeight="false" outlineLevel="0" collapsed="false">
      <c r="A290" s="21" t="s">
        <v>377</v>
      </c>
      <c r="B290" s="21" t="s">
        <v>437</v>
      </c>
      <c r="C290" s="21" t="s">
        <v>448</v>
      </c>
      <c r="D290" s="37" t="n">
        <f aca="false">ROUND(Q290*R290,0)</f>
        <v>1018</v>
      </c>
      <c r="E290" s="37" t="n">
        <f aca="false">ROUND(Q290,0)-D290</f>
        <v>623</v>
      </c>
      <c r="F290" s="37" t="n">
        <f aca="false">IF(COUNTA(D290:E290)=0,"",SUM(D290:E290))</f>
        <v>1641</v>
      </c>
      <c r="G290" s="52" t="n">
        <f aca="false">IF(OR(F290="",F290=0),"",D290/F290)</f>
        <v>0.620353443022547</v>
      </c>
      <c r="H290" s="52" t="n">
        <f aca="false">IF(OR(F290="",F290=0),"",E290/F290)</f>
        <v>0.379646556977453</v>
      </c>
      <c r="I290" s="21" t="s">
        <v>223</v>
      </c>
      <c r="J290" s="53" t="n">
        <v>1.24424911322721</v>
      </c>
      <c r="K290" s="52" t="n">
        <f aca="false">IF(G290="","",MAX(0,G290-J290/100))</f>
        <v>0.607910951890275</v>
      </c>
      <c r="L290" s="52" t="n">
        <f aca="false">IF(G290="","",MIN(1,G290+J290/100))</f>
        <v>0.632795934154819</v>
      </c>
      <c r="M290" s="37" t="n">
        <f aca="false">IF(F290="","",ROUND(F290*J290/100,0))</f>
        <v>20</v>
      </c>
      <c r="P290" s="54" t="n">
        <v>12.8154130222645</v>
      </c>
      <c r="Q290" s="55" t="n">
        <f aca="false">T290*$H$5</f>
        <v>1641.003487384</v>
      </c>
      <c r="R290" s="56" t="n">
        <f aca="false">MAX(0,MIN(1,P290/100+$D$5))</f>
        <v>0.620371253604176</v>
      </c>
      <c r="S290" s="57" t="s">
        <v>225</v>
      </c>
      <c r="T290" s="55" t="n">
        <v>1641.003487384</v>
      </c>
    </row>
    <row r="291" customFormat="false" ht="15" hidden="false" customHeight="false" outlineLevel="0" collapsed="false">
      <c r="A291" s="21" t="s">
        <v>377</v>
      </c>
      <c r="B291" s="21" t="s">
        <v>437</v>
      </c>
      <c r="C291" s="21" t="s">
        <v>449</v>
      </c>
      <c r="D291" s="37" t="n">
        <f aca="false">ROUND(Q291*R291,0)</f>
        <v>634</v>
      </c>
      <c r="E291" s="37" t="n">
        <f aca="false">ROUND(Q291,0)-D291</f>
        <v>292</v>
      </c>
      <c r="F291" s="37" t="n">
        <f aca="false">IF(COUNTA(D291:E291)=0,"",SUM(D291:E291))</f>
        <v>926</v>
      </c>
      <c r="G291" s="52" t="n">
        <f aca="false">IF(OR(F291="",F291=0),"",D291/F291)</f>
        <v>0.684665226781858</v>
      </c>
      <c r="H291" s="52" t="n">
        <f aca="false">IF(OR(F291="",F291=0),"",E291/F291)</f>
        <v>0.315334773218143</v>
      </c>
      <c r="I291" s="21" t="s">
        <v>122</v>
      </c>
      <c r="J291" s="53" t="n">
        <v>1.88510957763259</v>
      </c>
      <c r="K291" s="52" t="n">
        <f aca="false">IF(G291="","",MAX(0,G291-J291/100))</f>
        <v>0.665814131005532</v>
      </c>
      <c r="L291" s="52" t="n">
        <f aca="false">IF(G291="","",MIN(1,G291+J291/100))</f>
        <v>0.703516322558183</v>
      </c>
      <c r="M291" s="37" t="n">
        <f aca="false">IF(F291="","",ROUND(F291*J291/100,0))</f>
        <v>17</v>
      </c>
      <c r="P291" s="54" t="n">
        <v>19.2236221911227</v>
      </c>
      <c r="Q291" s="55" t="n">
        <f aca="false">T291*$H$5</f>
        <v>925.647509578545</v>
      </c>
      <c r="R291" s="56" t="n">
        <f aca="false">MAX(0,MIN(1,P291/100+$D$5))</f>
        <v>0.684453345292758</v>
      </c>
      <c r="S291" s="57" t="s">
        <v>132</v>
      </c>
      <c r="T291" s="55" t="n">
        <v>925.647509578545</v>
      </c>
    </row>
    <row r="292" customFormat="false" ht="15" hidden="false" customHeight="false" outlineLevel="0" collapsed="false">
      <c r="A292" s="21" t="s">
        <v>377</v>
      </c>
      <c r="B292" s="21" t="s">
        <v>450</v>
      </c>
      <c r="C292" s="21" t="s">
        <v>451</v>
      </c>
      <c r="D292" s="37" t="n">
        <f aca="false">ROUND(Q292*R292,0)</f>
        <v>683</v>
      </c>
      <c r="E292" s="37" t="n">
        <f aca="false">ROUND(Q292,0)-D292</f>
        <v>679</v>
      </c>
      <c r="F292" s="37" t="n">
        <f aca="false">IF(COUNTA(D292:E292)=0,"",SUM(D292:E292))</f>
        <v>1362</v>
      </c>
      <c r="G292" s="52" t="n">
        <f aca="false">IF(OR(F292="",F292=0),"",D292/F292)</f>
        <v>0.501468428781204</v>
      </c>
      <c r="H292" s="52" t="n">
        <f aca="false">IF(OR(F292="",F292=0),"",E292/F292)</f>
        <v>0.498531571218796</v>
      </c>
      <c r="I292" s="21" t="s">
        <v>122</v>
      </c>
      <c r="J292" s="53" t="n">
        <v>1.24424911322721</v>
      </c>
      <c r="K292" s="52" t="n">
        <f aca="false">IF(G292="","",MAX(0,G292-J292/100))</f>
        <v>0.489025937648932</v>
      </c>
      <c r="L292" s="52" t="n">
        <f aca="false">IF(G292="","",MIN(1,G292+J292/100))</f>
        <v>0.513910919913476</v>
      </c>
      <c r="M292" s="37" t="n">
        <f aca="false">IF(F292="","",ROUND(F292*J292/100,0))</f>
        <v>17</v>
      </c>
      <c r="P292" s="54" t="n">
        <v>0.88047194375991</v>
      </c>
      <c r="Q292" s="55" t="n">
        <f aca="false">T292*$H$5</f>
        <v>1362.48372781065</v>
      </c>
      <c r="R292" s="56" t="n">
        <f aca="false">MAX(0,MIN(1,P292/100+$D$5))</f>
        <v>0.50102184281913</v>
      </c>
      <c r="S292" s="57" t="s">
        <v>225</v>
      </c>
      <c r="T292" s="55" t="n">
        <v>1362.48372781065</v>
      </c>
    </row>
    <row r="293" customFormat="false" ht="15" hidden="false" customHeight="false" outlineLevel="0" collapsed="false">
      <c r="A293" s="21" t="s">
        <v>377</v>
      </c>
      <c r="B293" s="21" t="s">
        <v>450</v>
      </c>
      <c r="C293" s="21" t="s">
        <v>452</v>
      </c>
      <c r="D293" s="37" t="n">
        <f aca="false">ROUND(Q293*R293,0)</f>
        <v>525</v>
      </c>
      <c r="E293" s="37" t="n">
        <f aca="false">ROUND(Q293,0)-D293</f>
        <v>558</v>
      </c>
      <c r="F293" s="37" t="n">
        <f aca="false">IF(COUNTA(D293:E293)=0,"",SUM(D293:E293))</f>
        <v>1083</v>
      </c>
      <c r="G293" s="52" t="n">
        <f aca="false">IF(OR(F293="",F293=0),"",D293/F293)</f>
        <v>0.484764542936288</v>
      </c>
      <c r="H293" s="52" t="n">
        <f aca="false">IF(OR(F293="",F293=0),"",E293/F293)</f>
        <v>0.515235457063712</v>
      </c>
      <c r="I293" s="21" t="s">
        <v>223</v>
      </c>
      <c r="J293" s="53" t="n">
        <v>1.88510957763259</v>
      </c>
      <c r="K293" s="52" t="n">
        <f aca="false">IF(G293="","",MAX(0,G293-J293/100))</f>
        <v>0.465913447159962</v>
      </c>
      <c r="L293" s="52" t="n">
        <f aca="false">IF(G293="","",MIN(1,G293+J293/100))</f>
        <v>0.503615638712614</v>
      </c>
      <c r="M293" s="37" t="n">
        <f aca="false">IF(F293="","",ROUND(F293*J293/100,0))</f>
        <v>20</v>
      </c>
      <c r="P293" s="54" t="n">
        <v>-0.75533662348907</v>
      </c>
      <c r="Q293" s="55" t="n">
        <f aca="false">T293*$H$5</f>
        <v>1083.11654558275</v>
      </c>
      <c r="R293" s="56" t="n">
        <f aca="false">MAX(0,MIN(1,P293/100+$D$5))</f>
        <v>0.48466375714664</v>
      </c>
      <c r="S293" s="57" t="s">
        <v>132</v>
      </c>
      <c r="T293" s="55" t="n">
        <v>1083.11654558275</v>
      </c>
    </row>
    <row r="294" customFormat="false" ht="15" hidden="false" customHeight="false" outlineLevel="0" collapsed="false">
      <c r="A294" s="21" t="s">
        <v>377</v>
      </c>
      <c r="B294" s="21" t="s">
        <v>450</v>
      </c>
      <c r="C294" s="21" t="s">
        <v>453</v>
      </c>
      <c r="D294" s="37" t="n">
        <f aca="false">ROUND(Q294*R294,0)</f>
        <v>315</v>
      </c>
      <c r="E294" s="37" t="n">
        <f aca="false">ROUND(Q294,0)-D294</f>
        <v>266</v>
      </c>
      <c r="F294" s="37" t="n">
        <f aca="false">IF(COUNTA(D294:E294)=0,"",SUM(D294:E294))</f>
        <v>581</v>
      </c>
      <c r="G294" s="52" t="n">
        <f aca="false">IF(OR(F294="",F294=0),"",D294/F294)</f>
        <v>0.542168674698795</v>
      </c>
      <c r="H294" s="52" t="n">
        <f aca="false">IF(OR(F294="",F294=0),"",E294/F294)</f>
        <v>0.457831325301205</v>
      </c>
      <c r="I294" s="21" t="s">
        <v>223</v>
      </c>
      <c r="J294" s="53" t="n">
        <v>3.15466234357281</v>
      </c>
      <c r="K294" s="52" t="n">
        <f aca="false">IF(G294="","",MAX(0,G294-J294/100))</f>
        <v>0.510622051263067</v>
      </c>
      <c r="L294" s="52" t="n">
        <f aca="false">IF(G294="","",MIN(1,G294+J294/100))</f>
        <v>0.573715298134523</v>
      </c>
      <c r="M294" s="37" t="n">
        <f aca="false">IF(F294="","",ROUND(F294*J294/100,0))</f>
        <v>18</v>
      </c>
      <c r="P294" s="54" t="n">
        <v>4.93212985250973</v>
      </c>
      <c r="Q294" s="55" t="n">
        <f aca="false">T294*$H$5</f>
        <v>581.03515541366</v>
      </c>
      <c r="R294" s="56" t="n">
        <f aca="false">MAX(0,MIN(1,P294/100+$D$5))</f>
        <v>0.541538421906628</v>
      </c>
      <c r="S294" s="57" t="s">
        <v>123</v>
      </c>
      <c r="T294" s="55" t="n">
        <v>581.03515541366</v>
      </c>
    </row>
    <row r="295" customFormat="false" ht="15" hidden="false" customHeight="false" outlineLevel="0" collapsed="false">
      <c r="A295" s="21" t="s">
        <v>377</v>
      </c>
      <c r="B295" s="21" t="s">
        <v>450</v>
      </c>
      <c r="C295" s="21" t="s">
        <v>454</v>
      </c>
      <c r="D295" s="37" t="n">
        <f aca="false">ROUND(Q295*R295,0)</f>
        <v>555</v>
      </c>
      <c r="E295" s="37" t="n">
        <f aca="false">ROUND(Q295,0)-D295</f>
        <v>562</v>
      </c>
      <c r="F295" s="37" t="n">
        <f aca="false">IF(COUNTA(D295:E295)=0,"",SUM(D295:E295))</f>
        <v>1117</v>
      </c>
      <c r="G295" s="52" t="n">
        <f aca="false">IF(OR(F295="",F295=0),"",D295/F295)</f>
        <v>0.49686660698299</v>
      </c>
      <c r="H295" s="52" t="n">
        <f aca="false">IF(OR(F295="",F295=0),"",E295/F295)</f>
        <v>0.50313339301701</v>
      </c>
      <c r="I295" s="21" t="s">
        <v>223</v>
      </c>
      <c r="J295" s="53" t="n">
        <v>1.88510957763259</v>
      </c>
      <c r="K295" s="52" t="n">
        <f aca="false">IF(G295="","",MAX(0,G295-J295/100))</f>
        <v>0.478015511206664</v>
      </c>
      <c r="L295" s="52" t="n">
        <f aca="false">IF(G295="","",MIN(1,G295+J295/100))</f>
        <v>0.515717702759316</v>
      </c>
      <c r="M295" s="37" t="n">
        <f aca="false">IF(F295="","",ROUND(F295*J295/100,0))</f>
        <v>21</v>
      </c>
      <c r="P295" s="54" t="n">
        <v>0.4460389275187</v>
      </c>
      <c r="Q295" s="55" t="n">
        <f aca="false">T295*$H$5</f>
        <v>1117.10097160812</v>
      </c>
      <c r="R295" s="56" t="n">
        <f aca="false">MAX(0,MIN(1,P295/100+$D$5))</f>
        <v>0.496677512656718</v>
      </c>
      <c r="S295" s="57" t="s">
        <v>132</v>
      </c>
      <c r="T295" s="55" t="n">
        <v>1117.10097160812</v>
      </c>
    </row>
    <row r="296" customFormat="false" ht="15" hidden="false" customHeight="false" outlineLevel="0" collapsed="false">
      <c r="A296" s="21" t="s">
        <v>377</v>
      </c>
      <c r="B296" s="21" t="s">
        <v>450</v>
      </c>
      <c r="C296" s="21" t="s">
        <v>455</v>
      </c>
      <c r="D296" s="37" t="n">
        <f aca="false">ROUND(Q296*R296,0)</f>
        <v>525</v>
      </c>
      <c r="E296" s="37" t="n">
        <f aca="false">ROUND(Q296,0)-D296</f>
        <v>488</v>
      </c>
      <c r="F296" s="37" t="n">
        <f aca="false">IF(COUNTA(D296:E296)=0,"",SUM(D296:E296))</f>
        <v>1013</v>
      </c>
      <c r="G296" s="52" t="n">
        <f aca="false">IF(OR(F296="",F296=0),"",D296/F296)</f>
        <v>0.518262586377098</v>
      </c>
      <c r="H296" s="52" t="n">
        <f aca="false">IF(OR(F296="",F296=0),"",E296/F296)</f>
        <v>0.481737413622902</v>
      </c>
      <c r="I296" s="21" t="s">
        <v>122</v>
      </c>
      <c r="J296" s="53" t="n">
        <v>1.88510957763259</v>
      </c>
      <c r="K296" s="52" t="n">
        <f aca="false">IF(G296="","",MAX(0,G296-J296/100))</f>
        <v>0.499411490600772</v>
      </c>
      <c r="L296" s="52" t="n">
        <f aca="false">IF(G296="","",MIN(1,G296+J296/100))</f>
        <v>0.537113682153424</v>
      </c>
      <c r="M296" s="37" t="n">
        <f aca="false">IF(F296="","",ROUND(F296*J296/100,0))</f>
        <v>19</v>
      </c>
      <c r="P296" s="54" t="n">
        <v>2.62829908529767</v>
      </c>
      <c r="Q296" s="55" t="n">
        <f aca="false">T296*$H$5</f>
        <v>1012.91514143095</v>
      </c>
      <c r="R296" s="56" t="n">
        <f aca="false">MAX(0,MIN(1,P296/100+$D$5))</f>
        <v>0.518500114234507</v>
      </c>
      <c r="S296" s="57" t="s">
        <v>132</v>
      </c>
      <c r="T296" s="55" t="n">
        <v>1012.91514143095</v>
      </c>
    </row>
    <row r="297" customFormat="false" ht="15" hidden="false" customHeight="false" outlineLevel="0" collapsed="false">
      <c r="A297" s="21" t="s">
        <v>377</v>
      </c>
      <c r="B297" s="21" t="s">
        <v>450</v>
      </c>
      <c r="C297" s="21" t="s">
        <v>456</v>
      </c>
      <c r="D297" s="37" t="n">
        <f aca="false">ROUND(Q297*R297,0)</f>
        <v>593</v>
      </c>
      <c r="E297" s="37" t="n">
        <f aca="false">ROUND(Q297,0)-D297</f>
        <v>626</v>
      </c>
      <c r="F297" s="37" t="n">
        <f aca="false">IF(COUNTA(D297:E297)=0,"",SUM(D297:E297))</f>
        <v>1219</v>
      </c>
      <c r="G297" s="52" t="n">
        <f aca="false">IF(OR(F297="",F297=0),"",D297/F297)</f>
        <v>0.486464315012305</v>
      </c>
      <c r="H297" s="52" t="n">
        <f aca="false">IF(OR(F297="",F297=0),"",E297/F297)</f>
        <v>0.513535684987695</v>
      </c>
      <c r="I297" s="21" t="s">
        <v>223</v>
      </c>
      <c r="J297" s="53" t="n">
        <v>1.24424911322721</v>
      </c>
      <c r="K297" s="52" t="n">
        <f aca="false">IF(G297="","",MAX(0,G297-J297/100))</f>
        <v>0.474021823880033</v>
      </c>
      <c r="L297" s="52" t="n">
        <f aca="false">IF(G297="","",MIN(1,G297+J297/100))</f>
        <v>0.498906806144577</v>
      </c>
      <c r="M297" s="37" t="n">
        <f aca="false">IF(F297="","",ROUND(F297*J297/100,0))</f>
        <v>15</v>
      </c>
      <c r="P297" s="54" t="n">
        <v>-0.588674485273201</v>
      </c>
      <c r="Q297" s="55" t="n">
        <f aca="false">T297*$H$5</f>
        <v>1219.05424968423</v>
      </c>
      <c r="R297" s="56" t="n">
        <f aca="false">MAX(0,MIN(1,P297/100+$D$5))</f>
        <v>0.486330378528799</v>
      </c>
      <c r="S297" s="57" t="s">
        <v>225</v>
      </c>
      <c r="T297" s="55" t="n">
        <v>1219.05424968423</v>
      </c>
    </row>
    <row r="298" customFormat="false" ht="15" hidden="false" customHeight="false" outlineLevel="0" collapsed="false">
      <c r="A298" s="21" t="s">
        <v>377</v>
      </c>
      <c r="B298" s="21" t="s">
        <v>450</v>
      </c>
      <c r="C298" s="21" t="s">
        <v>457</v>
      </c>
      <c r="D298" s="37" t="n">
        <f aca="false">ROUND(Q298*R298,0)</f>
        <v>275</v>
      </c>
      <c r="E298" s="37" t="n">
        <f aca="false">ROUND(Q298,0)-D298</f>
        <v>334</v>
      </c>
      <c r="F298" s="37" t="n">
        <f aca="false">IF(COUNTA(D298:E298)=0,"",SUM(D298:E298))</f>
        <v>609</v>
      </c>
      <c r="G298" s="52" t="n">
        <f aca="false">IF(OR(F298="",F298=0),"",D298/F298)</f>
        <v>0.451559934318555</v>
      </c>
      <c r="H298" s="52" t="n">
        <f aca="false">IF(OR(F298="",F298=0),"",E298/F298)</f>
        <v>0.548440065681445</v>
      </c>
      <c r="I298" s="21" t="s">
        <v>223</v>
      </c>
      <c r="J298" s="53" t="n">
        <v>3.15466234357281</v>
      </c>
      <c r="K298" s="52" t="n">
        <f aca="false">IF(G298="","",MAX(0,G298-J298/100))</f>
        <v>0.420013310882827</v>
      </c>
      <c r="L298" s="52" t="n">
        <f aca="false">IF(G298="","",MIN(1,G298+J298/100))</f>
        <v>0.483106557754283</v>
      </c>
      <c r="M298" s="37" t="n">
        <f aca="false">IF(F298="","",ROUND(F298*J298/100,0))</f>
        <v>19</v>
      </c>
      <c r="P298" s="54" t="n">
        <v>-4.11976492859657</v>
      </c>
      <c r="Q298" s="55" t="n">
        <f aca="false">T298*$H$5</f>
        <v>609.080306436487</v>
      </c>
      <c r="R298" s="56" t="n">
        <f aca="false">MAX(0,MIN(1,P298/100+$D$5))</f>
        <v>0.451019474095565</v>
      </c>
      <c r="S298" s="57" t="s">
        <v>123</v>
      </c>
      <c r="T298" s="55" t="n">
        <v>609.080306436487</v>
      </c>
    </row>
    <row r="299" customFormat="false" ht="15" hidden="false" customHeight="false" outlineLevel="0" collapsed="false">
      <c r="A299" s="21" t="s">
        <v>377</v>
      </c>
      <c r="B299" s="21" t="s">
        <v>458</v>
      </c>
      <c r="C299" s="21" t="s">
        <v>458</v>
      </c>
      <c r="D299" s="37" t="n">
        <f aca="false">ROUND(Q299*R299,0)</f>
        <v>487</v>
      </c>
      <c r="E299" s="37" t="n">
        <f aca="false">ROUND(Q299,0)-D299</f>
        <v>324</v>
      </c>
      <c r="F299" s="37" t="n">
        <f aca="false">IF(COUNTA(D299:E299)=0,"",SUM(D299:E299))</f>
        <v>811</v>
      </c>
      <c r="G299" s="52" t="n">
        <f aca="false">IF(OR(F299="",F299=0),"",D299/F299)</f>
        <v>0.600493218249075</v>
      </c>
      <c r="H299" s="52" t="n">
        <f aca="false">IF(OR(F299="",F299=0),"",E299/F299)</f>
        <v>0.399506781750925</v>
      </c>
      <c r="I299" s="21" t="s">
        <v>122</v>
      </c>
      <c r="J299" s="53" t="n">
        <v>1.88510957763259</v>
      </c>
      <c r="K299" s="52" t="n">
        <f aca="false">IF(G299="","",MAX(0,G299-J299/100))</f>
        <v>0.581642122472749</v>
      </c>
      <c r="L299" s="52" t="n">
        <f aca="false">IF(G299="","",MIN(1,G299+J299/100))</f>
        <v>0.619344314025401</v>
      </c>
      <c r="M299" s="37" t="n">
        <f aca="false">IF(F299="","",ROUND(F299*J299/100,0))</f>
        <v>15</v>
      </c>
      <c r="P299" s="54" t="n">
        <v>10.8094734755911</v>
      </c>
      <c r="Q299" s="55" t="n">
        <f aca="false">T299*$H$5</f>
        <v>811.2722513089</v>
      </c>
      <c r="R299" s="56" t="n">
        <f aca="false">MAX(0,MIN(1,P299/100+$D$5))</f>
        <v>0.600311858137442</v>
      </c>
      <c r="S299" s="57" t="s">
        <v>132</v>
      </c>
      <c r="T299" s="55" t="n">
        <v>811.2722513089</v>
      </c>
    </row>
    <row r="300" customFormat="false" ht="15" hidden="false" customHeight="false" outlineLevel="0" collapsed="false">
      <c r="A300" s="21" t="s">
        <v>377</v>
      </c>
      <c r="B300" s="21" t="s">
        <v>459</v>
      </c>
      <c r="C300" s="21" t="s">
        <v>459</v>
      </c>
      <c r="D300" s="37" t="n">
        <f aca="false">ROUND(Q300*R300,0)</f>
        <v>75</v>
      </c>
      <c r="E300" s="37" t="n">
        <f aca="false">ROUND(Q300,0)-D300</f>
        <v>69</v>
      </c>
      <c r="F300" s="37" t="n">
        <f aca="false">IF(COUNTA(D300:E300)=0,"",SUM(D300:E300))</f>
        <v>144</v>
      </c>
      <c r="G300" s="52" t="n">
        <f aca="false">IF(OR(F300="",F300=0),"",D300/F300)</f>
        <v>0.520833333333333</v>
      </c>
      <c r="H300" s="52" t="n">
        <f aca="false">IF(OR(F300="",F300=0),"",E300/F300)</f>
        <v>0.479166666666667</v>
      </c>
      <c r="I300" s="21" t="s">
        <v>122</v>
      </c>
      <c r="J300" s="53" t="n">
        <v>3.15466234357281</v>
      </c>
      <c r="K300" s="52" t="n">
        <f aca="false">IF(G300="","",MAX(0,G300-J300/100))</f>
        <v>0.489286709897605</v>
      </c>
      <c r="L300" s="52" t="n">
        <f aca="false">IF(G300="","",MIN(1,G300+J300/100))</f>
        <v>0.552379956769062</v>
      </c>
      <c r="M300" s="37" t="n">
        <f aca="false">IF(F300="","",ROUND(F300*J300/100,0))</f>
        <v>5</v>
      </c>
      <c r="P300" s="54" t="n">
        <v>3.06181640538296</v>
      </c>
      <c r="Q300" s="55" t="n">
        <f aca="false">T300*$H$5</f>
        <v>143.630597014925</v>
      </c>
      <c r="R300" s="56" t="n">
        <f aca="false">MAX(0,MIN(1,P300/100+$D$5))</f>
        <v>0.52283528743536</v>
      </c>
      <c r="S300" s="57" t="s">
        <v>123</v>
      </c>
      <c r="T300" s="55" t="n">
        <v>143.630597014925</v>
      </c>
    </row>
    <row r="301" customFormat="false" ht="15" hidden="false" customHeight="false" outlineLevel="0" collapsed="false">
      <c r="A301" s="21" t="s">
        <v>377</v>
      </c>
      <c r="B301" s="21" t="s">
        <v>284</v>
      </c>
      <c r="C301" s="21" t="s">
        <v>460</v>
      </c>
      <c r="D301" s="37" t="n">
        <f aca="false">ROUND(Q301*R301,0)</f>
        <v>771</v>
      </c>
      <c r="E301" s="37" t="n">
        <f aca="false">ROUND(Q301,0)-D301</f>
        <v>525</v>
      </c>
      <c r="F301" s="37" t="n">
        <f aca="false">IF(COUNTA(D301:E301)=0,"",SUM(D301:E301))</f>
        <v>1296</v>
      </c>
      <c r="G301" s="52" t="n">
        <f aca="false">IF(OR(F301="",F301=0),"",D301/F301)</f>
        <v>0.594907407407407</v>
      </c>
      <c r="H301" s="52" t="n">
        <f aca="false">IF(OR(F301="",F301=0),"",E301/F301)</f>
        <v>0.405092592592593</v>
      </c>
      <c r="I301" s="21" t="s">
        <v>122</v>
      </c>
      <c r="J301" s="53" t="n">
        <v>1.24424911322721</v>
      </c>
      <c r="K301" s="52" t="n">
        <f aca="false">IF(G301="","",MAX(0,G301-J301/100))</f>
        <v>0.582464916275135</v>
      </c>
      <c r="L301" s="52" t="n">
        <f aca="false">IF(G301="","",MIN(1,G301+J301/100))</f>
        <v>0.60734989853968</v>
      </c>
      <c r="M301" s="37" t="n">
        <f aca="false">IF(F301="","",ROUND(F301*J301/100,0))</f>
        <v>16</v>
      </c>
      <c r="P301" s="54" t="n">
        <v>10.2312994329639</v>
      </c>
      <c r="Q301" s="55" t="n">
        <f aca="false">T301*$H$5</f>
        <v>1296.13085052843</v>
      </c>
      <c r="R301" s="56" t="n">
        <f aca="false">MAX(0,MIN(1,P301/100+$D$5))</f>
        <v>0.59453011771117</v>
      </c>
      <c r="S301" s="57" t="s">
        <v>225</v>
      </c>
      <c r="T301" s="55" t="n">
        <v>1296.13085052843</v>
      </c>
    </row>
    <row r="302" customFormat="false" ht="15" hidden="false" customHeight="false" outlineLevel="0" collapsed="false">
      <c r="A302" s="21" t="s">
        <v>377</v>
      </c>
      <c r="B302" s="21" t="s">
        <v>284</v>
      </c>
      <c r="C302" s="21" t="s">
        <v>461</v>
      </c>
      <c r="D302" s="37" t="n">
        <f aca="false">ROUND(Q302*R302,0)</f>
        <v>740</v>
      </c>
      <c r="E302" s="37" t="n">
        <f aca="false">ROUND(Q302,0)-D302</f>
        <v>574</v>
      </c>
      <c r="F302" s="37" t="n">
        <f aca="false">IF(COUNTA(D302:E302)=0,"",SUM(D302:E302))</f>
        <v>1314</v>
      </c>
      <c r="G302" s="52" t="n">
        <f aca="false">IF(OR(F302="",F302=0),"",D302/F302)</f>
        <v>0.563165905631659</v>
      </c>
      <c r="H302" s="52" t="n">
        <f aca="false">IF(OR(F302="",F302=0),"",E302/F302)</f>
        <v>0.436834094368341</v>
      </c>
      <c r="I302" s="21" t="s">
        <v>122</v>
      </c>
      <c r="J302" s="53" t="n">
        <v>1.24424911322721</v>
      </c>
      <c r="K302" s="52" t="n">
        <f aca="false">IF(G302="","",MAX(0,G302-J302/100))</f>
        <v>0.550723414499387</v>
      </c>
      <c r="L302" s="52" t="n">
        <f aca="false">IF(G302="","",MIN(1,G302+J302/100))</f>
        <v>0.575608396763931</v>
      </c>
      <c r="M302" s="37" t="n">
        <f aca="false">IF(F302="","",ROUND(F302*J302/100,0))</f>
        <v>16</v>
      </c>
      <c r="P302" s="54" t="n">
        <v>7.12172660862795</v>
      </c>
      <c r="Q302" s="55" t="n">
        <f aca="false">T302*$H$5</f>
        <v>1313.559</v>
      </c>
      <c r="R302" s="56" t="n">
        <f aca="false">MAX(0,MIN(1,P302/100+$D$5))</f>
        <v>0.56343438946781</v>
      </c>
      <c r="S302" s="57" t="s">
        <v>225</v>
      </c>
      <c r="T302" s="55" t="n">
        <v>1313.559</v>
      </c>
    </row>
    <row r="303" customFormat="false" ht="15" hidden="false" customHeight="false" outlineLevel="0" collapsed="false">
      <c r="A303" s="21" t="s">
        <v>377</v>
      </c>
      <c r="B303" s="21" t="s">
        <v>284</v>
      </c>
      <c r="C303" s="21" t="s">
        <v>462</v>
      </c>
      <c r="D303" s="37" t="n">
        <f aca="false">ROUND(Q303*R303,0)</f>
        <v>383</v>
      </c>
      <c r="E303" s="37" t="n">
        <f aca="false">ROUND(Q303,0)-D303</f>
        <v>347</v>
      </c>
      <c r="F303" s="37" t="n">
        <f aca="false">IF(COUNTA(D303:E303)=0,"",SUM(D303:E303))</f>
        <v>730</v>
      </c>
      <c r="G303" s="52" t="n">
        <f aca="false">IF(OR(F303="",F303=0),"",D303/F303)</f>
        <v>0.524657534246575</v>
      </c>
      <c r="H303" s="52" t="n">
        <f aca="false">IF(OR(F303="",F303=0),"",E303/F303)</f>
        <v>0.475342465753425</v>
      </c>
      <c r="I303" s="21" t="s">
        <v>122</v>
      </c>
      <c r="J303" s="53" t="n">
        <v>3.15466234357281</v>
      </c>
      <c r="K303" s="52" t="n">
        <f aca="false">IF(G303="","",MAX(0,G303-J303/100))</f>
        <v>0.493110910810847</v>
      </c>
      <c r="L303" s="52" t="n">
        <f aca="false">IF(G303="","",MIN(1,G303+J303/100))</f>
        <v>0.556204157682304</v>
      </c>
      <c r="M303" s="37" t="n">
        <f aca="false">IF(F303="","",ROUND(F303*J303/100,0))</f>
        <v>23</v>
      </c>
      <c r="P303" s="54" t="n">
        <v>3.20238030850469</v>
      </c>
      <c r="Q303" s="55" t="n">
        <f aca="false">T303*$H$5</f>
        <v>730.386706948641</v>
      </c>
      <c r="R303" s="56" t="n">
        <f aca="false">MAX(0,MIN(1,P303/100+$D$5))</f>
        <v>0.524240926466578</v>
      </c>
      <c r="S303" s="57" t="s">
        <v>123</v>
      </c>
      <c r="T303" s="55" t="n">
        <v>730.386706948641</v>
      </c>
    </row>
    <row r="304" customFormat="false" ht="15" hidden="false" customHeight="false" outlineLevel="0" collapsed="false">
      <c r="A304" s="21" t="s">
        <v>377</v>
      </c>
      <c r="B304" s="21" t="s">
        <v>284</v>
      </c>
      <c r="C304" s="21" t="s">
        <v>463</v>
      </c>
      <c r="D304" s="37" t="n">
        <f aca="false">ROUND(Q304*R304,0)</f>
        <v>608</v>
      </c>
      <c r="E304" s="37" t="n">
        <f aca="false">ROUND(Q304,0)-D304</f>
        <v>547</v>
      </c>
      <c r="F304" s="37" t="n">
        <f aca="false">IF(COUNTA(D304:E304)=0,"",SUM(D304:E304))</f>
        <v>1155</v>
      </c>
      <c r="G304" s="52" t="n">
        <f aca="false">IF(OR(F304="",F304=0),"",D304/F304)</f>
        <v>0.526406926406926</v>
      </c>
      <c r="H304" s="52" t="n">
        <f aca="false">IF(OR(F304="",F304=0),"",E304/F304)</f>
        <v>0.473593073593074</v>
      </c>
      <c r="I304" s="21" t="s">
        <v>122</v>
      </c>
      <c r="J304" s="53" t="n">
        <v>1.88510957763259</v>
      </c>
      <c r="K304" s="52" t="n">
        <f aca="false">IF(G304="","",MAX(0,G304-J304/100))</f>
        <v>0.507555830630601</v>
      </c>
      <c r="L304" s="52" t="n">
        <f aca="false">IF(G304="","",MIN(1,G304+J304/100))</f>
        <v>0.545258022183252</v>
      </c>
      <c r="M304" s="37" t="n">
        <f aca="false">IF(F304="","",ROUND(F304*J304/100,0))</f>
        <v>22</v>
      </c>
      <c r="P304" s="54" t="n">
        <v>3.40651405223124</v>
      </c>
      <c r="Q304" s="55" t="n">
        <f aca="false">T304*$H$5</f>
        <v>1154.58674351585</v>
      </c>
      <c r="R304" s="56" t="n">
        <f aca="false">MAX(0,MIN(1,P304/100+$D$5))</f>
        <v>0.526282263903843</v>
      </c>
      <c r="S304" s="57" t="s">
        <v>132</v>
      </c>
      <c r="T304" s="55" t="n">
        <v>1154.58674351585</v>
      </c>
    </row>
    <row r="305" customFormat="false" ht="15" hidden="false" customHeight="false" outlineLevel="0" collapsed="false">
      <c r="A305" s="21" t="s">
        <v>377</v>
      </c>
      <c r="B305" s="21" t="s">
        <v>284</v>
      </c>
      <c r="C305" s="21" t="s">
        <v>464</v>
      </c>
      <c r="D305" s="37" t="n">
        <f aca="false">ROUND(Q305*R305,0)</f>
        <v>675</v>
      </c>
      <c r="E305" s="37" t="n">
        <f aca="false">ROUND(Q305,0)-D305</f>
        <v>526</v>
      </c>
      <c r="F305" s="37" t="n">
        <f aca="false">IF(COUNTA(D305:E305)=0,"",SUM(D305:E305))</f>
        <v>1201</v>
      </c>
      <c r="G305" s="52" t="n">
        <f aca="false">IF(OR(F305="",F305=0),"",D305/F305)</f>
        <v>0.56203164029975</v>
      </c>
      <c r="H305" s="52" t="n">
        <f aca="false">IF(OR(F305="",F305=0),"",E305/F305)</f>
        <v>0.43796835970025</v>
      </c>
      <c r="I305" s="21" t="s">
        <v>122</v>
      </c>
      <c r="J305" s="53" t="n">
        <v>1.24424911322721</v>
      </c>
      <c r="K305" s="52" t="n">
        <f aca="false">IF(G305="","",MAX(0,G305-J305/100))</f>
        <v>0.549589149167478</v>
      </c>
      <c r="L305" s="52" t="n">
        <f aca="false">IF(G305="","",MIN(1,G305+J305/100))</f>
        <v>0.574474131432022</v>
      </c>
      <c r="M305" s="37" t="n">
        <f aca="false">IF(F305="","",ROUND(F305*J305/100,0))</f>
        <v>15</v>
      </c>
      <c r="P305" s="54" t="n">
        <v>6.99804270903963</v>
      </c>
      <c r="Q305" s="55" t="n">
        <f aca="false">T305*$H$5</f>
        <v>1201.08993448481</v>
      </c>
      <c r="R305" s="56" t="n">
        <f aca="false">MAX(0,MIN(1,P305/100+$D$5))</f>
        <v>0.562197550471927</v>
      </c>
      <c r="S305" s="57" t="s">
        <v>225</v>
      </c>
      <c r="T305" s="55" t="n">
        <v>1201.08993448481</v>
      </c>
    </row>
    <row r="306" customFormat="false" ht="15" hidden="false" customHeight="false" outlineLevel="0" collapsed="false">
      <c r="A306" s="21" t="s">
        <v>377</v>
      </c>
      <c r="B306" s="21" t="s">
        <v>284</v>
      </c>
      <c r="C306" s="21" t="s">
        <v>465</v>
      </c>
      <c r="D306" s="37" t="n">
        <f aca="false">ROUND(Q306*R306,0)</f>
        <v>389</v>
      </c>
      <c r="E306" s="37" t="n">
        <f aca="false">ROUND(Q306,0)-D306</f>
        <v>341</v>
      </c>
      <c r="F306" s="37" t="n">
        <f aca="false">IF(COUNTA(D306:E306)=0,"",SUM(D306:E306))</f>
        <v>730</v>
      </c>
      <c r="G306" s="52" t="n">
        <f aca="false">IF(OR(F306="",F306=0),"",D306/F306)</f>
        <v>0.532876712328767</v>
      </c>
      <c r="H306" s="52" t="n">
        <f aca="false">IF(OR(F306="",F306=0),"",E306/F306)</f>
        <v>0.467123287671233</v>
      </c>
      <c r="I306" s="21" t="s">
        <v>122</v>
      </c>
      <c r="J306" s="53" t="n">
        <v>3.15466234357281</v>
      </c>
      <c r="K306" s="52" t="n">
        <f aca="false">IF(G306="","",MAX(0,G306-J306/100))</f>
        <v>0.501330088893039</v>
      </c>
      <c r="L306" s="52" t="n">
        <f aca="false">IF(G306="","",MIN(1,G306+J306/100))</f>
        <v>0.564423335764495</v>
      </c>
      <c r="M306" s="37" t="n">
        <f aca="false">IF(F306="","",ROUND(F306*J306/100,0))</f>
        <v>23</v>
      </c>
      <c r="P306" s="54" t="n">
        <v>4.00584566196362</v>
      </c>
      <c r="Q306" s="55" t="n">
        <f aca="false">T306*$H$5</f>
        <v>730.182352941177</v>
      </c>
      <c r="R306" s="56" t="n">
        <f aca="false">MAX(0,MIN(1,P306/100+$D$5))</f>
        <v>0.532275580001167</v>
      </c>
      <c r="S306" s="57" t="s">
        <v>123</v>
      </c>
      <c r="T306" s="55" t="n">
        <v>730.182352941177</v>
      </c>
    </row>
    <row r="307" customFormat="false" ht="15" hidden="false" customHeight="false" outlineLevel="0" collapsed="false">
      <c r="A307" s="21" t="s">
        <v>377</v>
      </c>
      <c r="B307" s="21" t="s">
        <v>466</v>
      </c>
      <c r="C307" s="21" t="s">
        <v>467</v>
      </c>
      <c r="D307" s="37" t="n">
        <f aca="false">ROUND(Q307*R307,0)</f>
        <v>460</v>
      </c>
      <c r="E307" s="37" t="n">
        <f aca="false">ROUND(Q307,0)-D307</f>
        <v>450</v>
      </c>
      <c r="F307" s="37" t="n">
        <f aca="false">IF(COUNTA(D307:E307)=0,"",SUM(D307:E307))</f>
        <v>910</v>
      </c>
      <c r="G307" s="52" t="n">
        <f aca="false">IF(OR(F307="",F307=0),"",D307/F307)</f>
        <v>0.505494505494506</v>
      </c>
      <c r="H307" s="52" t="n">
        <f aca="false">IF(OR(F307="",F307=0),"",E307/F307)</f>
        <v>0.494505494505495</v>
      </c>
      <c r="I307" s="21" t="s">
        <v>122</v>
      </c>
      <c r="J307" s="53" t="n">
        <v>1.88510957763259</v>
      </c>
      <c r="K307" s="52" t="n">
        <f aca="false">IF(G307="","",MAX(0,G307-J307/100))</f>
        <v>0.48664340971818</v>
      </c>
      <c r="L307" s="52" t="n">
        <f aca="false">IF(G307="","",MIN(1,G307+J307/100))</f>
        <v>0.524345601270831</v>
      </c>
      <c r="M307" s="37" t="n">
        <f aca="false">IF(F307="","",ROUND(F307*J307/100,0))</f>
        <v>17</v>
      </c>
      <c r="P307" s="54" t="n">
        <v>1.34978342060691</v>
      </c>
      <c r="Q307" s="55" t="n">
        <f aca="false">T307*$H$5</f>
        <v>910.483425414365</v>
      </c>
      <c r="R307" s="56" t="n">
        <f aca="false">MAX(0,MIN(1,P307/100+$D$5))</f>
        <v>0.5057149575876</v>
      </c>
      <c r="S307" s="57" t="s">
        <v>132</v>
      </c>
      <c r="T307" s="55" t="n">
        <v>910.483425414365</v>
      </c>
    </row>
    <row r="308" customFormat="false" ht="15" hidden="false" customHeight="false" outlineLevel="0" collapsed="false">
      <c r="A308" s="21" t="s">
        <v>377</v>
      </c>
      <c r="B308" s="21" t="s">
        <v>466</v>
      </c>
      <c r="C308" s="21" t="s">
        <v>468</v>
      </c>
      <c r="D308" s="37" t="n">
        <f aca="false">ROUND(Q308*R308,0)</f>
        <v>363</v>
      </c>
      <c r="E308" s="37" t="n">
        <f aca="false">ROUND(Q308,0)-D308</f>
        <v>338</v>
      </c>
      <c r="F308" s="37" t="n">
        <f aca="false">IF(COUNTA(D308:E308)=0,"",SUM(D308:E308))</f>
        <v>701</v>
      </c>
      <c r="G308" s="52" t="n">
        <f aca="false">IF(OR(F308="",F308=0),"",D308/F308)</f>
        <v>0.517831669044223</v>
      </c>
      <c r="H308" s="52" t="n">
        <f aca="false">IF(OR(F308="",F308=0),"",E308/F308)</f>
        <v>0.482168330955777</v>
      </c>
      <c r="I308" s="21" t="s">
        <v>122</v>
      </c>
      <c r="J308" s="53" t="n">
        <v>3.15466234357281</v>
      </c>
      <c r="K308" s="52" t="n">
        <f aca="false">IF(G308="","",MAX(0,G308-J308/100))</f>
        <v>0.486285045608494</v>
      </c>
      <c r="L308" s="52" t="n">
        <f aca="false">IF(G308="","",MIN(1,G308+J308/100))</f>
        <v>0.549378292479951</v>
      </c>
      <c r="M308" s="37" t="n">
        <f aca="false">IF(F308="","",ROUND(F308*J308/100,0))</f>
        <v>22</v>
      </c>
      <c r="P308" s="54" t="n">
        <v>2.65482536956958</v>
      </c>
      <c r="Q308" s="55" t="n">
        <f aca="false">T308*$H$5</f>
        <v>700.622033898305</v>
      </c>
      <c r="R308" s="56" t="n">
        <f aca="false">MAX(0,MIN(1,P308/100+$D$5))</f>
        <v>0.518765377077227</v>
      </c>
      <c r="S308" s="57" t="s">
        <v>123</v>
      </c>
      <c r="T308" s="55" t="n">
        <v>700.622033898305</v>
      </c>
    </row>
    <row r="309" customFormat="false" ht="15" hidden="false" customHeight="false" outlineLevel="0" collapsed="false">
      <c r="A309" s="21" t="s">
        <v>377</v>
      </c>
      <c r="B309" s="21" t="s">
        <v>466</v>
      </c>
      <c r="C309" s="21" t="s">
        <v>469</v>
      </c>
      <c r="D309" s="37" t="n">
        <f aca="false">ROUND(Q309*R309,0)</f>
        <v>543</v>
      </c>
      <c r="E309" s="37" t="n">
        <f aca="false">ROUND(Q309,0)-D309</f>
        <v>474</v>
      </c>
      <c r="F309" s="37" t="n">
        <f aca="false">IF(COUNTA(D309:E309)=0,"",SUM(D309:E309))</f>
        <v>1017</v>
      </c>
      <c r="G309" s="52" t="n">
        <f aca="false">IF(OR(F309="",F309=0),"",D309/F309)</f>
        <v>0.533923303834808</v>
      </c>
      <c r="H309" s="52" t="n">
        <f aca="false">IF(OR(F309="",F309=0),"",E309/F309)</f>
        <v>0.466076696165192</v>
      </c>
      <c r="I309" s="21" t="s">
        <v>122</v>
      </c>
      <c r="J309" s="53" t="n">
        <v>1.88510957763259</v>
      </c>
      <c r="K309" s="52" t="n">
        <f aca="false">IF(G309="","",MAX(0,G309-J309/100))</f>
        <v>0.515072208058482</v>
      </c>
      <c r="L309" s="52" t="n">
        <f aca="false">IF(G309="","",MIN(1,G309+J309/100))</f>
        <v>0.552774399611134</v>
      </c>
      <c r="M309" s="37" t="n">
        <f aca="false">IF(F309="","",ROUND(F309*J309/100,0))</f>
        <v>19</v>
      </c>
      <c r="P309" s="54" t="n">
        <v>4.21329636112822</v>
      </c>
      <c r="Q309" s="55" t="n">
        <f aca="false">T309*$H$5</f>
        <v>1016.60692951016</v>
      </c>
      <c r="R309" s="56" t="n">
        <f aca="false">MAX(0,MIN(1,P309/100+$D$5))</f>
        <v>0.534350086992813</v>
      </c>
      <c r="S309" s="57" t="s">
        <v>132</v>
      </c>
      <c r="T309" s="55" t="n">
        <v>1016.60692951016</v>
      </c>
    </row>
    <row r="310" customFormat="false" ht="15" hidden="false" customHeight="false" outlineLevel="0" collapsed="false">
      <c r="A310" s="21" t="s">
        <v>377</v>
      </c>
      <c r="B310" s="21" t="s">
        <v>470</v>
      </c>
      <c r="C310" s="21" t="s">
        <v>471</v>
      </c>
      <c r="D310" s="37" t="n">
        <f aca="false">ROUND(Q310*R310,0)</f>
        <v>460</v>
      </c>
      <c r="E310" s="37" t="n">
        <f aca="false">ROUND(Q310,0)-D310</f>
        <v>879</v>
      </c>
      <c r="F310" s="37" t="n">
        <f aca="false">IF(COUNTA(D310:E310)=0,"",SUM(D310:E310))</f>
        <v>1339</v>
      </c>
      <c r="G310" s="52" t="n">
        <f aca="false">IF(OR(F310="",F310=0),"",D310/F310)</f>
        <v>0.343539955190441</v>
      </c>
      <c r="H310" s="52" t="n">
        <f aca="false">IF(OR(F310="",F310=0),"",E310/F310)</f>
        <v>0.656460044809559</v>
      </c>
      <c r="I310" s="21" t="s">
        <v>122</v>
      </c>
      <c r="J310" s="53" t="n">
        <v>1.24424911322721</v>
      </c>
      <c r="K310" s="52" t="n">
        <f aca="false">IF(G310="","",MAX(0,G310-J310/100))</f>
        <v>0.331097464058169</v>
      </c>
      <c r="L310" s="52" t="n">
        <f aca="false">IF(G310="","",MIN(1,G310+J310/100))</f>
        <v>0.355982446322713</v>
      </c>
      <c r="M310" s="37" t="n">
        <f aca="false">IF(F310="","",ROUND(F310*J310/100,0))</f>
        <v>17</v>
      </c>
      <c r="P310" s="54" t="n">
        <v>-14.8812472166656</v>
      </c>
      <c r="Q310" s="55" t="n">
        <f aca="false">T310*$H$5</f>
        <v>1338.7974025974</v>
      </c>
      <c r="R310" s="56" t="n">
        <f aca="false">MAX(0,MIN(1,P310/100+$D$5))</f>
        <v>0.343404651214875</v>
      </c>
      <c r="S310" s="57" t="s">
        <v>225</v>
      </c>
      <c r="T310" s="55" t="n">
        <v>1338.7974025974</v>
      </c>
    </row>
    <row r="311" customFormat="false" ht="15" hidden="false" customHeight="false" outlineLevel="0" collapsed="false">
      <c r="A311" s="21" t="s">
        <v>377</v>
      </c>
      <c r="B311" s="21" t="s">
        <v>470</v>
      </c>
      <c r="C311" s="21" t="s">
        <v>472</v>
      </c>
      <c r="D311" s="37" t="n">
        <f aca="false">ROUND(Q311*R311,0)</f>
        <v>520</v>
      </c>
      <c r="E311" s="37" t="n">
        <f aca="false">ROUND(Q311,0)-D311</f>
        <v>975</v>
      </c>
      <c r="F311" s="37" t="n">
        <f aca="false">IF(COUNTA(D311:E311)=0,"",SUM(D311:E311))</f>
        <v>1495</v>
      </c>
      <c r="G311" s="52" t="n">
        <f aca="false">IF(OR(F311="",F311=0),"",D311/F311)</f>
        <v>0.347826086956522</v>
      </c>
      <c r="H311" s="52" t="n">
        <f aca="false">IF(OR(F311="",F311=0),"",E311/F311)</f>
        <v>0.652173913043478</v>
      </c>
      <c r="I311" s="21" t="s">
        <v>122</v>
      </c>
      <c r="J311" s="53" t="n">
        <v>1.24424911322721</v>
      </c>
      <c r="K311" s="52" t="n">
        <f aca="false">IF(G311="","",MAX(0,G311-J311/100))</f>
        <v>0.33538359582425</v>
      </c>
      <c r="L311" s="52" t="n">
        <f aca="false">IF(G311="","",MIN(1,G311+J311/100))</f>
        <v>0.360268578088794</v>
      </c>
      <c r="M311" s="37" t="n">
        <f aca="false">IF(F311="","",ROUND(F311*J311/100,0))</f>
        <v>19</v>
      </c>
      <c r="P311" s="54" t="n">
        <v>-14.4528576731112</v>
      </c>
      <c r="Q311" s="55" t="n">
        <f aca="false">T311*$H$5</f>
        <v>1495.44556729444</v>
      </c>
      <c r="R311" s="56" t="n">
        <f aca="false">MAX(0,MIN(1,P311/100+$D$5))</f>
        <v>0.347688546650419</v>
      </c>
      <c r="S311" s="57" t="s">
        <v>225</v>
      </c>
      <c r="T311" s="55" t="n">
        <v>1495.44556729444</v>
      </c>
    </row>
    <row r="312" customFormat="false" ht="15" hidden="false" customHeight="false" outlineLevel="0" collapsed="false">
      <c r="A312" s="21" t="s">
        <v>377</v>
      </c>
      <c r="B312" s="21" t="s">
        <v>470</v>
      </c>
      <c r="C312" s="21" t="s">
        <v>473</v>
      </c>
      <c r="D312" s="37" t="n">
        <f aca="false">ROUND(Q312*R312,0)</f>
        <v>158</v>
      </c>
      <c r="E312" s="37" t="n">
        <f aca="false">ROUND(Q312,0)-D312</f>
        <v>352</v>
      </c>
      <c r="F312" s="37" t="n">
        <f aca="false">IF(COUNTA(D312:E312)=0,"",SUM(D312:E312))</f>
        <v>510</v>
      </c>
      <c r="G312" s="52" t="n">
        <f aca="false">IF(OR(F312="",F312=0),"",D312/F312)</f>
        <v>0.309803921568627</v>
      </c>
      <c r="H312" s="52" t="n">
        <f aca="false">IF(OR(F312="",F312=0),"",E312/F312)</f>
        <v>0.690196078431373</v>
      </c>
      <c r="I312" s="21" t="s">
        <v>122</v>
      </c>
      <c r="J312" s="53" t="n">
        <v>3.15466234357281</v>
      </c>
      <c r="K312" s="52" t="n">
        <f aca="false">IF(G312="","",MAX(0,G312-J312/100))</f>
        <v>0.278257298132899</v>
      </c>
      <c r="L312" s="52" t="n">
        <f aca="false">IF(G312="","",MIN(1,G312+J312/100))</f>
        <v>0.341350545004356</v>
      </c>
      <c r="M312" s="37" t="n">
        <f aca="false">IF(F312="","",ROUND(F312*J312/100,0))</f>
        <v>16</v>
      </c>
      <c r="P312" s="54" t="n">
        <v>-18.2031190798529</v>
      </c>
      <c r="Q312" s="55" t="n">
        <f aca="false">T312*$H$5</f>
        <v>509.948921679909</v>
      </c>
      <c r="R312" s="56" t="n">
        <f aca="false">MAX(0,MIN(1,P312/100+$D$5))</f>
        <v>0.310185932583002</v>
      </c>
      <c r="S312" s="57" t="s">
        <v>123</v>
      </c>
      <c r="T312" s="55" t="n">
        <v>509.948921679909</v>
      </c>
    </row>
    <row r="313" customFormat="false" ht="15" hidden="false" customHeight="false" outlineLevel="0" collapsed="false">
      <c r="A313" s="21" t="s">
        <v>377</v>
      </c>
      <c r="B313" s="21" t="s">
        <v>470</v>
      </c>
      <c r="C313" s="21" t="s">
        <v>474</v>
      </c>
      <c r="D313" s="37" t="n">
        <f aca="false">ROUND(Q313*R313,0)</f>
        <v>408</v>
      </c>
      <c r="E313" s="37" t="n">
        <f aca="false">ROUND(Q313,0)-D313</f>
        <v>753</v>
      </c>
      <c r="F313" s="37" t="n">
        <f aca="false">IF(COUNTA(D313:E313)=0,"",SUM(D313:E313))</f>
        <v>1161</v>
      </c>
      <c r="G313" s="52" t="n">
        <f aca="false">IF(OR(F313="",F313=0),"",D313/F313)</f>
        <v>0.351421188630491</v>
      </c>
      <c r="H313" s="52" t="n">
        <f aca="false">IF(OR(F313="",F313=0),"",E313/F313)</f>
        <v>0.648578811369509</v>
      </c>
      <c r="I313" s="21" t="s">
        <v>122</v>
      </c>
      <c r="J313" s="53" t="n">
        <v>1.88510957763259</v>
      </c>
      <c r="K313" s="52" t="n">
        <f aca="false">IF(G313="","",MAX(0,G313-J313/100))</f>
        <v>0.332570092854165</v>
      </c>
      <c r="L313" s="52" t="n">
        <f aca="false">IF(G313="","",MIN(1,G313+J313/100))</f>
        <v>0.370272284406817</v>
      </c>
      <c r="M313" s="37" t="n">
        <f aca="false">IF(F313="","",ROUND(F313*J313/100,0))</f>
        <v>22</v>
      </c>
      <c r="P313" s="54" t="n">
        <v>-14.0460988213408</v>
      </c>
      <c r="Q313" s="55" t="n">
        <f aca="false">T313*$H$5</f>
        <v>1161.2700729927</v>
      </c>
      <c r="R313" s="56" t="n">
        <f aca="false">MAX(0,MIN(1,P313/100+$D$5))</f>
        <v>0.351756135168123</v>
      </c>
      <c r="S313" s="57" t="s">
        <v>132</v>
      </c>
      <c r="T313" s="55" t="n">
        <v>1161.2700729927</v>
      </c>
    </row>
    <row r="314" customFormat="false" ht="15" hidden="false" customHeight="false" outlineLevel="0" collapsed="false">
      <c r="A314" s="21" t="s">
        <v>377</v>
      </c>
      <c r="B314" s="21" t="s">
        <v>470</v>
      </c>
      <c r="C314" s="21" t="s">
        <v>475</v>
      </c>
      <c r="D314" s="37" t="n">
        <f aca="false">ROUND(Q314*R314,0)</f>
        <v>299</v>
      </c>
      <c r="E314" s="37" t="n">
        <f aca="false">ROUND(Q314,0)-D314</f>
        <v>534</v>
      </c>
      <c r="F314" s="37" t="n">
        <f aca="false">IF(COUNTA(D314:E314)=0,"",SUM(D314:E314))</f>
        <v>833</v>
      </c>
      <c r="G314" s="52" t="n">
        <f aca="false">IF(OR(F314="",F314=0),"",D314/F314)</f>
        <v>0.358943577430972</v>
      </c>
      <c r="H314" s="52" t="n">
        <f aca="false">IF(OR(F314="",F314=0),"",E314/F314)</f>
        <v>0.641056422569028</v>
      </c>
      <c r="I314" s="21" t="s">
        <v>122</v>
      </c>
      <c r="J314" s="53" t="n">
        <v>1.88510957763259</v>
      </c>
      <c r="K314" s="52" t="n">
        <f aca="false">IF(G314="","",MAX(0,G314-J314/100))</f>
        <v>0.340092481654647</v>
      </c>
      <c r="L314" s="52" t="n">
        <f aca="false">IF(G314="","",MIN(1,G314+J314/100))</f>
        <v>0.377794673207298</v>
      </c>
      <c r="M314" s="37" t="n">
        <f aca="false">IF(F314="","",ROUND(F314*J314/100,0))</f>
        <v>16</v>
      </c>
      <c r="P314" s="54" t="n">
        <v>-13.3664871831162</v>
      </c>
      <c r="Q314" s="55" t="n">
        <f aca="false">T314*$H$5</f>
        <v>833.484320557492</v>
      </c>
      <c r="R314" s="56" t="n">
        <f aca="false">MAX(0,MIN(1,P314/100+$D$5))</f>
        <v>0.358552251550368</v>
      </c>
      <c r="S314" s="57" t="s">
        <v>132</v>
      </c>
      <c r="T314" s="55" t="n">
        <v>833.484320557492</v>
      </c>
    </row>
    <row r="315" customFormat="false" ht="15" hidden="false" customHeight="false" outlineLevel="0" collapsed="false">
      <c r="A315" s="21" t="s">
        <v>377</v>
      </c>
      <c r="B315" s="21" t="s">
        <v>476</v>
      </c>
      <c r="C315" s="21" t="s">
        <v>477</v>
      </c>
      <c r="D315" s="37" t="n">
        <f aca="false">ROUND(Q315*R315,0)</f>
        <v>171</v>
      </c>
      <c r="E315" s="37" t="n">
        <f aca="false">ROUND(Q315,0)-D315</f>
        <v>304</v>
      </c>
      <c r="F315" s="37" t="n">
        <f aca="false">IF(COUNTA(D315:E315)=0,"",SUM(D315:E315))</f>
        <v>475</v>
      </c>
      <c r="G315" s="52" t="n">
        <f aca="false">IF(OR(F315="",F315=0),"",D315/F315)</f>
        <v>0.36</v>
      </c>
      <c r="H315" s="52" t="n">
        <f aca="false">IF(OR(F315="",F315=0),"",E315/F315)</f>
        <v>0.64</v>
      </c>
      <c r="I315" s="21" t="s">
        <v>122</v>
      </c>
      <c r="J315" s="53" t="n">
        <v>3.15466234357281</v>
      </c>
      <c r="K315" s="52" t="n">
        <f aca="false">IF(G315="","",MAX(0,G315-J315/100))</f>
        <v>0.328453376564272</v>
      </c>
      <c r="L315" s="52" t="n">
        <f aca="false">IF(G315="","",MIN(1,G315+J315/100))</f>
        <v>0.391546623435728</v>
      </c>
      <c r="M315" s="37" t="n">
        <f aca="false">IF(F315="","",ROUND(F315*J315/100,0))</f>
        <v>15</v>
      </c>
      <c r="P315" s="54" t="n">
        <v>-13.1688261329752</v>
      </c>
      <c r="Q315" s="55" t="n">
        <f aca="false">T315*$H$5</f>
        <v>474.666666666667</v>
      </c>
      <c r="R315" s="56" t="n">
        <f aca="false">MAX(0,MIN(1,P315/100+$D$5))</f>
        <v>0.360528862051779</v>
      </c>
      <c r="S315" s="57" t="s">
        <v>123</v>
      </c>
      <c r="T315" s="55" t="n">
        <v>474.666666666667</v>
      </c>
    </row>
    <row r="316" customFormat="false" ht="15" hidden="false" customHeight="false" outlineLevel="0" collapsed="false">
      <c r="A316" s="21" t="s">
        <v>377</v>
      </c>
      <c r="B316" s="21" t="s">
        <v>476</v>
      </c>
      <c r="C316" s="21" t="s">
        <v>478</v>
      </c>
      <c r="D316" s="37" t="n">
        <f aca="false">ROUND(Q316*R316,0)</f>
        <v>295</v>
      </c>
      <c r="E316" s="37" t="n">
        <f aca="false">ROUND(Q316,0)-D316</f>
        <v>589</v>
      </c>
      <c r="F316" s="37" t="n">
        <f aca="false">IF(COUNTA(D316:E316)=0,"",SUM(D316:E316))</f>
        <v>884</v>
      </c>
      <c r="G316" s="52" t="n">
        <f aca="false">IF(OR(F316="",F316=0),"",D316/F316)</f>
        <v>0.333710407239819</v>
      </c>
      <c r="H316" s="52" t="n">
        <f aca="false">IF(OR(F316="",F316=0),"",E316/F316)</f>
        <v>0.666289592760181</v>
      </c>
      <c r="I316" s="21" t="s">
        <v>122</v>
      </c>
      <c r="J316" s="53" t="n">
        <v>1.88510957763259</v>
      </c>
      <c r="K316" s="52" t="n">
        <f aca="false">IF(G316="","",MAX(0,G316-J316/100))</f>
        <v>0.314859311463493</v>
      </c>
      <c r="L316" s="52" t="n">
        <f aca="false">IF(G316="","",MIN(1,G316+J316/100))</f>
        <v>0.352561503016145</v>
      </c>
      <c r="M316" s="37" t="n">
        <f aca="false">IF(F316="","",ROUND(F316*J316/100,0))</f>
        <v>17</v>
      </c>
      <c r="P316" s="54" t="n">
        <v>-15.8691172424179</v>
      </c>
      <c r="Q316" s="55" t="n">
        <f aca="false">T316*$H$5</f>
        <v>884.185372918175</v>
      </c>
      <c r="R316" s="56" t="n">
        <f aca="false">MAX(0,MIN(1,P316/100+$D$5))</f>
        <v>0.333525950957352</v>
      </c>
      <c r="S316" s="57" t="s">
        <v>132</v>
      </c>
      <c r="T316" s="55" t="n">
        <v>884.185372918175</v>
      </c>
    </row>
    <row r="317" customFormat="false" ht="15" hidden="false" customHeight="false" outlineLevel="0" collapsed="false">
      <c r="A317" s="21" t="s">
        <v>377</v>
      </c>
      <c r="B317" s="21" t="s">
        <v>479</v>
      </c>
      <c r="C317" s="21" t="s">
        <v>480</v>
      </c>
      <c r="D317" s="37" t="n">
        <f aca="false">ROUND(Q317*R317,0)</f>
        <v>37</v>
      </c>
      <c r="E317" s="37" t="n">
        <f aca="false">ROUND(Q317,0)-D317</f>
        <v>51</v>
      </c>
      <c r="F317" s="37" t="n">
        <f aca="false">IF(COUNTA(D317:E317)=0,"",SUM(D317:E317))</f>
        <v>88</v>
      </c>
      <c r="G317" s="52" t="n">
        <f aca="false">IF(OR(F317="",F317=0),"",D317/F317)</f>
        <v>0.420454545454545</v>
      </c>
      <c r="H317" s="52" t="n">
        <f aca="false">IF(OR(F317="",F317=0),"",E317/F317)</f>
        <v>0.579545454545455</v>
      </c>
      <c r="I317" s="21" t="s">
        <v>223</v>
      </c>
      <c r="J317" s="53" t="n">
        <v>3.15466234357281</v>
      </c>
      <c r="K317" s="52" t="n">
        <f aca="false">IF(G317="","",MAX(0,G317-J317/100))</f>
        <v>0.388907922018817</v>
      </c>
      <c r="L317" s="52" t="n">
        <f aca="false">IF(G317="","",MIN(1,G317+J317/100))</f>
        <v>0.452001168890274</v>
      </c>
      <c r="M317" s="37" t="n">
        <f aca="false">IF(F317="","",ROUND(F317*J317/100,0))</f>
        <v>3</v>
      </c>
      <c r="P317" s="54" t="n">
        <v>-6.68857372402579</v>
      </c>
      <c r="Q317" s="55" t="n">
        <f aca="false">T317*$H$5</f>
        <v>87.7428325123506</v>
      </c>
      <c r="R317" s="56" t="n">
        <f aca="false">MAX(0,MIN(1,P317/100+$D$5))</f>
        <v>0.425331386141273</v>
      </c>
      <c r="S317" s="57" t="s">
        <v>123</v>
      </c>
      <c r="T317" s="55" t="n">
        <v>87.7428325123506</v>
      </c>
    </row>
    <row r="318" customFormat="false" ht="15" hidden="false" customHeight="false" outlineLevel="0" collapsed="false">
      <c r="A318" s="21" t="s">
        <v>377</v>
      </c>
      <c r="B318" s="21" t="s">
        <v>479</v>
      </c>
      <c r="C318" s="21" t="s">
        <v>481</v>
      </c>
      <c r="D318" s="37" t="n">
        <f aca="false">ROUND(Q318*R318,0)</f>
        <v>545</v>
      </c>
      <c r="E318" s="37" t="n">
        <f aca="false">ROUND(Q318,0)-D318</f>
        <v>602</v>
      </c>
      <c r="F318" s="37" t="n">
        <f aca="false">IF(COUNTA(D318:E318)=0,"",SUM(D318:E318))</f>
        <v>1147</v>
      </c>
      <c r="G318" s="52" t="n">
        <f aca="false">IF(OR(F318="",F318=0),"",D318/F318)</f>
        <v>0.475152571926765</v>
      </c>
      <c r="H318" s="52" t="n">
        <f aca="false">IF(OR(F318="",F318=0),"",E318/F318)</f>
        <v>0.524847428073235</v>
      </c>
      <c r="I318" s="21" t="s">
        <v>223</v>
      </c>
      <c r="J318" s="53" t="n">
        <v>1.88510957763259</v>
      </c>
      <c r="K318" s="52" t="n">
        <f aca="false">IF(G318="","",MAX(0,G318-J318/100))</f>
        <v>0.45630147615044</v>
      </c>
      <c r="L318" s="52" t="n">
        <f aca="false">IF(G318="","",MIN(1,G318+J318/100))</f>
        <v>0.494003667703091</v>
      </c>
      <c r="M318" s="37" t="n">
        <f aca="false">IF(F318="","",ROUND(F318*J318/100,0))</f>
        <v>22</v>
      </c>
      <c r="P318" s="54" t="n">
        <v>-1.68669315811653</v>
      </c>
      <c r="Q318" s="55" t="n">
        <f aca="false">T318*$H$5</f>
        <v>1146.70056333032</v>
      </c>
      <c r="R318" s="56" t="n">
        <f aca="false">MAX(0,MIN(1,P318/100+$D$5))</f>
        <v>0.475350191800365</v>
      </c>
      <c r="S318" s="57" t="s">
        <v>132</v>
      </c>
      <c r="T318" s="55" t="n">
        <v>1146.70056333032</v>
      </c>
    </row>
    <row r="319" customFormat="false" ht="15" hidden="false" customHeight="false" outlineLevel="0" collapsed="false">
      <c r="A319" s="21" t="s">
        <v>377</v>
      </c>
      <c r="B319" s="21" t="s">
        <v>479</v>
      </c>
      <c r="C319" s="21" t="s">
        <v>482</v>
      </c>
      <c r="D319" s="37" t="n">
        <f aca="false">ROUND(Q319*R319,0)</f>
        <v>432</v>
      </c>
      <c r="E319" s="37" t="n">
        <f aca="false">ROUND(Q319,0)-D319</f>
        <v>542</v>
      </c>
      <c r="F319" s="37" t="n">
        <f aca="false">IF(COUNTA(D319:E319)=0,"",SUM(D319:E319))</f>
        <v>974</v>
      </c>
      <c r="G319" s="52" t="n">
        <f aca="false">IF(OR(F319="",F319=0),"",D319/F319)</f>
        <v>0.4435318275154</v>
      </c>
      <c r="H319" s="52" t="n">
        <f aca="false">IF(OR(F319="",F319=0),"",E319/F319)</f>
        <v>0.5564681724846</v>
      </c>
      <c r="I319" s="21" t="s">
        <v>122</v>
      </c>
      <c r="J319" s="53" t="n">
        <v>1.88510957763259</v>
      </c>
      <c r="K319" s="52" t="n">
        <f aca="false">IF(G319="","",MAX(0,G319-J319/100))</f>
        <v>0.424680731739075</v>
      </c>
      <c r="L319" s="52" t="n">
        <f aca="false">IF(G319="","",MIN(1,G319+J319/100))</f>
        <v>0.462382923291726</v>
      </c>
      <c r="M319" s="37" t="n">
        <f aca="false">IF(F319="","",ROUND(F319*J319/100,0))</f>
        <v>18</v>
      </c>
      <c r="P319" s="54" t="n">
        <v>-4.81785399211061</v>
      </c>
      <c r="Q319" s="55" t="n">
        <f aca="false">T319*$H$5</f>
        <v>973.779572994807</v>
      </c>
      <c r="R319" s="56" t="n">
        <f aca="false">MAX(0,MIN(1,P319/100+$D$5))</f>
        <v>0.444038583460425</v>
      </c>
      <c r="S319" s="57" t="s">
        <v>132</v>
      </c>
      <c r="T319" s="55" t="n">
        <v>973.779572994807</v>
      </c>
    </row>
    <row r="320" customFormat="false" ht="15" hidden="false" customHeight="false" outlineLevel="0" collapsed="false">
      <c r="A320" s="21" t="s">
        <v>377</v>
      </c>
      <c r="B320" s="21" t="s">
        <v>479</v>
      </c>
      <c r="C320" s="21" t="s">
        <v>483</v>
      </c>
      <c r="D320" s="37" t="n">
        <f aca="false">ROUND(Q320*R320,0)</f>
        <v>503</v>
      </c>
      <c r="E320" s="37" t="n">
        <f aca="false">ROUND(Q320,0)-D320</f>
        <v>631</v>
      </c>
      <c r="F320" s="37" t="n">
        <f aca="false">IF(COUNTA(D320:E320)=0,"",SUM(D320:E320))</f>
        <v>1134</v>
      </c>
      <c r="G320" s="52" t="n">
        <f aca="false">IF(OR(F320="",F320=0),"",D320/F320)</f>
        <v>0.443562610229277</v>
      </c>
      <c r="H320" s="52" t="n">
        <f aca="false">IF(OR(F320="",F320=0),"",E320/F320)</f>
        <v>0.556437389770723</v>
      </c>
      <c r="I320" s="21" t="s">
        <v>223</v>
      </c>
      <c r="J320" s="53" t="n">
        <v>1.88510957763259</v>
      </c>
      <c r="K320" s="52" t="n">
        <f aca="false">IF(G320="","",MAX(0,G320-J320/100))</f>
        <v>0.424711514452951</v>
      </c>
      <c r="L320" s="52" t="n">
        <f aca="false">IF(G320="","",MIN(1,G320+J320/100))</f>
        <v>0.462413706005603</v>
      </c>
      <c r="M320" s="37" t="n">
        <f aca="false">IF(F320="","",ROUND(F320*J320/100,0))</f>
        <v>21</v>
      </c>
      <c r="P320" s="54" t="n">
        <v>-4.81696600493923</v>
      </c>
      <c r="Q320" s="55" t="n">
        <f aca="false">T320*$H$5</f>
        <v>1133.54529874144</v>
      </c>
      <c r="R320" s="56" t="n">
        <f aca="false">MAX(0,MIN(1,P320/100+$D$5))</f>
        <v>0.444047463332138</v>
      </c>
      <c r="S320" s="57" t="s">
        <v>132</v>
      </c>
      <c r="T320" s="55" t="n">
        <v>1133.54529874144</v>
      </c>
    </row>
    <row r="321" customFormat="false" ht="15" hidden="false" customHeight="false" outlineLevel="0" collapsed="false">
      <c r="A321" s="21" t="s">
        <v>377</v>
      </c>
      <c r="B321" s="21" t="s">
        <v>484</v>
      </c>
      <c r="C321" s="21" t="s">
        <v>485</v>
      </c>
      <c r="D321" s="37" t="n">
        <f aca="false">ROUND(Q321*R321,0)</f>
        <v>499</v>
      </c>
      <c r="E321" s="37" t="n">
        <f aca="false">ROUND(Q321,0)-D321</f>
        <v>441</v>
      </c>
      <c r="F321" s="37" t="n">
        <f aca="false">IF(COUNTA(D321:E321)=0,"",SUM(D321:E321))</f>
        <v>940</v>
      </c>
      <c r="G321" s="52" t="n">
        <f aca="false">IF(OR(F321="",F321=0),"",D321/F321)</f>
        <v>0.530851063829787</v>
      </c>
      <c r="H321" s="52" t="n">
        <f aca="false">IF(OR(F321="",F321=0),"",E321/F321)</f>
        <v>0.469148936170213</v>
      </c>
      <c r="I321" s="21" t="s">
        <v>122</v>
      </c>
      <c r="J321" s="53" t="n">
        <v>1.88510957763259</v>
      </c>
      <c r="K321" s="52" t="n">
        <f aca="false">IF(G321="","",MAX(0,G321-J321/100))</f>
        <v>0.511999968053461</v>
      </c>
      <c r="L321" s="52" t="n">
        <f aca="false">IF(G321="","",MIN(1,G321+J321/100))</f>
        <v>0.549702159606113</v>
      </c>
      <c r="M321" s="37" t="n">
        <f aca="false">IF(F321="","",ROUND(F321*J321/100,0))</f>
        <v>18</v>
      </c>
      <c r="P321" s="54" t="n">
        <v>3.84541499990826</v>
      </c>
      <c r="Q321" s="55" t="n">
        <f aca="false">T321*$H$5</f>
        <v>939.568965517241</v>
      </c>
      <c r="R321" s="56" t="n">
        <f aca="false">MAX(0,MIN(1,P321/100+$D$5))</f>
        <v>0.530671273380613</v>
      </c>
      <c r="S321" s="57" t="s">
        <v>132</v>
      </c>
      <c r="T321" s="55" t="n">
        <v>939.568965517241</v>
      </c>
    </row>
    <row r="322" customFormat="false" ht="15" hidden="false" customHeight="false" outlineLevel="0" collapsed="false">
      <c r="A322" s="21" t="s">
        <v>377</v>
      </c>
      <c r="B322" s="21" t="s">
        <v>484</v>
      </c>
      <c r="C322" s="21" t="s">
        <v>486</v>
      </c>
      <c r="D322" s="37" t="n">
        <f aca="false">ROUND(Q322*R322,0)</f>
        <v>531</v>
      </c>
      <c r="E322" s="37" t="n">
        <f aca="false">ROUND(Q322,0)-D322</f>
        <v>672</v>
      </c>
      <c r="F322" s="37" t="n">
        <f aca="false">IF(COUNTA(D322:E322)=0,"",SUM(D322:E322))</f>
        <v>1203</v>
      </c>
      <c r="G322" s="52" t="n">
        <f aca="false">IF(OR(F322="",F322=0),"",D322/F322)</f>
        <v>0.44139650872818</v>
      </c>
      <c r="H322" s="52" t="n">
        <f aca="false">IF(OR(F322="",F322=0),"",E322/F322)</f>
        <v>0.55860349127182</v>
      </c>
      <c r="I322" s="21" t="s">
        <v>122</v>
      </c>
      <c r="J322" s="53" t="n">
        <v>1.24424911322721</v>
      </c>
      <c r="K322" s="52" t="n">
        <f aca="false">IF(G322="","",MAX(0,G322-J322/100))</f>
        <v>0.428954017595908</v>
      </c>
      <c r="L322" s="52" t="n">
        <f aca="false">IF(G322="","",MIN(1,G322+J322/100))</f>
        <v>0.453838999860452</v>
      </c>
      <c r="M322" s="37" t="n">
        <f aca="false">IF(F322="","",ROUND(F322*J322/100,0))</f>
        <v>15</v>
      </c>
      <c r="P322" s="54" t="n">
        <v>-5.10315980915756</v>
      </c>
      <c r="Q322" s="55" t="n">
        <f aca="false">T322*$H$5</f>
        <v>1202.75915948276</v>
      </c>
      <c r="R322" s="56" t="n">
        <f aca="false">MAX(0,MIN(1,P322/100+$D$5))</f>
        <v>0.441185525289955</v>
      </c>
      <c r="S322" s="57" t="s">
        <v>225</v>
      </c>
      <c r="T322" s="55" t="n">
        <v>1202.75915948276</v>
      </c>
    </row>
    <row r="323" customFormat="false" ht="15" hidden="false" customHeight="false" outlineLevel="0" collapsed="false">
      <c r="A323" s="21" t="s">
        <v>377</v>
      </c>
      <c r="B323" s="21" t="s">
        <v>484</v>
      </c>
      <c r="C323" s="21" t="s">
        <v>487</v>
      </c>
      <c r="D323" s="37" t="n">
        <f aca="false">ROUND(Q323*R323,0)</f>
        <v>577</v>
      </c>
      <c r="E323" s="37" t="n">
        <f aca="false">ROUND(Q323,0)-D323</f>
        <v>808</v>
      </c>
      <c r="F323" s="37" t="n">
        <f aca="false">IF(COUNTA(D323:E323)=0,"",SUM(D323:E323))</f>
        <v>1385</v>
      </c>
      <c r="G323" s="52" t="n">
        <f aca="false">IF(OR(F323="",F323=0),"",D323/F323)</f>
        <v>0.416606498194946</v>
      </c>
      <c r="H323" s="52" t="n">
        <f aca="false">IF(OR(F323="",F323=0),"",E323/F323)</f>
        <v>0.583393501805054</v>
      </c>
      <c r="I323" s="21" t="s">
        <v>223</v>
      </c>
      <c r="J323" s="53" t="n">
        <v>1.24424911322721</v>
      </c>
      <c r="K323" s="52" t="n">
        <f aca="false">IF(G323="","",MAX(0,G323-J323/100))</f>
        <v>0.404164007062674</v>
      </c>
      <c r="L323" s="52" t="n">
        <f aca="false">IF(G323="","",MIN(1,G323+J323/100))</f>
        <v>0.429048989327218</v>
      </c>
      <c r="M323" s="37" t="n">
        <f aca="false">IF(F323="","",ROUND(F323*J323/100,0))</f>
        <v>17</v>
      </c>
      <c r="P323" s="54" t="n">
        <v>-7.58779029758022</v>
      </c>
      <c r="Q323" s="55" t="n">
        <f aca="false">T323*$H$5</f>
        <v>1385.41170521152</v>
      </c>
      <c r="R323" s="56" t="n">
        <f aca="false">MAX(0,MIN(1,P323/100+$D$5))</f>
        <v>0.416339220405729</v>
      </c>
      <c r="S323" s="57" t="s">
        <v>225</v>
      </c>
      <c r="T323" s="55" t="n">
        <v>1385.41170521152</v>
      </c>
    </row>
    <row r="324" customFormat="false" ht="15" hidden="false" customHeight="false" outlineLevel="0" collapsed="false">
      <c r="A324" s="21" t="s">
        <v>377</v>
      </c>
      <c r="B324" s="21" t="s">
        <v>484</v>
      </c>
      <c r="C324" s="21" t="s">
        <v>488</v>
      </c>
      <c r="D324" s="37" t="n">
        <f aca="false">ROUND(Q324*R324,0)</f>
        <v>381</v>
      </c>
      <c r="E324" s="37" t="n">
        <f aca="false">ROUND(Q324,0)-D324</f>
        <v>346</v>
      </c>
      <c r="F324" s="37" t="n">
        <f aca="false">IF(COUNTA(D324:E324)=0,"",SUM(D324:E324))</f>
        <v>727</v>
      </c>
      <c r="G324" s="52" t="n">
        <f aca="false">IF(OR(F324="",F324=0),"",D324/F324)</f>
        <v>0.524071526822558</v>
      </c>
      <c r="H324" s="52" t="n">
        <f aca="false">IF(OR(F324="",F324=0),"",E324/F324)</f>
        <v>0.475928473177442</v>
      </c>
      <c r="I324" s="21" t="s">
        <v>122</v>
      </c>
      <c r="J324" s="53" t="n">
        <v>3.15466234357281</v>
      </c>
      <c r="K324" s="52" t="n">
        <f aca="false">IF(G324="","",MAX(0,G324-J324/100))</f>
        <v>0.49252490338683</v>
      </c>
      <c r="L324" s="52" t="n">
        <f aca="false">IF(G324="","",MIN(1,G324+J324/100))</f>
        <v>0.555618150258287</v>
      </c>
      <c r="M324" s="37" t="n">
        <f aca="false">IF(F324="","",ROUND(F324*J324/100,0))</f>
        <v>23</v>
      </c>
      <c r="P324" s="54" t="n">
        <v>3.09233904130885</v>
      </c>
      <c r="Q324" s="55" t="n">
        <f aca="false">T324*$H$5</f>
        <v>727.410579345088</v>
      </c>
      <c r="R324" s="56" t="n">
        <f aca="false">MAX(0,MIN(1,P324/100+$D$5))</f>
        <v>0.523140513794619</v>
      </c>
      <c r="S324" s="57" t="s">
        <v>123</v>
      </c>
      <c r="T324" s="55" t="n">
        <v>727.410579345088</v>
      </c>
    </row>
    <row r="325" customFormat="false" ht="15" hidden="false" customHeight="false" outlineLevel="0" collapsed="false">
      <c r="A325" s="21" t="s">
        <v>377</v>
      </c>
      <c r="B325" s="21" t="s">
        <v>484</v>
      </c>
      <c r="C325" s="21" t="s">
        <v>489</v>
      </c>
      <c r="D325" s="37" t="n">
        <f aca="false">ROUND(Q325*R325,0)</f>
        <v>360</v>
      </c>
      <c r="E325" s="37" t="n">
        <f aca="false">ROUND(Q325,0)-D325</f>
        <v>486</v>
      </c>
      <c r="F325" s="37" t="n">
        <f aca="false">IF(COUNTA(D325:E325)=0,"",SUM(D325:E325))</f>
        <v>846</v>
      </c>
      <c r="G325" s="52" t="n">
        <f aca="false">IF(OR(F325="",F325=0),"",D325/F325)</f>
        <v>0.425531914893617</v>
      </c>
      <c r="H325" s="52" t="n">
        <f aca="false">IF(OR(F325="",F325=0),"",E325/F325)</f>
        <v>0.574468085106383</v>
      </c>
      <c r="I325" s="21" t="s">
        <v>122</v>
      </c>
      <c r="J325" s="53" t="n">
        <v>1.88510957763259</v>
      </c>
      <c r="K325" s="52" t="n">
        <f aca="false">IF(G325="","",MAX(0,G325-J325/100))</f>
        <v>0.406680819117291</v>
      </c>
      <c r="L325" s="52" t="n">
        <f aca="false">IF(G325="","",MIN(1,G325+J325/100))</f>
        <v>0.444383010669943</v>
      </c>
      <c r="M325" s="37" t="n">
        <f aca="false">IF(F325="","",ROUND(F325*J325/100,0))</f>
        <v>16</v>
      </c>
      <c r="P325" s="54" t="n">
        <v>-6.59803791460709</v>
      </c>
      <c r="Q325" s="55" t="n">
        <f aca="false">T325*$H$5</f>
        <v>845.732235701906</v>
      </c>
      <c r="R325" s="56" t="n">
        <f aca="false">MAX(0,MIN(1,P325/100+$D$5))</f>
        <v>0.42623674423546</v>
      </c>
      <c r="S325" s="57" t="s">
        <v>132</v>
      </c>
      <c r="T325" s="55" t="n">
        <v>845.732235701906</v>
      </c>
    </row>
    <row r="326" customFormat="false" ht="15" hidden="false" customHeight="false" outlineLevel="0" collapsed="false">
      <c r="A326" s="21" t="s">
        <v>377</v>
      </c>
      <c r="B326" s="21" t="s">
        <v>484</v>
      </c>
      <c r="C326" s="21" t="s">
        <v>490</v>
      </c>
      <c r="D326" s="37" t="n">
        <f aca="false">ROUND(Q326*R326,0)</f>
        <v>1646</v>
      </c>
      <c r="E326" s="37" t="n">
        <f aca="false">ROUND(Q326,0)-D326</f>
        <v>1848</v>
      </c>
      <c r="F326" s="37" t="n">
        <f aca="false">IF(COUNTA(D326:E326)=0,"",SUM(D326:E326))</f>
        <v>3494</v>
      </c>
      <c r="G326" s="52" t="n">
        <f aca="false">IF(OR(F326="",F326=0),"",D326/F326)</f>
        <v>0.471093302804808</v>
      </c>
      <c r="H326" s="52" t="n">
        <f aca="false">IF(OR(F326="",F326=0),"",E326/F326)</f>
        <v>0.528906697195192</v>
      </c>
      <c r="I326" s="21" t="s">
        <v>223</v>
      </c>
      <c r="J326" s="53" t="n">
        <v>1.24424911322721</v>
      </c>
      <c r="K326" s="52" t="n">
        <f aca="false">IF(G326="","",MAX(0,G326-J326/100))</f>
        <v>0.458650811672536</v>
      </c>
      <c r="L326" s="52" t="n">
        <f aca="false">IF(G326="","",MIN(1,G326+J326/100))</f>
        <v>0.48353579393708</v>
      </c>
      <c r="M326" s="37" t="n">
        <f aca="false">IF(F326="","",ROUND(F326*J326/100,0))</f>
        <v>43</v>
      </c>
      <c r="P326" s="54" t="n">
        <v>-2.12366905538319</v>
      </c>
      <c r="Q326" s="55" t="n">
        <f aca="false">T326*$H$5</f>
        <v>3493.82614316946</v>
      </c>
      <c r="R326" s="56" t="n">
        <f aca="false">MAX(0,MIN(1,P326/100+$D$5))</f>
        <v>0.470980432827699</v>
      </c>
      <c r="S326" s="57" t="s">
        <v>225</v>
      </c>
      <c r="T326" s="55" t="n">
        <v>3493.82614316946</v>
      </c>
    </row>
    <row r="327" customFormat="false" ht="15" hidden="false" customHeight="false" outlineLevel="0" collapsed="false">
      <c r="A327" s="21" t="s">
        <v>377</v>
      </c>
      <c r="B327" s="21" t="s">
        <v>491</v>
      </c>
      <c r="C327" s="21" t="s">
        <v>492</v>
      </c>
      <c r="D327" s="37" t="n">
        <f aca="false">ROUND(Q327*R327,0)</f>
        <v>330</v>
      </c>
      <c r="E327" s="37" t="n">
        <f aca="false">ROUND(Q327,0)-D327</f>
        <v>622</v>
      </c>
      <c r="F327" s="37" t="n">
        <f aca="false">IF(COUNTA(D327:E327)=0,"",SUM(D327:E327))</f>
        <v>952</v>
      </c>
      <c r="G327" s="52" t="n">
        <f aca="false">IF(OR(F327="",F327=0),"",D327/F327)</f>
        <v>0.346638655462185</v>
      </c>
      <c r="H327" s="52" t="n">
        <f aca="false">IF(OR(F327="",F327=0),"",E327/F327)</f>
        <v>0.653361344537815</v>
      </c>
      <c r="I327" s="21" t="s">
        <v>122</v>
      </c>
      <c r="J327" s="53" t="n">
        <v>1.88510957763259</v>
      </c>
      <c r="K327" s="52" t="n">
        <f aca="false">IF(G327="","",MAX(0,G327-J327/100))</f>
        <v>0.327787559685859</v>
      </c>
      <c r="L327" s="52" t="n">
        <f aca="false">IF(G327="","",MIN(1,G327+J327/100))</f>
        <v>0.365489751238511</v>
      </c>
      <c r="M327" s="37" t="n">
        <f aca="false">IF(F327="","",ROUND(F327*J327/100,0))</f>
        <v>18</v>
      </c>
      <c r="P327" s="54" t="n">
        <v>-14.5916276503648</v>
      </c>
      <c r="Q327" s="55" t="n">
        <f aca="false">T327*$H$5</f>
        <v>951.894508670521</v>
      </c>
      <c r="R327" s="56" t="n">
        <f aca="false">MAX(0,MIN(1,P327/100+$D$5))</f>
        <v>0.346300846877883</v>
      </c>
      <c r="S327" s="57" t="s">
        <v>132</v>
      </c>
      <c r="T327" s="55" t="n">
        <v>951.894508670521</v>
      </c>
    </row>
    <row r="328" customFormat="false" ht="15" hidden="false" customHeight="false" outlineLevel="0" collapsed="false">
      <c r="A328" s="21" t="s">
        <v>377</v>
      </c>
      <c r="B328" s="21" t="s">
        <v>491</v>
      </c>
      <c r="C328" s="21" t="s">
        <v>493</v>
      </c>
      <c r="D328" s="37" t="n">
        <f aca="false">ROUND(Q328*R328,0)</f>
        <v>652</v>
      </c>
      <c r="E328" s="37" t="n">
        <f aca="false">ROUND(Q328,0)-D328</f>
        <v>1256</v>
      </c>
      <c r="F328" s="37" t="n">
        <f aca="false">IF(COUNTA(D328:E328)=0,"",SUM(D328:E328))</f>
        <v>1908</v>
      </c>
      <c r="G328" s="52" t="n">
        <f aca="false">IF(OR(F328="",F328=0),"",D328/F328)</f>
        <v>0.341719077568134</v>
      </c>
      <c r="H328" s="52" t="n">
        <f aca="false">IF(OR(F328="",F328=0),"",E328/F328)</f>
        <v>0.658280922431866</v>
      </c>
      <c r="I328" s="21" t="s">
        <v>122</v>
      </c>
      <c r="J328" s="53" t="n">
        <v>1.24424911322721</v>
      </c>
      <c r="K328" s="52" t="n">
        <f aca="false">IF(G328="","",MAX(0,G328-J328/100))</f>
        <v>0.329276586435862</v>
      </c>
      <c r="L328" s="52" t="n">
        <f aca="false">IF(G328="","",MIN(1,G328+J328/100))</f>
        <v>0.354161568700406</v>
      </c>
      <c r="M328" s="37" t="n">
        <f aca="false">IF(F328="","",ROUND(F328*J328/100,0))</f>
        <v>24</v>
      </c>
      <c r="P328" s="54" t="n">
        <v>-15.027413967622</v>
      </c>
      <c r="Q328" s="55" t="n">
        <f aca="false">T328*$H$5</f>
        <v>1907.80833039181</v>
      </c>
      <c r="R328" s="56" t="n">
        <f aca="false">MAX(0,MIN(1,P328/100+$D$5))</f>
        <v>0.34194298370531</v>
      </c>
      <c r="S328" s="57" t="s">
        <v>225</v>
      </c>
      <c r="T328" s="55" t="n">
        <v>1907.80833039181</v>
      </c>
    </row>
    <row r="329" customFormat="false" ht="15" hidden="false" customHeight="false" outlineLevel="0" collapsed="false">
      <c r="A329" s="21" t="s">
        <v>377</v>
      </c>
      <c r="B329" s="21" t="s">
        <v>491</v>
      </c>
      <c r="C329" s="21" t="s">
        <v>494</v>
      </c>
      <c r="D329" s="37" t="n">
        <f aca="false">ROUND(Q329*R329,0)</f>
        <v>432</v>
      </c>
      <c r="E329" s="37" t="n">
        <f aca="false">ROUND(Q329,0)-D329</f>
        <v>915</v>
      </c>
      <c r="F329" s="37" t="n">
        <f aca="false">IF(COUNTA(D329:E329)=0,"",SUM(D329:E329))</f>
        <v>1347</v>
      </c>
      <c r="G329" s="52" t="n">
        <f aca="false">IF(OR(F329="",F329=0),"",D329/F329)</f>
        <v>0.320712694877506</v>
      </c>
      <c r="H329" s="52" t="n">
        <f aca="false">IF(OR(F329="",F329=0),"",E329/F329)</f>
        <v>0.679287305122495</v>
      </c>
      <c r="I329" s="21" t="s">
        <v>122</v>
      </c>
      <c r="J329" s="53" t="n">
        <v>1.24424911322721</v>
      </c>
      <c r="K329" s="52" t="n">
        <f aca="false">IF(G329="","",MAX(0,G329-J329/100))</f>
        <v>0.308270203745234</v>
      </c>
      <c r="L329" s="52" t="n">
        <f aca="false">IF(G329="","",MIN(1,G329+J329/100))</f>
        <v>0.333155186009778</v>
      </c>
      <c r="M329" s="37" t="n">
        <f aca="false">IF(F329="","",ROUND(F329*J329/100,0))</f>
        <v>17</v>
      </c>
      <c r="P329" s="54" t="n">
        <v>-17.1205733878305</v>
      </c>
      <c r="Q329" s="55" t="n">
        <f aca="false">T329*$H$5</f>
        <v>1347</v>
      </c>
      <c r="R329" s="56" t="n">
        <f aca="false">MAX(0,MIN(1,P329/100+$D$5))</f>
        <v>0.321011389503226</v>
      </c>
      <c r="S329" s="57" t="s">
        <v>225</v>
      </c>
      <c r="T329" s="55" t="n">
        <v>1347</v>
      </c>
    </row>
    <row r="330" customFormat="false" ht="15" hidden="false" customHeight="false" outlineLevel="0" collapsed="false">
      <c r="A330" s="21" t="s">
        <v>377</v>
      </c>
      <c r="B330" s="21" t="s">
        <v>491</v>
      </c>
      <c r="C330" s="21" t="s">
        <v>495</v>
      </c>
      <c r="D330" s="37" t="n">
        <f aca="false">ROUND(Q330*R330,0)</f>
        <v>206</v>
      </c>
      <c r="E330" s="37" t="n">
        <f aca="false">ROUND(Q330,0)-D330</f>
        <v>434</v>
      </c>
      <c r="F330" s="37" t="n">
        <f aca="false">IF(COUNTA(D330:E330)=0,"",SUM(D330:E330))</f>
        <v>640</v>
      </c>
      <c r="G330" s="52" t="n">
        <f aca="false">IF(OR(F330="",F330=0),"",D330/F330)</f>
        <v>0.321875</v>
      </c>
      <c r="H330" s="52" t="n">
        <f aca="false">IF(OR(F330="",F330=0),"",E330/F330)</f>
        <v>0.678125</v>
      </c>
      <c r="I330" s="21" t="s">
        <v>122</v>
      </c>
      <c r="J330" s="53" t="n">
        <v>3.15466234357281</v>
      </c>
      <c r="K330" s="52" t="n">
        <f aca="false">IF(G330="","",MAX(0,G330-J330/100))</f>
        <v>0.290328376564272</v>
      </c>
      <c r="L330" s="52" t="n">
        <f aca="false">IF(G330="","",MIN(1,G330+J330/100))</f>
        <v>0.353421623435728</v>
      </c>
      <c r="M330" s="37" t="n">
        <f aca="false">IF(F330="","",ROUND(F330*J330/100,0))</f>
        <v>20</v>
      </c>
      <c r="P330" s="54" t="n">
        <v>-17.0153010241162</v>
      </c>
      <c r="Q330" s="55" t="n">
        <f aca="false">T330*$H$5</f>
        <v>640.169811320755</v>
      </c>
      <c r="R330" s="56" t="n">
        <f aca="false">MAX(0,MIN(1,P330/100+$D$5))</f>
        <v>0.322064113140369</v>
      </c>
      <c r="S330" s="57" t="s">
        <v>123</v>
      </c>
      <c r="T330" s="55" t="n">
        <v>640.169811320755</v>
      </c>
    </row>
    <row r="331" customFormat="false" ht="15" hidden="false" customHeight="false" outlineLevel="0" collapsed="false">
      <c r="A331" s="21" t="s">
        <v>377</v>
      </c>
      <c r="B331" s="21" t="s">
        <v>496</v>
      </c>
      <c r="C331" s="21" t="s">
        <v>497</v>
      </c>
      <c r="D331" s="37" t="n">
        <f aca="false">ROUND(Q331*R331,0)</f>
        <v>500</v>
      </c>
      <c r="E331" s="37" t="n">
        <f aca="false">ROUND(Q331,0)-D331</f>
        <v>478</v>
      </c>
      <c r="F331" s="37" t="n">
        <f aca="false">IF(COUNTA(D331:E331)=0,"",SUM(D331:E331))</f>
        <v>978</v>
      </c>
      <c r="G331" s="52" t="n">
        <f aca="false">IF(OR(F331="",F331=0),"",D331/F331)</f>
        <v>0.511247443762781</v>
      </c>
      <c r="H331" s="52" t="n">
        <f aca="false">IF(OR(F331="",F331=0),"",E331/F331)</f>
        <v>0.488752556237219</v>
      </c>
      <c r="I331" s="21" t="s">
        <v>122</v>
      </c>
      <c r="J331" s="53" t="n">
        <v>1.88510957763259</v>
      </c>
      <c r="K331" s="52" t="n">
        <f aca="false">IF(G331="","",MAX(0,G331-J331/100))</f>
        <v>0.492396347986455</v>
      </c>
      <c r="L331" s="52" t="n">
        <f aca="false">IF(G331="","",MIN(1,G331+J331/100))</f>
        <v>0.530098539539107</v>
      </c>
      <c r="M331" s="37" t="n">
        <f aca="false">IF(F331="","",ROUND(F331*J331/100,0))</f>
        <v>18</v>
      </c>
      <c r="P331" s="54" t="n">
        <v>1.85017240183529</v>
      </c>
      <c r="Q331" s="55" t="n">
        <f aca="false">T331*$H$5</f>
        <v>978.044260027662</v>
      </c>
      <c r="R331" s="56" t="n">
        <f aca="false">MAX(0,MIN(1,P331/100+$D$5))</f>
        <v>0.510718847399884</v>
      </c>
      <c r="S331" s="57" t="s">
        <v>132</v>
      </c>
      <c r="T331" s="55" t="n">
        <v>978.044260027662</v>
      </c>
    </row>
    <row r="332" customFormat="false" ht="15" hidden="false" customHeight="false" outlineLevel="0" collapsed="false">
      <c r="A332" s="21" t="s">
        <v>377</v>
      </c>
      <c r="B332" s="21" t="s">
        <v>496</v>
      </c>
      <c r="C332" s="21" t="s">
        <v>498</v>
      </c>
      <c r="D332" s="37" t="n">
        <f aca="false">ROUND(Q332*R332,0)</f>
        <v>404</v>
      </c>
      <c r="E332" s="37" t="n">
        <f aca="false">ROUND(Q332,0)-D332</f>
        <v>377</v>
      </c>
      <c r="F332" s="37" t="n">
        <f aca="false">IF(COUNTA(D332:E332)=0,"",SUM(D332:E332))</f>
        <v>781</v>
      </c>
      <c r="G332" s="52" t="n">
        <f aca="false">IF(OR(F332="",F332=0),"",D332/F332)</f>
        <v>0.517285531370038</v>
      </c>
      <c r="H332" s="52" t="n">
        <f aca="false">IF(OR(F332="",F332=0),"",E332/F332)</f>
        <v>0.482714468629962</v>
      </c>
      <c r="I332" s="21" t="s">
        <v>122</v>
      </c>
      <c r="J332" s="53" t="n">
        <v>1.88510957763259</v>
      </c>
      <c r="K332" s="52" t="n">
        <f aca="false">IF(G332="","",MAX(0,G332-J332/100))</f>
        <v>0.498434435593713</v>
      </c>
      <c r="L332" s="52" t="n">
        <f aca="false">IF(G332="","",MIN(1,G332+J332/100))</f>
        <v>0.536136627146364</v>
      </c>
      <c r="M332" s="37" t="n">
        <f aca="false">IF(F332="","",ROUND(F332*J332/100,0))</f>
        <v>15</v>
      </c>
      <c r="P332" s="54" t="n">
        <v>2.49547861598338</v>
      </c>
      <c r="Q332" s="55" t="n">
        <f aca="false">T332*$H$5</f>
        <v>780.745236414961</v>
      </c>
      <c r="R332" s="56" t="n">
        <f aca="false">MAX(0,MIN(1,P332/100+$D$5))</f>
        <v>0.517171909541365</v>
      </c>
      <c r="S332" s="57" t="s">
        <v>132</v>
      </c>
      <c r="T332" s="55" t="n">
        <v>780.745236414961</v>
      </c>
    </row>
    <row r="333" customFormat="false" ht="15" hidden="false" customHeight="false" outlineLevel="0" collapsed="false">
      <c r="A333" s="21" t="s">
        <v>377</v>
      </c>
      <c r="B333" s="21" t="s">
        <v>496</v>
      </c>
      <c r="C333" s="21" t="s">
        <v>499</v>
      </c>
      <c r="D333" s="37" t="n">
        <f aca="false">ROUND(Q333*R333,0)</f>
        <v>378</v>
      </c>
      <c r="E333" s="37" t="n">
        <f aca="false">ROUND(Q333,0)-D333</f>
        <v>379</v>
      </c>
      <c r="F333" s="37" t="n">
        <f aca="false">IF(COUNTA(D333:E333)=0,"",SUM(D333:E333))</f>
        <v>757</v>
      </c>
      <c r="G333" s="52" t="n">
        <f aca="false">IF(OR(F333="",F333=0),"",D333/F333)</f>
        <v>0.499339498018494</v>
      </c>
      <c r="H333" s="52" t="n">
        <f aca="false">IF(OR(F333="",F333=0),"",E333/F333)</f>
        <v>0.500660501981506</v>
      </c>
      <c r="I333" s="21" t="s">
        <v>122</v>
      </c>
      <c r="J333" s="53" t="n">
        <v>3.15466234357281</v>
      </c>
      <c r="K333" s="52" t="n">
        <f aca="false">IF(G333="","",MAX(0,G333-J333/100))</f>
        <v>0.467792874582766</v>
      </c>
      <c r="L333" s="52" t="n">
        <f aca="false">IF(G333="","",MIN(1,G333+J333/100))</f>
        <v>0.530886121454222</v>
      </c>
      <c r="M333" s="37" t="n">
        <f aca="false">IF(F333="","",ROUND(F333*J333/100,0))</f>
        <v>24</v>
      </c>
      <c r="P333" s="54" t="n">
        <v>0.680574667475788</v>
      </c>
      <c r="Q333" s="55" t="n">
        <f aca="false">T333*$H$5</f>
        <v>757.126771653543</v>
      </c>
      <c r="R333" s="56" t="n">
        <f aca="false">MAX(0,MIN(1,P333/100+$D$5))</f>
        <v>0.499022870056289</v>
      </c>
      <c r="S333" s="57" t="s">
        <v>123</v>
      </c>
      <c r="T333" s="55" t="n">
        <v>757.126771653543</v>
      </c>
    </row>
    <row r="334" customFormat="false" ht="15" hidden="false" customHeight="false" outlineLevel="0" collapsed="false">
      <c r="A334" s="21" t="s">
        <v>377</v>
      </c>
      <c r="B334" s="21" t="s">
        <v>500</v>
      </c>
      <c r="C334" s="21" t="s">
        <v>501</v>
      </c>
      <c r="D334" s="37" t="n">
        <f aca="false">ROUND(Q334*R334,0)</f>
        <v>177</v>
      </c>
      <c r="E334" s="37" t="n">
        <f aca="false">ROUND(Q334,0)-D334</f>
        <v>206</v>
      </c>
      <c r="F334" s="37" t="n">
        <f aca="false">IF(COUNTA(D334:E334)=0,"",SUM(D334:E334))</f>
        <v>383</v>
      </c>
      <c r="G334" s="52" t="n">
        <f aca="false">IF(OR(F334="",F334=0),"",D334/F334)</f>
        <v>0.462140992167102</v>
      </c>
      <c r="H334" s="52" t="n">
        <f aca="false">IF(OR(F334="",F334=0),"",E334/F334)</f>
        <v>0.537859007832898</v>
      </c>
      <c r="I334" s="21" t="s">
        <v>122</v>
      </c>
      <c r="J334" s="53" t="n">
        <v>3.15466234357281</v>
      </c>
      <c r="K334" s="52" t="n">
        <f aca="false">IF(G334="","",MAX(0,G334-J334/100))</f>
        <v>0.430594368731374</v>
      </c>
      <c r="L334" s="52" t="n">
        <f aca="false">IF(G334="","",MIN(1,G334+J334/100))</f>
        <v>0.49368761560283</v>
      </c>
      <c r="M334" s="37" t="n">
        <f aca="false">IF(F334="","",ROUND(F334*J334/100,0))</f>
        <v>12</v>
      </c>
      <c r="P334" s="54" t="n">
        <v>-2.91769775859424</v>
      </c>
      <c r="Q334" s="55" t="n">
        <f aca="false">T334*$H$5</f>
        <v>383.103139013453</v>
      </c>
      <c r="R334" s="56" t="n">
        <f aca="false">MAX(0,MIN(1,P334/100+$D$5))</f>
        <v>0.463040145795588</v>
      </c>
      <c r="S334" s="57" t="s">
        <v>123</v>
      </c>
      <c r="T334" s="55" t="n">
        <v>383.103139013453</v>
      </c>
    </row>
    <row r="335" customFormat="false" ht="15" hidden="false" customHeight="false" outlineLevel="0" collapsed="false">
      <c r="A335" s="21" t="s">
        <v>377</v>
      </c>
      <c r="B335" s="21" t="s">
        <v>500</v>
      </c>
      <c r="C335" s="21" t="s">
        <v>502</v>
      </c>
      <c r="D335" s="37" t="n">
        <f aca="false">ROUND(Q335*R335,0)</f>
        <v>539</v>
      </c>
      <c r="E335" s="37" t="n">
        <f aca="false">ROUND(Q335,0)-D335</f>
        <v>510</v>
      </c>
      <c r="F335" s="37" t="n">
        <f aca="false">IF(COUNTA(D335:E335)=0,"",SUM(D335:E335))</f>
        <v>1049</v>
      </c>
      <c r="G335" s="52" t="n">
        <f aca="false">IF(OR(F335="",F335=0),"",D335/F335)</f>
        <v>0.513822688274547</v>
      </c>
      <c r="H335" s="52" t="n">
        <f aca="false">IF(OR(F335="",F335=0),"",E335/F335)</f>
        <v>0.486177311725453</v>
      </c>
      <c r="I335" s="21" t="s">
        <v>122</v>
      </c>
      <c r="J335" s="53" t="n">
        <v>1.88510957763259</v>
      </c>
      <c r="K335" s="52" t="n">
        <f aca="false">IF(G335="","",MAX(0,G335-J335/100))</f>
        <v>0.494971592498221</v>
      </c>
      <c r="L335" s="52" t="n">
        <f aca="false">IF(G335="","",MIN(1,G335+J335/100))</f>
        <v>0.532673784050873</v>
      </c>
      <c r="M335" s="37" t="n">
        <f aca="false">IF(F335="","",ROUND(F335*J335/100,0))</f>
        <v>20</v>
      </c>
      <c r="P335" s="54" t="n">
        <v>2.14529526248558</v>
      </c>
      <c r="Q335" s="55" t="n">
        <f aca="false">T335*$H$5</f>
        <v>1049.22431259045</v>
      </c>
      <c r="R335" s="56" t="n">
        <f aca="false">MAX(0,MIN(1,P335/100+$D$5))</f>
        <v>0.513670076006387</v>
      </c>
      <c r="S335" s="57" t="s">
        <v>132</v>
      </c>
      <c r="T335" s="55" t="n">
        <v>1049.22431259045</v>
      </c>
    </row>
    <row r="336" customFormat="false" ht="15" hidden="false" customHeight="false" outlineLevel="0" collapsed="false">
      <c r="A336" s="21" t="s">
        <v>377</v>
      </c>
      <c r="B336" s="21" t="s">
        <v>503</v>
      </c>
      <c r="C336" s="21" t="s">
        <v>504</v>
      </c>
      <c r="D336" s="37" t="n">
        <f aca="false">ROUND(Q336*R336,0)</f>
        <v>505</v>
      </c>
      <c r="E336" s="37" t="n">
        <f aca="false">ROUND(Q336,0)-D336</f>
        <v>523</v>
      </c>
      <c r="F336" s="37" t="n">
        <f aca="false">IF(COUNTA(D336:E336)=0,"",SUM(D336:E336))</f>
        <v>1028</v>
      </c>
      <c r="G336" s="52" t="n">
        <f aca="false">IF(OR(F336="",F336=0),"",D336/F336)</f>
        <v>0.49124513618677</v>
      </c>
      <c r="H336" s="52" t="n">
        <f aca="false">IF(OR(F336="",F336=0),"",E336/F336)</f>
        <v>0.50875486381323</v>
      </c>
      <c r="I336" s="21" t="s">
        <v>122</v>
      </c>
      <c r="J336" s="53" t="n">
        <v>1.88510957763259</v>
      </c>
      <c r="K336" s="52" t="n">
        <f aca="false">IF(G336="","",MAX(0,G336-J336/100))</f>
        <v>0.472394040410445</v>
      </c>
      <c r="L336" s="52" t="n">
        <f aca="false">IF(G336="","",MIN(1,G336+J336/100))</f>
        <v>0.510096231963096</v>
      </c>
      <c r="M336" s="37" t="n">
        <f aca="false">IF(F336="","",ROUND(F336*J336/100,0))</f>
        <v>19</v>
      </c>
      <c r="P336" s="54" t="n">
        <v>-0.0314830743548691</v>
      </c>
      <c r="Q336" s="55" t="n">
        <f aca="false">T336*$H$5</f>
        <v>1027.55404570723</v>
      </c>
      <c r="R336" s="56" t="n">
        <f aca="false">MAX(0,MIN(1,P336/100+$D$5))</f>
        <v>0.491902292637982</v>
      </c>
      <c r="S336" s="57" t="s">
        <v>132</v>
      </c>
      <c r="T336" s="55" t="n">
        <v>1027.55404570723</v>
      </c>
    </row>
    <row r="337" customFormat="false" ht="15" hidden="false" customHeight="false" outlineLevel="0" collapsed="false">
      <c r="A337" s="21" t="s">
        <v>377</v>
      </c>
      <c r="B337" s="21" t="s">
        <v>503</v>
      </c>
      <c r="C337" s="21" t="s">
        <v>505</v>
      </c>
      <c r="D337" s="37" t="n">
        <f aca="false">ROUND(Q337*R337,0)</f>
        <v>443</v>
      </c>
      <c r="E337" s="37" t="n">
        <f aca="false">ROUND(Q337,0)-D337</f>
        <v>425</v>
      </c>
      <c r="F337" s="37" t="n">
        <f aca="false">IF(COUNTA(D337:E337)=0,"",SUM(D337:E337))</f>
        <v>868</v>
      </c>
      <c r="G337" s="52" t="n">
        <f aca="false">IF(OR(F337="",F337=0),"",D337/F337)</f>
        <v>0.51036866359447</v>
      </c>
      <c r="H337" s="52" t="n">
        <f aca="false">IF(OR(F337="",F337=0),"",E337/F337)</f>
        <v>0.48963133640553</v>
      </c>
      <c r="I337" s="21" t="s">
        <v>122</v>
      </c>
      <c r="J337" s="53" t="n">
        <v>1.88510957763259</v>
      </c>
      <c r="K337" s="52" t="n">
        <f aca="false">IF(G337="","",MAX(0,G337-J337/100))</f>
        <v>0.491517567818144</v>
      </c>
      <c r="L337" s="52" t="n">
        <f aca="false">IF(G337="","",MIN(1,G337+J337/100))</f>
        <v>0.529219759370796</v>
      </c>
      <c r="M337" s="37" t="n">
        <f aca="false">IF(F337="","",ROUND(F337*J337/100,0))</f>
        <v>16</v>
      </c>
      <c r="P337" s="54" t="n">
        <v>1.85551527130019</v>
      </c>
      <c r="Q337" s="55" t="n">
        <f aca="false">T337*$H$5</f>
        <v>867.502130249544</v>
      </c>
      <c r="R337" s="56" t="n">
        <f aca="false">MAX(0,MIN(1,P337/100+$D$5))</f>
        <v>0.510772276094533</v>
      </c>
      <c r="S337" s="57" t="s">
        <v>132</v>
      </c>
      <c r="T337" s="55" t="n">
        <v>867.502130249544</v>
      </c>
    </row>
    <row r="338" customFormat="false" ht="15" hidden="false" customHeight="false" outlineLevel="0" collapsed="false">
      <c r="A338" s="21" t="s">
        <v>377</v>
      </c>
      <c r="B338" s="21" t="s">
        <v>503</v>
      </c>
      <c r="C338" s="21" t="s">
        <v>506</v>
      </c>
      <c r="D338" s="37" t="n">
        <f aca="false">ROUND(Q338*R338,0)</f>
        <v>911</v>
      </c>
      <c r="E338" s="37" t="n">
        <f aca="false">ROUND(Q338,0)-D338</f>
        <v>963</v>
      </c>
      <c r="F338" s="37" t="n">
        <f aca="false">IF(COUNTA(D338:E338)=0,"",SUM(D338:E338))</f>
        <v>1874</v>
      </c>
      <c r="G338" s="52" t="n">
        <f aca="false">IF(OR(F338="",F338=0),"",D338/F338)</f>
        <v>0.486125933831377</v>
      </c>
      <c r="H338" s="52" t="n">
        <f aca="false">IF(OR(F338="",F338=0),"",E338/F338)</f>
        <v>0.513874066168623</v>
      </c>
      <c r="I338" s="21" t="s">
        <v>122</v>
      </c>
      <c r="J338" s="53" t="n">
        <v>1.24424911322721</v>
      </c>
      <c r="K338" s="52" t="n">
        <f aca="false">IF(G338="","",MAX(0,G338-J338/100))</f>
        <v>0.473683442699105</v>
      </c>
      <c r="L338" s="52" t="n">
        <f aca="false">IF(G338="","",MIN(1,G338+J338/100))</f>
        <v>0.498568424963649</v>
      </c>
      <c r="M338" s="37" t="n">
        <f aca="false">IF(F338="","",ROUND(F338*J338/100,0))</f>
        <v>23</v>
      </c>
      <c r="P338" s="54" t="n">
        <v>-0.58318236312005</v>
      </c>
      <c r="Q338" s="55" t="n">
        <f aca="false">T338*$H$5</f>
        <v>1873.94361294814</v>
      </c>
      <c r="R338" s="56" t="n">
        <f aca="false">MAX(0,MIN(1,P338/100+$D$5))</f>
        <v>0.48638529975033</v>
      </c>
      <c r="S338" s="57" t="s">
        <v>225</v>
      </c>
      <c r="T338" s="55" t="n">
        <v>1873.94361294814</v>
      </c>
    </row>
    <row r="339" customFormat="false" ht="15" hidden="false" customHeight="false" outlineLevel="0" collapsed="false">
      <c r="A339" s="21" t="s">
        <v>377</v>
      </c>
      <c r="B339" s="21" t="s">
        <v>503</v>
      </c>
      <c r="C339" s="21" t="s">
        <v>507</v>
      </c>
      <c r="D339" s="37" t="n">
        <f aca="false">ROUND(Q339*R339,0)</f>
        <v>182</v>
      </c>
      <c r="E339" s="37" t="n">
        <f aca="false">ROUND(Q339,0)-D339</f>
        <v>216</v>
      </c>
      <c r="F339" s="37" t="n">
        <f aca="false">IF(COUNTA(D339:E339)=0,"",SUM(D339:E339))</f>
        <v>398</v>
      </c>
      <c r="G339" s="52" t="n">
        <f aca="false">IF(OR(F339="",F339=0),"",D339/F339)</f>
        <v>0.457286432160804</v>
      </c>
      <c r="H339" s="52" t="n">
        <f aca="false">IF(OR(F339="",F339=0),"",E339/F339)</f>
        <v>0.542713567839196</v>
      </c>
      <c r="I339" s="21" t="s">
        <v>122</v>
      </c>
      <c r="J339" s="53" t="n">
        <v>3.15466234357281</v>
      </c>
      <c r="K339" s="52" t="n">
        <f aca="false">IF(G339="","",MAX(0,G339-J339/100))</f>
        <v>0.425739808725076</v>
      </c>
      <c r="L339" s="52" t="n">
        <f aca="false">IF(G339="","",MIN(1,G339+J339/100))</f>
        <v>0.488833055596532</v>
      </c>
      <c r="M339" s="37" t="n">
        <f aca="false">IF(F339="","",ROUND(F339*J339/100,0))</f>
        <v>13</v>
      </c>
      <c r="P339" s="54" t="n">
        <v>-3.53913848568917</v>
      </c>
      <c r="Q339" s="55" t="n">
        <f aca="false">T339*$H$5</f>
        <v>398.40616966581</v>
      </c>
      <c r="R339" s="56" t="n">
        <f aca="false">MAX(0,MIN(1,P339/100+$D$5))</f>
        <v>0.456825738524639</v>
      </c>
      <c r="S339" s="57" t="s">
        <v>123</v>
      </c>
      <c r="T339" s="55" t="n">
        <v>398.40616966581</v>
      </c>
    </row>
    <row r="340" customFormat="false" ht="15" hidden="false" customHeight="false" outlineLevel="0" collapsed="false">
      <c r="A340" s="21" t="s">
        <v>377</v>
      </c>
      <c r="B340" s="21" t="s">
        <v>508</v>
      </c>
      <c r="C340" s="21" t="s">
        <v>509</v>
      </c>
      <c r="D340" s="37" t="n">
        <f aca="false">ROUND(Q340*R340,0)</f>
        <v>688</v>
      </c>
      <c r="E340" s="37" t="n">
        <f aca="false">ROUND(Q340,0)-D340</f>
        <v>693</v>
      </c>
      <c r="F340" s="37" t="n">
        <f aca="false">IF(COUNTA(D340:E340)=0,"",SUM(D340:E340))</f>
        <v>1381</v>
      </c>
      <c r="G340" s="52" t="n">
        <f aca="false">IF(OR(F340="",F340=0),"",D340/F340)</f>
        <v>0.498189717595945</v>
      </c>
      <c r="H340" s="52" t="n">
        <f aca="false">IF(OR(F340="",F340=0),"",E340/F340)</f>
        <v>0.501810282404055</v>
      </c>
      <c r="I340" s="21" t="s">
        <v>122</v>
      </c>
      <c r="J340" s="53" t="n">
        <v>1.24424911322721</v>
      </c>
      <c r="K340" s="52" t="n">
        <f aca="false">IF(G340="","",MAX(0,G340-J340/100))</f>
        <v>0.485747226463673</v>
      </c>
      <c r="L340" s="52" t="n">
        <f aca="false">IF(G340="","",MIN(1,G340+J340/100))</f>
        <v>0.510632208728217</v>
      </c>
      <c r="M340" s="37" t="n">
        <f aca="false">IF(F340="","",ROUND(F340*J340/100,0))</f>
        <v>17</v>
      </c>
      <c r="P340" s="54" t="n">
        <v>0.589525353967607</v>
      </c>
      <c r="Q340" s="55" t="n">
        <f aca="false">T340*$H$5</f>
        <v>1380.50534255185</v>
      </c>
      <c r="R340" s="56" t="n">
        <f aca="false">MAX(0,MIN(1,P340/100+$D$5))</f>
        <v>0.498112376921207</v>
      </c>
      <c r="S340" s="57" t="s">
        <v>225</v>
      </c>
      <c r="T340" s="55" t="n">
        <v>1380.50534255185</v>
      </c>
    </row>
    <row r="341" customFormat="false" ht="15" hidden="false" customHeight="false" outlineLevel="0" collapsed="false">
      <c r="A341" s="21" t="s">
        <v>377</v>
      </c>
      <c r="B341" s="21" t="s">
        <v>508</v>
      </c>
      <c r="C341" s="21" t="s">
        <v>510</v>
      </c>
      <c r="D341" s="37" t="n">
        <f aca="false">ROUND(Q341*R341,0)</f>
        <v>157</v>
      </c>
      <c r="E341" s="37" t="n">
        <f aca="false">ROUND(Q341,0)-D341</f>
        <v>145</v>
      </c>
      <c r="F341" s="37" t="n">
        <f aca="false">IF(COUNTA(D341:E341)=0,"",SUM(D341:E341))</f>
        <v>302</v>
      </c>
      <c r="G341" s="52" t="n">
        <f aca="false">IF(OR(F341="",F341=0),"",D341/F341)</f>
        <v>0.519867549668874</v>
      </c>
      <c r="H341" s="52" t="n">
        <f aca="false">IF(OR(F341="",F341=0),"",E341/F341)</f>
        <v>0.480132450331126</v>
      </c>
      <c r="I341" s="21" t="s">
        <v>223</v>
      </c>
      <c r="J341" s="53" t="n">
        <v>3.15466234357281</v>
      </c>
      <c r="K341" s="52" t="n">
        <f aca="false">IF(G341="","",MAX(0,G341-J341/100))</f>
        <v>0.488320926233146</v>
      </c>
      <c r="L341" s="52" t="n">
        <f aca="false">IF(G341="","",MIN(1,G341+J341/100))</f>
        <v>0.551414173104602</v>
      </c>
      <c r="M341" s="37" t="n">
        <f aca="false">IF(F341="","",ROUND(F341*J341/100,0))</f>
        <v>10</v>
      </c>
      <c r="P341" s="54" t="n">
        <v>2.69248342378036</v>
      </c>
      <c r="Q341" s="55" t="n">
        <f aca="false">T341*$H$5</f>
        <v>301.77107159879</v>
      </c>
      <c r="R341" s="56" t="n">
        <f aca="false">MAX(0,MIN(1,P341/100+$D$5))</f>
        <v>0.519141957619334</v>
      </c>
      <c r="S341" s="57" t="s">
        <v>123</v>
      </c>
      <c r="T341" s="55" t="n">
        <v>301.77107159879</v>
      </c>
    </row>
    <row r="342" customFormat="false" ht="15" hidden="false" customHeight="false" outlineLevel="0" collapsed="false">
      <c r="A342" s="21" t="s">
        <v>377</v>
      </c>
      <c r="B342" s="21" t="s">
        <v>508</v>
      </c>
      <c r="C342" s="21" t="s">
        <v>511</v>
      </c>
      <c r="D342" s="37" t="n">
        <f aca="false">ROUND(Q342*R342,0)</f>
        <v>560</v>
      </c>
      <c r="E342" s="37" t="n">
        <f aca="false">ROUND(Q342,0)-D342</f>
        <v>599</v>
      </c>
      <c r="F342" s="37" t="n">
        <f aca="false">IF(COUNTA(D342:E342)=0,"",SUM(D342:E342))</f>
        <v>1159</v>
      </c>
      <c r="G342" s="52" t="n">
        <f aca="false">IF(OR(F342="",F342=0),"",D342/F342)</f>
        <v>0.483175150992235</v>
      </c>
      <c r="H342" s="52" t="n">
        <f aca="false">IF(OR(F342="",F342=0),"",E342/F342)</f>
        <v>0.516824849007765</v>
      </c>
      <c r="I342" s="21" t="s">
        <v>223</v>
      </c>
      <c r="J342" s="53" t="n">
        <v>1.88510957763259</v>
      </c>
      <c r="K342" s="52" t="n">
        <f aca="false">IF(G342="","",MAX(0,G342-J342/100))</f>
        <v>0.464324055215909</v>
      </c>
      <c r="L342" s="52" t="n">
        <f aca="false">IF(G342="","",MIN(1,G342+J342/100))</f>
        <v>0.502026246768561</v>
      </c>
      <c r="M342" s="37" t="n">
        <f aca="false">IF(F342="","",ROUND(F342*J342/100,0))</f>
        <v>22</v>
      </c>
      <c r="P342" s="54" t="n">
        <v>-0.900480059840719</v>
      </c>
      <c r="Q342" s="55" t="n">
        <f aca="false">T342*$H$5</f>
        <v>1159.09858720511</v>
      </c>
      <c r="R342" s="56" t="n">
        <f aca="false">MAX(0,MIN(1,P342/100+$D$5))</f>
        <v>0.483212322783124</v>
      </c>
      <c r="S342" s="57" t="s">
        <v>132</v>
      </c>
      <c r="T342" s="55" t="n">
        <v>1159.09858720511</v>
      </c>
    </row>
    <row r="343" customFormat="false" ht="15" hidden="false" customHeight="false" outlineLevel="0" collapsed="false">
      <c r="A343" s="21" t="s">
        <v>377</v>
      </c>
      <c r="B343" s="21" t="s">
        <v>508</v>
      </c>
      <c r="C343" s="21" t="s">
        <v>512</v>
      </c>
      <c r="D343" s="37" t="n">
        <f aca="false">ROUND(Q343*R343,0)</f>
        <v>747</v>
      </c>
      <c r="E343" s="37" t="n">
        <f aca="false">ROUND(Q343,0)-D343</f>
        <v>656</v>
      </c>
      <c r="F343" s="37" t="n">
        <f aca="false">IF(COUNTA(D343:E343)=0,"",SUM(D343:E343))</f>
        <v>1403</v>
      </c>
      <c r="G343" s="52" t="n">
        <f aca="false">IF(OR(F343="",F343=0),"",D343/F343)</f>
        <v>0.532430506058446</v>
      </c>
      <c r="H343" s="52" t="n">
        <f aca="false">IF(OR(F343="",F343=0),"",E343/F343)</f>
        <v>0.467569493941554</v>
      </c>
      <c r="I343" s="21" t="s">
        <v>122</v>
      </c>
      <c r="J343" s="53" t="n">
        <v>1.24424911322721</v>
      </c>
      <c r="K343" s="52" t="n">
        <f aca="false">IF(G343="","",MAX(0,G343-J343/100))</f>
        <v>0.519988014926174</v>
      </c>
      <c r="L343" s="52" t="n">
        <f aca="false">IF(G343="","",MIN(1,G343+J343/100))</f>
        <v>0.544872997190718</v>
      </c>
      <c r="M343" s="37" t="n">
        <f aca="false">IF(F343="","",ROUND(F343*J343/100,0))</f>
        <v>17</v>
      </c>
      <c r="P343" s="54" t="n">
        <v>4.04700740723341</v>
      </c>
      <c r="Q343" s="55" t="n">
        <f aca="false">T343*$H$5</f>
        <v>1402.88532351394</v>
      </c>
      <c r="R343" s="56" t="n">
        <f aca="false">MAX(0,MIN(1,P343/100+$D$5))</f>
        <v>0.532687197453865</v>
      </c>
      <c r="S343" s="57" t="s">
        <v>225</v>
      </c>
      <c r="T343" s="55" t="n">
        <v>1402.88532351394</v>
      </c>
    </row>
    <row r="344" customFormat="false" ht="15" hidden="false" customHeight="false" outlineLevel="0" collapsed="false">
      <c r="A344" s="21" t="s">
        <v>377</v>
      </c>
      <c r="B344" s="21" t="s">
        <v>508</v>
      </c>
      <c r="C344" s="21" t="s">
        <v>513</v>
      </c>
      <c r="D344" s="37" t="n">
        <f aca="false">ROUND(Q344*R344,0)</f>
        <v>640</v>
      </c>
      <c r="E344" s="37" t="n">
        <f aca="false">ROUND(Q344,0)-D344</f>
        <v>630</v>
      </c>
      <c r="F344" s="37" t="n">
        <f aca="false">IF(COUNTA(D344:E344)=0,"",SUM(D344:E344))</f>
        <v>1270</v>
      </c>
      <c r="G344" s="52" t="n">
        <f aca="false">IF(OR(F344="",F344=0),"",D344/F344)</f>
        <v>0.503937007874016</v>
      </c>
      <c r="H344" s="52" t="n">
        <f aca="false">IF(OR(F344="",F344=0),"",E344/F344)</f>
        <v>0.496062992125984</v>
      </c>
      <c r="I344" s="21" t="s">
        <v>122</v>
      </c>
      <c r="J344" s="53" t="n">
        <v>1.24424911322721</v>
      </c>
      <c r="K344" s="52" t="n">
        <f aca="false">IF(G344="","",MAX(0,G344-J344/100))</f>
        <v>0.491494516741744</v>
      </c>
      <c r="L344" s="52" t="n">
        <f aca="false">IF(G344="","",MIN(1,G344+J344/100))</f>
        <v>0.516379499006288</v>
      </c>
      <c r="M344" s="37" t="n">
        <f aca="false">IF(F344="","",ROUND(F344*J344/100,0))</f>
        <v>16</v>
      </c>
      <c r="P344" s="54" t="n">
        <v>1.1881315288077</v>
      </c>
      <c r="Q344" s="55" t="n">
        <f aca="false">T344*$H$5</f>
        <v>1270.0390625</v>
      </c>
      <c r="R344" s="56" t="n">
        <f aca="false">MAX(0,MIN(1,P344/100+$D$5))</f>
        <v>0.504098438669608</v>
      </c>
      <c r="S344" s="57" t="s">
        <v>225</v>
      </c>
      <c r="T344" s="55" t="n">
        <v>1270.0390625</v>
      </c>
    </row>
    <row r="345" customFormat="false" ht="15" hidden="false" customHeight="false" outlineLevel="0" collapsed="false">
      <c r="A345" s="21" t="s">
        <v>377</v>
      </c>
      <c r="B345" s="21" t="s">
        <v>508</v>
      </c>
      <c r="C345" s="21" t="s">
        <v>514</v>
      </c>
      <c r="D345" s="37" t="n">
        <f aca="false">ROUND(Q345*R345,0)</f>
        <v>628</v>
      </c>
      <c r="E345" s="37" t="n">
        <f aca="false">ROUND(Q345,0)-D345</f>
        <v>614</v>
      </c>
      <c r="F345" s="37" t="n">
        <f aca="false">IF(COUNTA(D345:E345)=0,"",SUM(D345:E345))</f>
        <v>1242</v>
      </c>
      <c r="G345" s="52" t="n">
        <f aca="false">IF(OR(F345="",F345=0),"",D345/F345)</f>
        <v>0.505636070853462</v>
      </c>
      <c r="H345" s="52" t="n">
        <f aca="false">IF(OR(F345="",F345=0),"",E345/F345)</f>
        <v>0.494363929146538</v>
      </c>
      <c r="I345" s="21" t="s">
        <v>122</v>
      </c>
      <c r="J345" s="53" t="n">
        <v>1.24424911322721</v>
      </c>
      <c r="K345" s="52" t="n">
        <f aca="false">IF(G345="","",MAX(0,G345-J345/100))</f>
        <v>0.49319357972119</v>
      </c>
      <c r="L345" s="52" t="n">
        <f aca="false">IF(G345="","",MIN(1,G345+J345/100))</f>
        <v>0.518078561985734</v>
      </c>
      <c r="M345" s="37" t="n">
        <f aca="false">IF(F345="","",ROUND(F345*J345/100,0))</f>
        <v>15</v>
      </c>
      <c r="P345" s="54" t="n">
        <v>1.33435642369504</v>
      </c>
      <c r="Q345" s="55" t="n">
        <f aca="false">T345*$H$5</f>
        <v>1241.83236382866</v>
      </c>
      <c r="R345" s="56" t="n">
        <f aca="false">MAX(0,MIN(1,P345/100+$D$5))</f>
        <v>0.505560687618481</v>
      </c>
      <c r="S345" s="57" t="s">
        <v>225</v>
      </c>
      <c r="T345" s="55" t="n">
        <v>1241.83236382866</v>
      </c>
    </row>
    <row r="346" customFormat="false" ht="15" hidden="false" customHeight="false" outlineLevel="0" collapsed="false">
      <c r="A346" s="21" t="s">
        <v>377</v>
      </c>
      <c r="B346" s="21" t="s">
        <v>508</v>
      </c>
      <c r="C346" s="21" t="s">
        <v>515</v>
      </c>
      <c r="D346" s="37" t="n">
        <f aca="false">ROUND(Q346*R346,0)</f>
        <v>542</v>
      </c>
      <c r="E346" s="37" t="n">
        <f aca="false">ROUND(Q346,0)-D346</f>
        <v>482</v>
      </c>
      <c r="F346" s="37" t="n">
        <f aca="false">IF(COUNTA(D346:E346)=0,"",SUM(D346:E346))</f>
        <v>1024</v>
      </c>
      <c r="G346" s="52" t="n">
        <f aca="false">IF(OR(F346="",F346=0),"",D346/F346)</f>
        <v>0.529296875</v>
      </c>
      <c r="H346" s="52" t="n">
        <f aca="false">IF(OR(F346="",F346=0),"",E346/F346)</f>
        <v>0.470703125</v>
      </c>
      <c r="I346" s="21" t="s">
        <v>223</v>
      </c>
      <c r="J346" s="53" t="n">
        <v>1.88510957763259</v>
      </c>
      <c r="K346" s="52" t="n">
        <f aca="false">IF(G346="","",MAX(0,G346-J346/100))</f>
        <v>0.510445779223674</v>
      </c>
      <c r="L346" s="52" t="n">
        <f aca="false">IF(G346="","",MIN(1,G346+J346/100))</f>
        <v>0.548147970776326</v>
      </c>
      <c r="M346" s="37" t="n">
        <f aca="false">IF(F346="","",ROUND(F346*J346/100,0))</f>
        <v>19</v>
      </c>
      <c r="P346" s="54" t="n">
        <v>3.66702809382888</v>
      </c>
      <c r="Q346" s="55" t="n">
        <f aca="false">T346*$H$5</f>
        <v>1023.9619746684</v>
      </c>
      <c r="R346" s="56" t="n">
        <f aca="false">MAX(0,MIN(1,P346/100+$D$5))</f>
        <v>0.52888740431982</v>
      </c>
      <c r="S346" s="57" t="s">
        <v>132</v>
      </c>
      <c r="T346" s="55" t="n">
        <v>1023.9619746684</v>
      </c>
    </row>
    <row r="347" customFormat="false" ht="15" hidden="false" customHeight="false" outlineLevel="0" collapsed="false">
      <c r="A347" s="21" t="s">
        <v>377</v>
      </c>
      <c r="B347" s="21" t="s">
        <v>508</v>
      </c>
      <c r="C347" s="21" t="s">
        <v>516</v>
      </c>
      <c r="D347" s="37" t="n">
        <f aca="false">ROUND(Q347*R347,0)</f>
        <v>206</v>
      </c>
      <c r="E347" s="37" t="n">
        <f aca="false">ROUND(Q347,0)-D347</f>
        <v>239</v>
      </c>
      <c r="F347" s="37" t="n">
        <f aca="false">IF(COUNTA(D347:E347)=0,"",SUM(D347:E347))</f>
        <v>445</v>
      </c>
      <c r="G347" s="52" t="n">
        <f aca="false">IF(OR(F347="",F347=0),"",D347/F347)</f>
        <v>0.462921348314607</v>
      </c>
      <c r="H347" s="52" t="n">
        <f aca="false">IF(OR(F347="",F347=0),"",E347/F347)</f>
        <v>0.537078651685393</v>
      </c>
      <c r="I347" s="21" t="s">
        <v>223</v>
      </c>
      <c r="J347" s="53" t="n">
        <v>3.15466234357281</v>
      </c>
      <c r="K347" s="52" t="n">
        <f aca="false">IF(G347="","",MAX(0,G347-J347/100))</f>
        <v>0.431374724878879</v>
      </c>
      <c r="L347" s="52" t="n">
        <f aca="false">IF(G347="","",MIN(1,G347+J347/100))</f>
        <v>0.494467971750335</v>
      </c>
      <c r="M347" s="37" t="n">
        <f aca="false">IF(F347="","",ROUND(F347*J347/100,0))</f>
        <v>14</v>
      </c>
      <c r="P347" s="54" t="n">
        <v>-2.93821767255603</v>
      </c>
      <c r="Q347" s="55" t="n">
        <f aca="false">T347*$H$5</f>
        <v>444.793344999185</v>
      </c>
      <c r="R347" s="56" t="n">
        <f aca="false">MAX(0,MIN(1,P347/100+$D$5))</f>
        <v>0.46283494665597</v>
      </c>
      <c r="S347" s="57" t="s">
        <v>123</v>
      </c>
      <c r="T347" s="55" t="n">
        <v>444.793344999185</v>
      </c>
    </row>
    <row r="348" customFormat="false" ht="15" hidden="false" customHeight="false" outlineLevel="0" collapsed="false">
      <c r="A348" s="21" t="s">
        <v>377</v>
      </c>
      <c r="B348" s="21" t="s">
        <v>508</v>
      </c>
      <c r="C348" s="21" t="s">
        <v>517</v>
      </c>
      <c r="D348" s="37" t="n">
        <f aca="false">ROUND(Q348*R348,0)</f>
        <v>1191</v>
      </c>
      <c r="E348" s="37" t="n">
        <f aca="false">ROUND(Q348,0)-D348</f>
        <v>1376</v>
      </c>
      <c r="F348" s="37" t="n">
        <f aca="false">IF(COUNTA(D348:E348)=0,"",SUM(D348:E348))</f>
        <v>2567</v>
      </c>
      <c r="G348" s="52" t="n">
        <f aca="false">IF(OR(F348="",F348=0),"",D348/F348)</f>
        <v>0.463965718737826</v>
      </c>
      <c r="H348" s="52" t="n">
        <f aca="false">IF(OR(F348="",F348=0),"",E348/F348)</f>
        <v>0.536034281262174</v>
      </c>
      <c r="I348" s="21" t="s">
        <v>223</v>
      </c>
      <c r="J348" s="53" t="n">
        <v>1.24424911322721</v>
      </c>
      <c r="K348" s="52" t="n">
        <f aca="false">IF(G348="","",MAX(0,G348-J348/100))</f>
        <v>0.451523227605554</v>
      </c>
      <c r="L348" s="52" t="n">
        <f aca="false">IF(G348="","",MIN(1,G348+J348/100))</f>
        <v>0.476408209870098</v>
      </c>
      <c r="M348" s="37" t="n">
        <f aca="false">IF(F348="","",ROUND(F348*J348/100,0))</f>
        <v>32</v>
      </c>
      <c r="P348" s="54" t="n">
        <v>-2.83327960759095</v>
      </c>
      <c r="Q348" s="55" t="n">
        <f aca="false">T348*$H$5</f>
        <v>2567.14576004421</v>
      </c>
      <c r="R348" s="56" t="n">
        <f aca="false">MAX(0,MIN(1,P348/100+$D$5))</f>
        <v>0.463884327305621</v>
      </c>
      <c r="S348" s="57" t="s">
        <v>225</v>
      </c>
      <c r="T348" s="55" t="n">
        <v>2567.14576004421</v>
      </c>
    </row>
    <row r="349" customFormat="false" ht="15" hidden="false" customHeight="false" outlineLevel="0" collapsed="false">
      <c r="A349" s="21" t="s">
        <v>377</v>
      </c>
      <c r="B349" s="21" t="s">
        <v>518</v>
      </c>
      <c r="C349" s="21" t="s">
        <v>519</v>
      </c>
      <c r="D349" s="37" t="n">
        <f aca="false">ROUND(Q349*R349,0)</f>
        <v>83</v>
      </c>
      <c r="E349" s="37" t="n">
        <f aca="false">ROUND(Q349,0)-D349</f>
        <v>132</v>
      </c>
      <c r="F349" s="37" t="n">
        <f aca="false">IF(COUNTA(D349:E349)=0,"",SUM(D349:E349))</f>
        <v>215</v>
      </c>
      <c r="G349" s="52" t="n">
        <f aca="false">IF(OR(F349="",F349=0),"",D349/F349)</f>
        <v>0.386046511627907</v>
      </c>
      <c r="H349" s="52" t="n">
        <f aca="false">IF(OR(F349="",F349=0),"",E349/F349)</f>
        <v>0.613953488372093</v>
      </c>
      <c r="I349" s="21" t="s">
        <v>122</v>
      </c>
      <c r="J349" s="53" t="n">
        <v>3.15466234357281</v>
      </c>
      <c r="K349" s="52" t="n">
        <f aca="false">IF(G349="","",MAX(0,G349-J349/100))</f>
        <v>0.354499888192179</v>
      </c>
      <c r="L349" s="52" t="n">
        <f aca="false">IF(G349="","",MIN(1,G349+J349/100))</f>
        <v>0.417593135063635</v>
      </c>
      <c r="M349" s="37" t="n">
        <f aca="false">IF(F349="","",ROUND(F349*J349/100,0))</f>
        <v>7</v>
      </c>
      <c r="P349" s="54" t="n">
        <v>-10.4442619215123</v>
      </c>
      <c r="Q349" s="55" t="n">
        <f aca="false">T349*$H$5</f>
        <v>214.558510638298</v>
      </c>
      <c r="R349" s="56" t="n">
        <f aca="false">MAX(0,MIN(1,P349/100+$D$5))</f>
        <v>0.387774504166408</v>
      </c>
      <c r="S349" s="57" t="s">
        <v>123</v>
      </c>
      <c r="T349" s="55" t="n">
        <v>214.558510638298</v>
      </c>
    </row>
    <row r="350" customFormat="false" ht="15" hidden="false" customHeight="false" outlineLevel="0" collapsed="false">
      <c r="A350" s="21" t="s">
        <v>377</v>
      </c>
      <c r="B350" s="21" t="s">
        <v>518</v>
      </c>
      <c r="C350" s="21" t="s">
        <v>520</v>
      </c>
      <c r="D350" s="37" t="n">
        <f aca="false">ROUND(Q350*R350,0)</f>
        <v>204</v>
      </c>
      <c r="E350" s="37" t="n">
        <f aca="false">ROUND(Q350,0)-D350</f>
        <v>359</v>
      </c>
      <c r="F350" s="37" t="n">
        <f aca="false">IF(COUNTA(D350:E350)=0,"",SUM(D350:E350))</f>
        <v>563</v>
      </c>
      <c r="G350" s="52" t="n">
        <f aca="false">IF(OR(F350="",F350=0),"",D350/F350)</f>
        <v>0.36234458259325</v>
      </c>
      <c r="H350" s="52" t="n">
        <f aca="false">IF(OR(F350="",F350=0),"",E350/F350)</f>
        <v>0.63765541740675</v>
      </c>
      <c r="I350" s="21" t="s">
        <v>122</v>
      </c>
      <c r="J350" s="53" t="n">
        <v>3.15466234357281</v>
      </c>
      <c r="K350" s="52" t="n">
        <f aca="false">IF(G350="","",MAX(0,G350-J350/100))</f>
        <v>0.330797959157522</v>
      </c>
      <c r="L350" s="52" t="n">
        <f aca="false">IF(G350="","",MIN(1,G350+J350/100))</f>
        <v>0.393891206028979</v>
      </c>
      <c r="M350" s="37" t="n">
        <f aca="false">IF(F350="","",ROUND(F350*J350/100,0))</f>
        <v>18</v>
      </c>
      <c r="P350" s="54" t="n">
        <v>-13.0039157495561</v>
      </c>
      <c r="Q350" s="55" t="n">
        <f aca="false">T350*$H$5</f>
        <v>562.888888888889</v>
      </c>
      <c r="R350" s="56" t="n">
        <f aca="false">MAX(0,MIN(1,P350/100+$D$5))</f>
        <v>0.36217796588597</v>
      </c>
      <c r="S350" s="57" t="s">
        <v>123</v>
      </c>
      <c r="T350" s="55" t="n">
        <v>562.888888888889</v>
      </c>
    </row>
    <row r="351" customFormat="false" ht="15" hidden="false" customHeight="false" outlineLevel="0" collapsed="false">
      <c r="A351" s="21" t="s">
        <v>377</v>
      </c>
      <c r="B351" s="21" t="s">
        <v>518</v>
      </c>
      <c r="C351" s="21" t="s">
        <v>521</v>
      </c>
      <c r="D351" s="37" t="n">
        <f aca="false">ROUND(Q351*R351,0)</f>
        <v>147</v>
      </c>
      <c r="E351" s="37" t="n">
        <f aca="false">ROUND(Q351,0)-D351</f>
        <v>215</v>
      </c>
      <c r="F351" s="37" t="n">
        <f aca="false">IF(COUNTA(D351:E351)=0,"",SUM(D351:E351))</f>
        <v>362</v>
      </c>
      <c r="G351" s="52" t="n">
        <f aca="false">IF(OR(F351="",F351=0),"",D351/F351)</f>
        <v>0.406077348066298</v>
      </c>
      <c r="H351" s="52" t="n">
        <f aca="false">IF(OR(F351="",F351=0),"",E351/F351)</f>
        <v>0.593922651933702</v>
      </c>
      <c r="I351" s="21" t="s">
        <v>122</v>
      </c>
      <c r="J351" s="53" t="n">
        <v>3.15466234357281</v>
      </c>
      <c r="K351" s="52" t="n">
        <f aca="false">IF(G351="","",MAX(0,G351-J351/100))</f>
        <v>0.37453072463057</v>
      </c>
      <c r="L351" s="52" t="n">
        <f aca="false">IF(G351="","",MIN(1,G351+J351/100))</f>
        <v>0.437623971502027</v>
      </c>
      <c r="M351" s="37" t="n">
        <f aca="false">IF(F351="","",ROUND(F351*J351/100,0))</f>
        <v>11</v>
      </c>
      <c r="P351" s="54" t="n">
        <v>-8.60210668077794</v>
      </c>
      <c r="Q351" s="55" t="n">
        <f aca="false">T351*$H$5</f>
        <v>362.264705882353</v>
      </c>
      <c r="R351" s="56" t="n">
        <f aca="false">MAX(0,MIN(1,P351/100+$D$5))</f>
        <v>0.406196056573751</v>
      </c>
      <c r="S351" s="57" t="s">
        <v>123</v>
      </c>
      <c r="T351" s="55" t="n">
        <v>362.264705882353</v>
      </c>
    </row>
    <row r="352" customFormat="false" ht="15" hidden="false" customHeight="false" outlineLevel="0" collapsed="false">
      <c r="A352" s="21" t="s">
        <v>377</v>
      </c>
      <c r="B352" s="21" t="s">
        <v>518</v>
      </c>
      <c r="C352" s="21" t="s">
        <v>522</v>
      </c>
      <c r="D352" s="37" t="n">
        <f aca="false">ROUND(Q352*R352,0)</f>
        <v>88</v>
      </c>
      <c r="E352" s="37" t="n">
        <f aca="false">ROUND(Q352,0)-D352</f>
        <v>128</v>
      </c>
      <c r="F352" s="37" t="n">
        <f aca="false">IF(COUNTA(D352:E352)=0,"",SUM(D352:E352))</f>
        <v>216</v>
      </c>
      <c r="G352" s="52" t="n">
        <f aca="false">IF(OR(F352="",F352=0),"",D352/F352)</f>
        <v>0.407407407407407</v>
      </c>
      <c r="H352" s="52" t="n">
        <f aca="false">IF(OR(F352="",F352=0),"",E352/F352)</f>
        <v>0.592592592592593</v>
      </c>
      <c r="I352" s="21" t="s">
        <v>122</v>
      </c>
      <c r="J352" s="53" t="n">
        <v>3.15466234357281</v>
      </c>
      <c r="K352" s="52" t="n">
        <f aca="false">IF(G352="","",MAX(0,G352-J352/100))</f>
        <v>0.375860783971679</v>
      </c>
      <c r="L352" s="52" t="n">
        <f aca="false">IF(G352="","",MIN(1,G352+J352/100))</f>
        <v>0.438954030843136</v>
      </c>
      <c r="M352" s="37" t="n">
        <f aca="false">IF(F352="","",ROUND(F352*J352/100,0))</f>
        <v>7</v>
      </c>
      <c r="P352" s="54" t="n">
        <v>-8.47430274930754</v>
      </c>
      <c r="Q352" s="55" t="n">
        <f aca="false">T352*$H$5</f>
        <v>215.962962962963</v>
      </c>
      <c r="R352" s="56" t="n">
        <f aca="false">MAX(0,MIN(1,P352/100+$D$5))</f>
        <v>0.407474095888455</v>
      </c>
      <c r="S352" s="57" t="s">
        <v>123</v>
      </c>
      <c r="T352" s="55" t="n">
        <v>215.962962962963</v>
      </c>
    </row>
    <row r="353" customFormat="false" ht="15" hidden="false" customHeight="false" outlineLevel="0" collapsed="false">
      <c r="A353" s="21" t="s">
        <v>377</v>
      </c>
      <c r="B353" s="21" t="s">
        <v>523</v>
      </c>
      <c r="C353" s="21" t="s">
        <v>524</v>
      </c>
      <c r="D353" s="37" t="n">
        <f aca="false">ROUND(Q353*R353,0)</f>
        <v>337</v>
      </c>
      <c r="E353" s="37" t="n">
        <f aca="false">ROUND(Q353,0)-D353</f>
        <v>614</v>
      </c>
      <c r="F353" s="37" t="n">
        <f aca="false">IF(COUNTA(D353:E353)=0,"",SUM(D353:E353))</f>
        <v>951</v>
      </c>
      <c r="G353" s="52" t="n">
        <f aca="false">IF(OR(F353="",F353=0),"",D353/F353)</f>
        <v>0.354363827549947</v>
      </c>
      <c r="H353" s="52" t="n">
        <f aca="false">IF(OR(F353="",F353=0),"",E353/F353)</f>
        <v>0.645636172450053</v>
      </c>
      <c r="I353" s="21" t="s">
        <v>122</v>
      </c>
      <c r="J353" s="53" t="n">
        <v>1.88510957763259</v>
      </c>
      <c r="K353" s="52" t="n">
        <f aca="false">IF(G353="","",MAX(0,G353-J353/100))</f>
        <v>0.335512731773622</v>
      </c>
      <c r="L353" s="52" t="n">
        <f aca="false">IF(G353="","",MIN(1,G353+J353/100))</f>
        <v>0.373214923326273</v>
      </c>
      <c r="M353" s="37" t="n">
        <f aca="false">IF(F353="","",ROUND(F353*J353/100,0))</f>
        <v>18</v>
      </c>
      <c r="P353" s="54" t="n">
        <v>-13.7702014542193</v>
      </c>
      <c r="Q353" s="55" t="n">
        <f aca="false">T353*$H$5</f>
        <v>951.480446927374</v>
      </c>
      <c r="R353" s="56" t="n">
        <f aca="false">MAX(0,MIN(1,P353/100+$D$5))</f>
        <v>0.354515108839338</v>
      </c>
      <c r="S353" s="57" t="s">
        <v>132</v>
      </c>
      <c r="T353" s="55" t="n">
        <v>951.480446927374</v>
      </c>
    </row>
    <row r="354" customFormat="false" ht="15" hidden="false" customHeight="false" outlineLevel="0" collapsed="false">
      <c r="A354" s="21" t="s">
        <v>377</v>
      </c>
      <c r="B354" s="21" t="s">
        <v>523</v>
      </c>
      <c r="C354" s="21" t="s">
        <v>525</v>
      </c>
      <c r="D354" s="37" t="n">
        <f aca="false">ROUND(Q354*R354,0)</f>
        <v>271</v>
      </c>
      <c r="E354" s="37" t="n">
        <f aca="false">ROUND(Q354,0)-D354</f>
        <v>478</v>
      </c>
      <c r="F354" s="37" t="n">
        <f aca="false">IF(COUNTA(D354:E354)=0,"",SUM(D354:E354))</f>
        <v>749</v>
      </c>
      <c r="G354" s="52" t="n">
        <f aca="false">IF(OR(F354="",F354=0),"",D354/F354)</f>
        <v>0.361815754339119</v>
      </c>
      <c r="H354" s="52" t="n">
        <f aca="false">IF(OR(F354="",F354=0),"",E354/F354)</f>
        <v>0.638184245660881</v>
      </c>
      <c r="I354" s="21" t="s">
        <v>122</v>
      </c>
      <c r="J354" s="53" t="n">
        <v>3.15466234357281</v>
      </c>
      <c r="K354" s="52" t="n">
        <f aca="false">IF(G354="","",MAX(0,G354-J354/100))</f>
        <v>0.330269130903391</v>
      </c>
      <c r="L354" s="52" t="n">
        <f aca="false">IF(G354="","",MIN(1,G354+J354/100))</f>
        <v>0.393362377774847</v>
      </c>
      <c r="M354" s="37" t="n">
        <f aca="false">IF(F354="","",ROUND(F354*J354/100,0))</f>
        <v>24</v>
      </c>
      <c r="P354" s="54" t="n">
        <v>-13.0554897835459</v>
      </c>
      <c r="Q354" s="55" t="n">
        <f aca="false">T354*$H$5</f>
        <v>748.801666666666</v>
      </c>
      <c r="R354" s="56" t="n">
        <f aca="false">MAX(0,MIN(1,P354/100+$D$5))</f>
        <v>0.361662225546071</v>
      </c>
      <c r="S354" s="57" t="s">
        <v>123</v>
      </c>
      <c r="T354" s="55" t="n">
        <v>748.801666666666</v>
      </c>
    </row>
    <row r="355" customFormat="false" ht="15" hidden="false" customHeight="false" outlineLevel="0" collapsed="false">
      <c r="A355" s="21" t="s">
        <v>377</v>
      </c>
      <c r="B355" s="21" t="s">
        <v>523</v>
      </c>
      <c r="C355" s="21" t="s">
        <v>526</v>
      </c>
      <c r="D355" s="37" t="n">
        <f aca="false">ROUND(Q355*R355,0)</f>
        <v>244</v>
      </c>
      <c r="E355" s="37" t="n">
        <f aca="false">ROUND(Q355,0)-D355</f>
        <v>463</v>
      </c>
      <c r="F355" s="37" t="n">
        <f aca="false">IF(COUNTA(D355:E355)=0,"",SUM(D355:E355))</f>
        <v>707</v>
      </c>
      <c r="G355" s="52" t="n">
        <f aca="false">IF(OR(F355="",F355=0),"",D355/F355)</f>
        <v>0.345120226308345</v>
      </c>
      <c r="H355" s="52" t="n">
        <f aca="false">IF(OR(F355="",F355=0),"",E355/F355)</f>
        <v>0.654879773691655</v>
      </c>
      <c r="I355" s="21" t="s">
        <v>122</v>
      </c>
      <c r="J355" s="53" t="n">
        <v>3.15466234357281</v>
      </c>
      <c r="K355" s="52" t="n">
        <f aca="false">IF(G355="","",MAX(0,G355-J355/100))</f>
        <v>0.313573602872617</v>
      </c>
      <c r="L355" s="52" t="n">
        <f aca="false">IF(G355="","",MIN(1,G355+J355/100))</f>
        <v>0.376666849744073</v>
      </c>
      <c r="M355" s="37" t="n">
        <f aca="false">IF(F355="","",ROUND(F355*J355/100,0))</f>
        <v>22</v>
      </c>
      <c r="P355" s="54" t="n">
        <v>-14.752133282546</v>
      </c>
      <c r="Q355" s="55" t="n">
        <f aca="false">T355*$H$5</f>
        <v>707.096134786918</v>
      </c>
      <c r="R355" s="56" t="n">
        <f aca="false">MAX(0,MIN(1,P355/100+$D$5))</f>
        <v>0.34469579055607</v>
      </c>
      <c r="S355" s="57" t="s">
        <v>123</v>
      </c>
      <c r="T355" s="55" t="n">
        <v>707.096134786918</v>
      </c>
    </row>
    <row r="356" customFormat="false" ht="15" hidden="false" customHeight="false" outlineLevel="0" collapsed="false">
      <c r="A356" s="21" t="s">
        <v>377</v>
      </c>
      <c r="B356" s="21" t="s">
        <v>523</v>
      </c>
      <c r="C356" s="21" t="s">
        <v>527</v>
      </c>
      <c r="D356" s="37" t="n">
        <f aca="false">ROUND(Q356*R356,0)</f>
        <v>245</v>
      </c>
      <c r="E356" s="37" t="n">
        <f aca="false">ROUND(Q356,0)-D356</f>
        <v>468</v>
      </c>
      <c r="F356" s="37" t="n">
        <f aca="false">IF(COUNTA(D356:E356)=0,"",SUM(D356:E356))</f>
        <v>713</v>
      </c>
      <c r="G356" s="52" t="n">
        <f aca="false">IF(OR(F356="",F356=0),"",D356/F356)</f>
        <v>0.343618513323983</v>
      </c>
      <c r="H356" s="52" t="n">
        <f aca="false">IF(OR(F356="",F356=0),"",E356/F356)</f>
        <v>0.656381486676017</v>
      </c>
      <c r="I356" s="21" t="s">
        <v>122</v>
      </c>
      <c r="J356" s="53" t="n">
        <v>3.15466234357281</v>
      </c>
      <c r="K356" s="52" t="n">
        <f aca="false">IF(G356="","",MAX(0,G356-J356/100))</f>
        <v>0.312071889888255</v>
      </c>
      <c r="L356" s="52" t="n">
        <f aca="false">IF(G356="","",MIN(1,G356+J356/100))</f>
        <v>0.375165136759711</v>
      </c>
      <c r="M356" s="37" t="n">
        <f aca="false">IF(F356="","",ROUND(F356*J356/100,0))</f>
        <v>22</v>
      </c>
      <c r="P356" s="54" t="n">
        <v>-14.9334268485594</v>
      </c>
      <c r="Q356" s="55" t="n">
        <f aca="false">T356*$H$5</f>
        <v>713.433121019109</v>
      </c>
      <c r="R356" s="56" t="n">
        <f aca="false">MAX(0,MIN(1,P356/100+$D$5))</f>
        <v>0.342882854895937</v>
      </c>
      <c r="S356" s="57" t="s">
        <v>123</v>
      </c>
      <c r="T356" s="55" t="n">
        <v>713.433121019109</v>
      </c>
    </row>
    <row r="357" customFormat="false" ht="15" hidden="false" customHeight="false" outlineLevel="0" collapsed="false">
      <c r="A357" s="21" t="s">
        <v>377</v>
      </c>
      <c r="B357" s="21" t="s">
        <v>528</v>
      </c>
      <c r="C357" s="21" t="s">
        <v>529</v>
      </c>
      <c r="D357" s="37" t="n">
        <f aca="false">ROUND(Q357*R357,0)</f>
        <v>67</v>
      </c>
      <c r="E357" s="37" t="n">
        <f aca="false">ROUND(Q357,0)-D357</f>
        <v>129</v>
      </c>
      <c r="F357" s="37" t="n">
        <f aca="false">IF(COUNTA(D357:E357)=0,"",SUM(D357:E357))</f>
        <v>196</v>
      </c>
      <c r="G357" s="52" t="n">
        <f aca="false">IF(OR(F357="",F357=0),"",D357/F357)</f>
        <v>0.341836734693878</v>
      </c>
      <c r="H357" s="52" t="n">
        <f aca="false">IF(OR(F357="",F357=0),"",E357/F357)</f>
        <v>0.658163265306123</v>
      </c>
      <c r="I357" s="21" t="s">
        <v>122</v>
      </c>
      <c r="J357" s="53" t="n">
        <v>3.15466234357281</v>
      </c>
      <c r="K357" s="52" t="n">
        <f aca="false">IF(G357="","",MAX(0,G357-J357/100))</f>
        <v>0.310290111258149</v>
      </c>
      <c r="L357" s="52" t="n">
        <f aca="false">IF(G357="","",MIN(1,G357+J357/100))</f>
        <v>0.373383358129606</v>
      </c>
      <c r="M357" s="37" t="n">
        <f aca="false">IF(F357="","",ROUND(F357*J357/100,0))</f>
        <v>6</v>
      </c>
      <c r="P357" s="54" t="n">
        <v>-14.8764576581032</v>
      </c>
      <c r="Q357" s="55" t="n">
        <f aca="false">T357*$H$5</f>
        <v>196.102981029811</v>
      </c>
      <c r="R357" s="56" t="n">
        <f aca="false">MAX(0,MIN(1,P357/100+$D$5))</f>
        <v>0.343452546800499</v>
      </c>
      <c r="S357" s="57" t="s">
        <v>123</v>
      </c>
      <c r="T357" s="55" t="n">
        <v>196.102981029811</v>
      </c>
    </row>
    <row r="358" customFormat="false" ht="15" hidden="false" customHeight="false" outlineLevel="0" collapsed="false">
      <c r="A358" s="21" t="s">
        <v>377</v>
      </c>
      <c r="B358" s="21" t="s">
        <v>530</v>
      </c>
      <c r="C358" s="21" t="s">
        <v>531</v>
      </c>
      <c r="D358" s="37" t="n">
        <f aca="false">ROUND(Q358*R358,0)</f>
        <v>264</v>
      </c>
      <c r="E358" s="37" t="n">
        <f aca="false">ROUND(Q358,0)-D358</f>
        <v>420</v>
      </c>
      <c r="F358" s="37" t="n">
        <f aca="false">IF(COUNTA(D358:E358)=0,"",SUM(D358:E358))</f>
        <v>684</v>
      </c>
      <c r="G358" s="52" t="n">
        <f aca="false">IF(OR(F358="",F358=0),"",D358/F358)</f>
        <v>0.385964912280702</v>
      </c>
      <c r="H358" s="52" t="n">
        <f aca="false">IF(OR(F358="",F358=0),"",E358/F358)</f>
        <v>0.614035087719298</v>
      </c>
      <c r="I358" s="21" t="s">
        <v>122</v>
      </c>
      <c r="J358" s="53" t="n">
        <v>3.15466234357281</v>
      </c>
      <c r="K358" s="52" t="n">
        <f aca="false">IF(G358="","",MAX(0,G358-J358/100))</f>
        <v>0.354418288844974</v>
      </c>
      <c r="L358" s="52" t="n">
        <f aca="false">IF(G358="","",MIN(1,G358+J358/100))</f>
        <v>0.41751153571643</v>
      </c>
      <c r="M358" s="37" t="n">
        <f aca="false">IF(F358="","",ROUND(F358*J358/100,0))</f>
        <v>22</v>
      </c>
      <c r="P358" s="54" t="n">
        <v>-10.6745017677508</v>
      </c>
      <c r="Q358" s="55" t="n">
        <f aca="false">T358*$H$5</f>
        <v>683.952941176471</v>
      </c>
      <c r="R358" s="56" t="n">
        <f aca="false">MAX(0,MIN(1,P358/100+$D$5))</f>
        <v>0.385472105704023</v>
      </c>
      <c r="S358" s="57" t="s">
        <v>123</v>
      </c>
      <c r="T358" s="55" t="n">
        <v>683.952941176471</v>
      </c>
    </row>
    <row r="359" customFormat="false" ht="15" hidden="false" customHeight="false" outlineLevel="0" collapsed="false">
      <c r="A359" s="21" t="s">
        <v>377</v>
      </c>
      <c r="B359" s="21" t="s">
        <v>532</v>
      </c>
      <c r="C359" s="21" t="s">
        <v>533</v>
      </c>
      <c r="D359" s="37" t="n">
        <f aca="false">ROUND(Q359*R359,0)</f>
        <v>158</v>
      </c>
      <c r="E359" s="37" t="n">
        <f aca="false">ROUND(Q359,0)-D359</f>
        <v>231</v>
      </c>
      <c r="F359" s="37" t="n">
        <f aca="false">IF(COUNTA(D359:E359)=0,"",SUM(D359:E359))</f>
        <v>389</v>
      </c>
      <c r="G359" s="52" t="n">
        <f aca="false">IF(OR(F359="",F359=0),"",D359/F359)</f>
        <v>0.406169665809769</v>
      </c>
      <c r="H359" s="52" t="n">
        <f aca="false">IF(OR(F359="",F359=0),"",E359/F359)</f>
        <v>0.593830334190231</v>
      </c>
      <c r="I359" s="21" t="s">
        <v>122</v>
      </c>
      <c r="J359" s="53" t="n">
        <v>3.15466234357281</v>
      </c>
      <c r="K359" s="52" t="n">
        <f aca="false">IF(G359="","",MAX(0,G359-J359/100))</f>
        <v>0.374623042374041</v>
      </c>
      <c r="L359" s="52" t="n">
        <f aca="false">IF(G359="","",MIN(1,G359+J359/100))</f>
        <v>0.437716289245497</v>
      </c>
      <c r="M359" s="37" t="n">
        <f aca="false">IF(F359="","",ROUND(F359*J359/100,0))</f>
        <v>12</v>
      </c>
      <c r="P359" s="54" t="n">
        <v>-8.67973747528884</v>
      </c>
      <c r="Q359" s="55" t="n">
        <f aca="false">T359*$H$5</f>
        <v>388.819749216301</v>
      </c>
      <c r="R359" s="56" t="n">
        <f aca="false">MAX(0,MIN(1,P359/100+$D$5))</f>
        <v>0.405419748628642</v>
      </c>
      <c r="S359" s="57" t="s">
        <v>123</v>
      </c>
      <c r="T359" s="55" t="n">
        <v>388.819749216301</v>
      </c>
    </row>
    <row r="360" customFormat="false" ht="15" hidden="false" customHeight="false" outlineLevel="0" collapsed="false">
      <c r="A360" s="21" t="s">
        <v>377</v>
      </c>
      <c r="B360" s="21" t="s">
        <v>534</v>
      </c>
      <c r="C360" s="21" t="s">
        <v>535</v>
      </c>
      <c r="D360" s="37" t="n">
        <f aca="false">ROUND(Q360*R360,0)</f>
        <v>264</v>
      </c>
      <c r="E360" s="37" t="n">
        <f aca="false">ROUND(Q360,0)-D360</f>
        <v>338</v>
      </c>
      <c r="F360" s="37" t="n">
        <f aca="false">IF(COUNTA(D360:E360)=0,"",SUM(D360:E360))</f>
        <v>602</v>
      </c>
      <c r="G360" s="52" t="n">
        <f aca="false">IF(OR(F360="",F360=0),"",D360/F360)</f>
        <v>0.438538205980066</v>
      </c>
      <c r="H360" s="52" t="n">
        <f aca="false">IF(OR(F360="",F360=0),"",E360/F360)</f>
        <v>0.561461794019934</v>
      </c>
      <c r="I360" s="21" t="s">
        <v>122</v>
      </c>
      <c r="J360" s="53" t="n">
        <v>3.15466234357281</v>
      </c>
      <c r="K360" s="52" t="n">
        <f aca="false">IF(G360="","",MAX(0,G360-J360/100))</f>
        <v>0.406991582544338</v>
      </c>
      <c r="L360" s="52" t="n">
        <f aca="false">IF(G360="","",MIN(1,G360+J360/100))</f>
        <v>0.470084829415795</v>
      </c>
      <c r="M360" s="37" t="n">
        <f aca="false">IF(F360="","",ROUND(F360*J360/100,0))</f>
        <v>19</v>
      </c>
      <c r="P360" s="54" t="n">
        <v>-5.40510861606519</v>
      </c>
      <c r="Q360" s="55" t="n">
        <f aca="false">T360*$H$5</f>
        <v>602.07868852459</v>
      </c>
      <c r="R360" s="56" t="n">
        <f aca="false">MAX(0,MIN(1,P360/100+$D$5))</f>
        <v>0.438166037220879</v>
      </c>
      <c r="S360" s="57" t="s">
        <v>123</v>
      </c>
      <c r="T360" s="55" t="n">
        <v>602.07868852459</v>
      </c>
    </row>
    <row r="361" customFormat="false" ht="15" hidden="false" customHeight="false" outlineLevel="0" collapsed="false">
      <c r="A361" s="21" t="s">
        <v>377</v>
      </c>
      <c r="B361" s="21" t="s">
        <v>536</v>
      </c>
      <c r="C361" s="21" t="s">
        <v>537</v>
      </c>
      <c r="D361" s="37" t="n">
        <f aca="false">ROUND(Q361*R361,0)</f>
        <v>239</v>
      </c>
      <c r="E361" s="37" t="n">
        <f aca="false">ROUND(Q361,0)-D361</f>
        <v>575</v>
      </c>
      <c r="F361" s="37" t="n">
        <f aca="false">IF(COUNTA(D361:E361)=0,"",SUM(D361:E361))</f>
        <v>814</v>
      </c>
      <c r="G361" s="52" t="n">
        <f aca="false">IF(OR(F361="",F361=0),"",D361/F361)</f>
        <v>0.293611793611794</v>
      </c>
      <c r="H361" s="52" t="n">
        <f aca="false">IF(OR(F361="",F361=0),"",E361/F361)</f>
        <v>0.706388206388206</v>
      </c>
      <c r="I361" s="21" t="s">
        <v>122</v>
      </c>
      <c r="J361" s="53" t="n">
        <v>1.88510957763259</v>
      </c>
      <c r="K361" s="52" t="n">
        <f aca="false">IF(G361="","",MAX(0,G361-J361/100))</f>
        <v>0.274760697835468</v>
      </c>
      <c r="L361" s="52" t="n">
        <f aca="false">IF(G361="","",MIN(1,G361+J361/100))</f>
        <v>0.31246288938812</v>
      </c>
      <c r="M361" s="37" t="n">
        <f aca="false">IF(F361="","",ROUND(F361*J361/100,0))</f>
        <v>15</v>
      </c>
      <c r="P361" s="54" t="n">
        <v>-19.9079943633853</v>
      </c>
      <c r="Q361" s="55" t="n">
        <f aca="false">T361*$H$5</f>
        <v>814.349042709867</v>
      </c>
      <c r="R361" s="56" t="n">
        <f aca="false">MAX(0,MIN(1,P361/100+$D$5))</f>
        <v>0.293137179747678</v>
      </c>
      <c r="S361" s="57" t="s">
        <v>132</v>
      </c>
      <c r="T361" s="55" t="n">
        <v>814.349042709867</v>
      </c>
    </row>
    <row r="362" customFormat="false" ht="15" hidden="false" customHeight="false" outlineLevel="0" collapsed="false">
      <c r="A362" s="21" t="s">
        <v>377</v>
      </c>
      <c r="B362" s="21" t="s">
        <v>536</v>
      </c>
      <c r="C362" s="21" t="s">
        <v>538</v>
      </c>
      <c r="D362" s="37" t="n">
        <f aca="false">ROUND(Q362*R362,0)</f>
        <v>202</v>
      </c>
      <c r="E362" s="37" t="n">
        <f aca="false">ROUND(Q362,0)-D362</f>
        <v>415</v>
      </c>
      <c r="F362" s="37" t="n">
        <f aca="false">IF(COUNTA(D362:E362)=0,"",SUM(D362:E362))</f>
        <v>617</v>
      </c>
      <c r="G362" s="52" t="n">
        <f aca="false">IF(OR(F362="",F362=0),"",D362/F362)</f>
        <v>0.327390599675851</v>
      </c>
      <c r="H362" s="52" t="n">
        <f aca="false">IF(OR(F362="",F362=0),"",E362/F362)</f>
        <v>0.672609400324149</v>
      </c>
      <c r="I362" s="21" t="s">
        <v>122</v>
      </c>
      <c r="J362" s="53" t="n">
        <v>3.15466234357281</v>
      </c>
      <c r="K362" s="52" t="n">
        <f aca="false">IF(G362="","",MAX(0,G362-J362/100))</f>
        <v>0.295843976240123</v>
      </c>
      <c r="L362" s="52" t="n">
        <f aca="false">IF(G362="","",MIN(1,G362+J362/100))</f>
        <v>0.358937223111579</v>
      </c>
      <c r="M362" s="37" t="n">
        <f aca="false">IF(F362="","",ROUND(F362*J362/100,0))</f>
        <v>19</v>
      </c>
      <c r="P362" s="54" t="n">
        <v>-16.5747521637767</v>
      </c>
      <c r="Q362" s="55" t="n">
        <f aca="false">T362*$H$5</f>
        <v>617.366628830874</v>
      </c>
      <c r="R362" s="56" t="n">
        <f aca="false">MAX(0,MIN(1,P362/100+$D$5))</f>
        <v>0.326469601743764</v>
      </c>
      <c r="S362" s="57" t="s">
        <v>123</v>
      </c>
      <c r="T362" s="55" t="n">
        <v>617.366628830874</v>
      </c>
    </row>
    <row r="363" customFormat="false" ht="15" hidden="false" customHeight="false" outlineLevel="0" collapsed="false">
      <c r="A363" s="21" t="s">
        <v>377</v>
      </c>
      <c r="B363" s="21" t="s">
        <v>536</v>
      </c>
      <c r="C363" s="21" t="s">
        <v>539</v>
      </c>
      <c r="D363" s="37" t="n">
        <f aca="false">ROUND(Q363*R363,0)</f>
        <v>150</v>
      </c>
      <c r="E363" s="37" t="n">
        <f aca="false">ROUND(Q363,0)-D363</f>
        <v>378</v>
      </c>
      <c r="F363" s="37" t="n">
        <f aca="false">IF(COUNTA(D363:E363)=0,"",SUM(D363:E363))</f>
        <v>528</v>
      </c>
      <c r="G363" s="52" t="n">
        <f aca="false">IF(OR(F363="",F363=0),"",D363/F363)</f>
        <v>0.284090909090909</v>
      </c>
      <c r="H363" s="52" t="n">
        <f aca="false">IF(OR(F363="",F363=0),"",E363/F363)</f>
        <v>0.715909090909091</v>
      </c>
      <c r="I363" s="21" t="s">
        <v>122</v>
      </c>
      <c r="J363" s="53" t="n">
        <v>3.15466234357281</v>
      </c>
      <c r="K363" s="52" t="n">
        <f aca="false">IF(G363="","",MAX(0,G363-J363/100))</f>
        <v>0.252544285655181</v>
      </c>
      <c r="L363" s="52" t="n">
        <f aca="false">IF(G363="","",MIN(1,G363+J363/100))</f>
        <v>0.315637532526637</v>
      </c>
      <c r="M363" s="37" t="n">
        <f aca="false">IF(F363="","",ROUND(F363*J363/100,0))</f>
        <v>17</v>
      </c>
      <c r="P363" s="54" t="n">
        <v>-20.7715193368906</v>
      </c>
      <c r="Q363" s="55" t="n">
        <f aca="false">T363*$H$5</f>
        <v>528.071059431524</v>
      </c>
      <c r="R363" s="56" t="n">
        <f aca="false">MAX(0,MIN(1,P363/100+$D$5))</f>
        <v>0.284501930012625</v>
      </c>
      <c r="S363" s="57" t="s">
        <v>123</v>
      </c>
      <c r="T363" s="55" t="n">
        <v>528.071059431524</v>
      </c>
    </row>
    <row r="364" customFormat="false" ht="15" hidden="false" customHeight="false" outlineLevel="0" collapsed="false">
      <c r="A364" s="21" t="s">
        <v>377</v>
      </c>
      <c r="B364" s="21" t="s">
        <v>536</v>
      </c>
      <c r="C364" s="21" t="s">
        <v>540</v>
      </c>
      <c r="D364" s="37" t="n">
        <f aca="false">ROUND(Q364*R364,0)</f>
        <v>137</v>
      </c>
      <c r="E364" s="37" t="n">
        <f aca="false">ROUND(Q364,0)-D364</f>
        <v>326</v>
      </c>
      <c r="F364" s="37" t="n">
        <f aca="false">IF(COUNTA(D364:E364)=0,"",SUM(D364:E364))</f>
        <v>463</v>
      </c>
      <c r="G364" s="52" t="n">
        <f aca="false">IF(OR(F364="",F364=0),"",D364/F364)</f>
        <v>0.295896328293737</v>
      </c>
      <c r="H364" s="52" t="n">
        <f aca="false">IF(OR(F364="",F364=0),"",E364/F364)</f>
        <v>0.704103671706264</v>
      </c>
      <c r="I364" s="21" t="s">
        <v>122</v>
      </c>
      <c r="J364" s="53" t="n">
        <v>3.15466234357281</v>
      </c>
      <c r="K364" s="52" t="n">
        <f aca="false">IF(G364="","",MAX(0,G364-J364/100))</f>
        <v>0.264349704858008</v>
      </c>
      <c r="L364" s="52" t="n">
        <f aca="false">IF(G364="","",MIN(1,G364+J364/100))</f>
        <v>0.327442951729465</v>
      </c>
      <c r="M364" s="37" t="n">
        <f aca="false">IF(F364="","",ROUND(F364*J364/100,0))</f>
        <v>15</v>
      </c>
      <c r="P364" s="54" t="n">
        <v>-19.5615009012633</v>
      </c>
      <c r="Q364" s="55" t="n">
        <f aca="false">T364*$H$5</f>
        <v>463.140604467805</v>
      </c>
      <c r="R364" s="56" t="n">
        <f aca="false">MAX(0,MIN(1,P364/100+$D$5))</f>
        <v>0.296602114368897</v>
      </c>
      <c r="S364" s="57" t="s">
        <v>123</v>
      </c>
      <c r="T364" s="55" t="n">
        <v>463.140604467805</v>
      </c>
    </row>
    <row r="365" customFormat="false" ht="15" hidden="false" customHeight="false" outlineLevel="0" collapsed="false">
      <c r="A365" s="21" t="s">
        <v>377</v>
      </c>
      <c r="B365" s="21" t="s">
        <v>536</v>
      </c>
      <c r="C365" s="21" t="s">
        <v>541</v>
      </c>
      <c r="D365" s="37" t="n">
        <f aca="false">ROUND(Q365*R365,0)</f>
        <v>264</v>
      </c>
      <c r="E365" s="37" t="n">
        <f aca="false">ROUND(Q365,0)-D365</f>
        <v>462</v>
      </c>
      <c r="F365" s="37" t="n">
        <f aca="false">IF(COUNTA(D365:E365)=0,"",SUM(D365:E365))</f>
        <v>726</v>
      </c>
      <c r="G365" s="52" t="n">
        <f aca="false">IF(OR(F365="",F365=0),"",D365/F365)</f>
        <v>0.363636363636364</v>
      </c>
      <c r="H365" s="52" t="n">
        <f aca="false">IF(OR(F365="",F365=0),"",E365/F365)</f>
        <v>0.636363636363636</v>
      </c>
      <c r="I365" s="21" t="s">
        <v>122</v>
      </c>
      <c r="J365" s="53" t="n">
        <v>3.15466234357281</v>
      </c>
      <c r="K365" s="52" t="n">
        <f aca="false">IF(G365="","",MAX(0,G365-J365/100))</f>
        <v>0.332089740200636</v>
      </c>
      <c r="L365" s="52" t="n">
        <f aca="false">IF(G365="","",MIN(1,G365+J365/100))</f>
        <v>0.395182987072092</v>
      </c>
      <c r="M365" s="37" t="n">
        <f aca="false">IF(F365="","",ROUND(F365*J365/100,0))</f>
        <v>23</v>
      </c>
      <c r="P365" s="54" t="n">
        <v>-12.890817234814</v>
      </c>
      <c r="Q365" s="55" t="n">
        <f aca="false">T365*$H$5</f>
        <v>726.367947669665</v>
      </c>
      <c r="R365" s="56" t="n">
        <f aca="false">MAX(0,MIN(1,P365/100+$D$5))</f>
        <v>0.363308951033391</v>
      </c>
      <c r="S365" s="57" t="s">
        <v>123</v>
      </c>
      <c r="T365" s="55" t="n">
        <v>726.367947669665</v>
      </c>
    </row>
    <row r="366" customFormat="false" ht="15" hidden="false" customHeight="false" outlineLevel="0" collapsed="false">
      <c r="A366" s="21" t="s">
        <v>377</v>
      </c>
      <c r="B366" s="21" t="s">
        <v>542</v>
      </c>
      <c r="C366" s="21" t="s">
        <v>543</v>
      </c>
      <c r="D366" s="37" t="n">
        <f aca="false">ROUND(Q366*R366,0)</f>
        <v>624</v>
      </c>
      <c r="E366" s="37" t="n">
        <f aca="false">ROUND(Q366,0)-D366</f>
        <v>626</v>
      </c>
      <c r="F366" s="37" t="n">
        <f aca="false">IF(COUNTA(D366:E366)=0,"",SUM(D366:E366))</f>
        <v>1250</v>
      </c>
      <c r="G366" s="52" t="n">
        <f aca="false">IF(OR(F366="",F366=0),"",D366/F366)</f>
        <v>0.4992</v>
      </c>
      <c r="H366" s="52" t="n">
        <f aca="false">IF(OR(F366="",F366=0),"",E366/F366)</f>
        <v>0.5008</v>
      </c>
      <c r="I366" s="21" t="s">
        <v>122</v>
      </c>
      <c r="J366" s="53" t="n">
        <v>1.24424911322721</v>
      </c>
      <c r="K366" s="52" t="n">
        <f aca="false">IF(G366="","",MAX(0,G366-J366/100))</f>
        <v>0.486757508867728</v>
      </c>
      <c r="L366" s="52" t="n">
        <f aca="false">IF(G366="","",MIN(1,G366+J366/100))</f>
        <v>0.511642491132272</v>
      </c>
      <c r="M366" s="37" t="n">
        <f aca="false">IF(F366="","",ROUND(F366*J366/100,0))</f>
        <v>16</v>
      </c>
      <c r="P366" s="54" t="n">
        <v>0.691710345583946</v>
      </c>
      <c r="Q366" s="55" t="n">
        <f aca="false">T366*$H$5</f>
        <v>1250.41526045488</v>
      </c>
      <c r="R366" s="56" t="n">
        <f aca="false">MAX(0,MIN(1,P366/100+$D$5))</f>
        <v>0.49913422683737</v>
      </c>
      <c r="S366" s="57" t="s">
        <v>225</v>
      </c>
      <c r="T366" s="55" t="n">
        <v>1250.41526045488</v>
      </c>
    </row>
    <row r="367" customFormat="false" ht="15" hidden="false" customHeight="false" outlineLevel="0" collapsed="false">
      <c r="A367" s="21" t="s">
        <v>377</v>
      </c>
      <c r="B367" s="21" t="s">
        <v>542</v>
      </c>
      <c r="C367" s="21" t="s">
        <v>544</v>
      </c>
      <c r="D367" s="37" t="n">
        <f aca="false">ROUND(Q367*R367,0)</f>
        <v>276</v>
      </c>
      <c r="E367" s="37" t="n">
        <f aca="false">ROUND(Q367,0)-D367</f>
        <v>303</v>
      </c>
      <c r="F367" s="37" t="n">
        <f aca="false">IF(COUNTA(D367:E367)=0,"",SUM(D367:E367))</f>
        <v>579</v>
      </c>
      <c r="G367" s="52" t="n">
        <f aca="false">IF(OR(F367="",F367=0),"",D367/F367)</f>
        <v>0.476683937823834</v>
      </c>
      <c r="H367" s="52" t="n">
        <f aca="false">IF(OR(F367="",F367=0),"",E367/F367)</f>
        <v>0.523316062176166</v>
      </c>
      <c r="I367" s="21" t="s">
        <v>223</v>
      </c>
      <c r="J367" s="53" t="n">
        <v>3.15466234357281</v>
      </c>
      <c r="K367" s="52" t="n">
        <f aca="false">IF(G367="","",MAX(0,G367-J367/100))</f>
        <v>0.445137314388106</v>
      </c>
      <c r="L367" s="52" t="n">
        <f aca="false">IF(G367="","",MIN(1,G367+J367/100))</f>
        <v>0.508230561259562</v>
      </c>
      <c r="M367" s="37" t="n">
        <f aca="false">IF(F367="","",ROUND(F367*J367/100,0))</f>
        <v>18</v>
      </c>
      <c r="P367" s="54" t="n">
        <v>-1.50108055557639</v>
      </c>
      <c r="Q367" s="55" t="n">
        <f aca="false">T367*$H$5</f>
        <v>579.050076181952</v>
      </c>
      <c r="R367" s="56" t="n">
        <f aca="false">MAX(0,MIN(1,P367/100+$D$5))</f>
        <v>0.477206317825767</v>
      </c>
      <c r="S367" s="57" t="s">
        <v>123</v>
      </c>
      <c r="T367" s="55" t="n">
        <v>579.050076181952</v>
      </c>
    </row>
    <row r="368" customFormat="false" ht="15" hidden="false" customHeight="false" outlineLevel="0" collapsed="false">
      <c r="A368" s="21" t="s">
        <v>377</v>
      </c>
      <c r="B368" s="21" t="s">
        <v>542</v>
      </c>
      <c r="C368" s="21" t="s">
        <v>545</v>
      </c>
      <c r="D368" s="37" t="n">
        <f aca="false">ROUND(Q368*R368,0)</f>
        <v>502</v>
      </c>
      <c r="E368" s="37" t="n">
        <f aca="false">ROUND(Q368,0)-D368</f>
        <v>499</v>
      </c>
      <c r="F368" s="37" t="n">
        <f aca="false">IF(COUNTA(D368:E368)=0,"",SUM(D368:E368))</f>
        <v>1001</v>
      </c>
      <c r="G368" s="52" t="n">
        <f aca="false">IF(OR(F368="",F368=0),"",D368/F368)</f>
        <v>0.501498501498502</v>
      </c>
      <c r="H368" s="52" t="n">
        <f aca="false">IF(OR(F368="",F368=0),"",E368/F368)</f>
        <v>0.498501498501499</v>
      </c>
      <c r="I368" s="21" t="s">
        <v>122</v>
      </c>
      <c r="J368" s="53" t="n">
        <v>1.88510957763259</v>
      </c>
      <c r="K368" s="52" t="n">
        <f aca="false">IF(G368="","",MAX(0,G368-J368/100))</f>
        <v>0.482647405722176</v>
      </c>
      <c r="L368" s="52" t="n">
        <f aca="false">IF(G368="","",MIN(1,G368+J368/100))</f>
        <v>0.520349597274827</v>
      </c>
      <c r="M368" s="37" t="n">
        <f aca="false">IF(F368="","",ROUND(F368*J368/100,0))</f>
        <v>19</v>
      </c>
      <c r="P368" s="54" t="n">
        <v>0.892270906992711</v>
      </c>
      <c r="Q368" s="55" t="n">
        <f aca="false">T368*$H$5</f>
        <v>1000.79736842105</v>
      </c>
      <c r="R368" s="56" t="n">
        <f aca="false">MAX(0,MIN(1,P368/100+$D$5))</f>
        <v>0.501139832451458</v>
      </c>
      <c r="S368" s="57" t="s">
        <v>132</v>
      </c>
      <c r="T368" s="55" t="n">
        <v>1000.79736842105</v>
      </c>
    </row>
    <row r="369" customFormat="false" ht="15" hidden="false" customHeight="false" outlineLevel="0" collapsed="false">
      <c r="A369" s="21" t="s">
        <v>377</v>
      </c>
      <c r="B369" s="21" t="s">
        <v>542</v>
      </c>
      <c r="C369" s="21" t="s">
        <v>546</v>
      </c>
      <c r="D369" s="37" t="n">
        <f aca="false">ROUND(Q369*R369,0)</f>
        <v>210</v>
      </c>
      <c r="E369" s="37" t="n">
        <f aca="false">ROUND(Q369,0)-D369</f>
        <v>228</v>
      </c>
      <c r="F369" s="37" t="n">
        <f aca="false">IF(COUNTA(D369:E369)=0,"",SUM(D369:E369))</f>
        <v>438</v>
      </c>
      <c r="G369" s="52" t="n">
        <f aca="false">IF(OR(F369="",F369=0),"",D369/F369)</f>
        <v>0.479452054794521</v>
      </c>
      <c r="H369" s="52" t="n">
        <f aca="false">IF(OR(F369="",F369=0),"",E369/F369)</f>
        <v>0.520547945205479</v>
      </c>
      <c r="I369" s="21" t="s">
        <v>223</v>
      </c>
      <c r="J369" s="53" t="n">
        <v>3.15466234357281</v>
      </c>
      <c r="K369" s="52" t="n">
        <f aca="false">IF(G369="","",MAX(0,G369-J369/100))</f>
        <v>0.447905431358792</v>
      </c>
      <c r="L369" s="52" t="n">
        <f aca="false">IF(G369="","",MIN(1,G369+J369/100))</f>
        <v>0.510998678230249</v>
      </c>
      <c r="M369" s="37" t="n">
        <f aca="false">IF(F369="","",ROUND(F369*J369/100,0))</f>
        <v>14</v>
      </c>
      <c r="P369" s="54" t="n">
        <v>-1.36114475564936</v>
      </c>
      <c r="Q369" s="55" t="n">
        <f aca="false">T369*$H$5</f>
        <v>437.845048152704</v>
      </c>
      <c r="R369" s="56" t="n">
        <f aca="false">MAX(0,MIN(1,P369/100+$D$5))</f>
        <v>0.478605675825037</v>
      </c>
      <c r="S369" s="57" t="s">
        <v>123</v>
      </c>
      <c r="T369" s="55" t="n">
        <v>437.845048152704</v>
      </c>
    </row>
    <row r="370" customFormat="false" ht="15" hidden="false" customHeight="false" outlineLevel="0" collapsed="false">
      <c r="A370" s="21" t="s">
        <v>377</v>
      </c>
      <c r="B370" s="21" t="s">
        <v>547</v>
      </c>
      <c r="C370" s="21" t="s">
        <v>548</v>
      </c>
      <c r="D370" s="37" t="n">
        <f aca="false">ROUND(Q370*R370,0)</f>
        <v>302</v>
      </c>
      <c r="E370" s="37" t="n">
        <f aca="false">ROUND(Q370,0)-D370</f>
        <v>459</v>
      </c>
      <c r="F370" s="37" t="n">
        <f aca="false">IF(COUNTA(D370:E370)=0,"",SUM(D370:E370))</f>
        <v>761</v>
      </c>
      <c r="G370" s="52" t="n">
        <f aca="false">IF(OR(F370="",F370=0),"",D370/F370)</f>
        <v>0.396846254927727</v>
      </c>
      <c r="H370" s="52" t="n">
        <f aca="false">IF(OR(F370="",F370=0),"",E370/F370)</f>
        <v>0.603153745072273</v>
      </c>
      <c r="I370" s="21" t="s">
        <v>122</v>
      </c>
      <c r="J370" s="53" t="n">
        <v>3.15466234357281</v>
      </c>
      <c r="K370" s="52" t="n">
        <f aca="false">IF(G370="","",MAX(0,G370-J370/100))</f>
        <v>0.365299631491999</v>
      </c>
      <c r="L370" s="52" t="n">
        <f aca="false">IF(G370="","",MIN(1,G370+J370/100))</f>
        <v>0.428392878363455</v>
      </c>
      <c r="M370" s="37" t="n">
        <f aca="false">IF(F370="","",ROUND(F370*J370/100,0))</f>
        <v>24</v>
      </c>
      <c r="P370" s="54" t="n">
        <v>-9.60988231982651</v>
      </c>
      <c r="Q370" s="55" t="n">
        <f aca="false">T370*$H$5</f>
        <v>761.429837518464</v>
      </c>
      <c r="R370" s="56" t="n">
        <f aca="false">MAX(0,MIN(1,P370/100+$D$5))</f>
        <v>0.396118300183266</v>
      </c>
      <c r="S370" s="57" t="s">
        <v>123</v>
      </c>
      <c r="T370" s="55" t="n">
        <v>761.429837518464</v>
      </c>
    </row>
    <row r="371" customFormat="false" ht="15" hidden="false" customHeight="false" outlineLevel="0" collapsed="false">
      <c r="A371" s="21" t="s">
        <v>377</v>
      </c>
      <c r="B371" s="21" t="s">
        <v>352</v>
      </c>
      <c r="C371" s="21" t="s">
        <v>549</v>
      </c>
      <c r="D371" s="37" t="n">
        <f aca="false">ROUND(Q371*R371,0)</f>
        <v>421</v>
      </c>
      <c r="E371" s="37" t="n">
        <f aca="false">ROUND(Q371,0)-D371</f>
        <v>829</v>
      </c>
      <c r="F371" s="37" t="n">
        <f aca="false">IF(COUNTA(D371:E371)=0,"",SUM(D371:E371))</f>
        <v>1250</v>
      </c>
      <c r="G371" s="52" t="n">
        <f aca="false">IF(OR(F371="",F371=0),"",D371/F371)</f>
        <v>0.3368</v>
      </c>
      <c r="H371" s="52" t="n">
        <f aca="false">IF(OR(F371="",F371=0),"",E371/F371)</f>
        <v>0.6632</v>
      </c>
      <c r="I371" s="21" t="s">
        <v>122</v>
      </c>
      <c r="J371" s="53" t="n">
        <v>1.24424911322721</v>
      </c>
      <c r="K371" s="52" t="n">
        <f aca="false">IF(G371="","",MAX(0,G371-J371/100))</f>
        <v>0.324357508867728</v>
      </c>
      <c r="L371" s="52" t="n">
        <f aca="false">IF(G371="","",MIN(1,G371+J371/100))</f>
        <v>0.349242491132272</v>
      </c>
      <c r="M371" s="37" t="n">
        <f aca="false">IF(F371="","",ROUND(F371*J371/100,0))</f>
        <v>16</v>
      </c>
      <c r="P371" s="54" t="n">
        <v>-15.5549133329125</v>
      </c>
      <c r="Q371" s="55" t="n">
        <f aca="false">T371*$H$5</f>
        <v>1250.46090534979</v>
      </c>
      <c r="R371" s="56" t="n">
        <f aca="false">MAX(0,MIN(1,P371/100+$D$5))</f>
        <v>0.336667990052406</v>
      </c>
      <c r="S371" s="57" t="s">
        <v>225</v>
      </c>
      <c r="T371" s="55" t="n">
        <v>1250.46090534979</v>
      </c>
    </row>
    <row r="372" customFormat="false" ht="15" hidden="false" customHeight="false" outlineLevel="0" collapsed="false">
      <c r="A372" s="21" t="s">
        <v>377</v>
      </c>
      <c r="B372" s="21" t="s">
        <v>352</v>
      </c>
      <c r="C372" s="21" t="s">
        <v>550</v>
      </c>
      <c r="D372" s="37" t="n">
        <f aca="false">ROUND(Q372*R372,0)</f>
        <v>746</v>
      </c>
      <c r="E372" s="37" t="n">
        <f aca="false">ROUND(Q372,0)-D372</f>
        <v>1503</v>
      </c>
      <c r="F372" s="37" t="n">
        <f aca="false">IF(COUNTA(D372:E372)=0,"",SUM(D372:E372))</f>
        <v>2249</v>
      </c>
      <c r="G372" s="52" t="n">
        <f aca="false">IF(OR(F372="",F372=0),"",D372/F372)</f>
        <v>0.331702979101823</v>
      </c>
      <c r="H372" s="52" t="n">
        <f aca="false">IF(OR(F372="",F372=0),"",E372/F372)</f>
        <v>0.668297020898177</v>
      </c>
      <c r="I372" s="21" t="s">
        <v>551</v>
      </c>
      <c r="J372" s="53" t="n">
        <v>1.24424911322721</v>
      </c>
      <c r="K372" s="52" t="n">
        <f aca="false">IF(G372="","",MAX(0,G372-J372/100))</f>
        <v>0.319260487969551</v>
      </c>
      <c r="L372" s="52" t="n">
        <f aca="false">IF(G372="","",MIN(1,G372+J372/100))</f>
        <v>0.344145470234095</v>
      </c>
      <c r="M372" s="37" t="n">
        <f aca="false">IF(F372="","",ROUND(F372*J372/100,0))</f>
        <v>28</v>
      </c>
      <c r="P372" s="54" t="n">
        <v>-16.0706400011571</v>
      </c>
      <c r="Q372" s="55" t="n">
        <f aca="false">T372*$H$5</f>
        <v>2249.34127837515</v>
      </c>
      <c r="R372" s="56" t="n">
        <f aca="false">MAX(0,MIN(1,P372/100+$D$5))</f>
        <v>0.331510723369959</v>
      </c>
      <c r="S372" s="57" t="s">
        <v>225</v>
      </c>
      <c r="T372" s="55" t="n">
        <v>2249.34127837515</v>
      </c>
    </row>
    <row r="373" customFormat="false" ht="15" hidden="false" customHeight="false" outlineLevel="0" collapsed="false">
      <c r="A373" s="21" t="s">
        <v>377</v>
      </c>
      <c r="B373" s="21" t="s">
        <v>552</v>
      </c>
      <c r="C373" s="21" t="s">
        <v>552</v>
      </c>
      <c r="D373" s="37" t="n">
        <f aca="false">ROUND(Q373*R373,0)</f>
        <v>217</v>
      </c>
      <c r="E373" s="37" t="n">
        <f aca="false">ROUND(Q373,0)-D373</f>
        <v>221</v>
      </c>
      <c r="F373" s="37" t="n">
        <f aca="false">IF(COUNTA(D373:E373)=0,"",SUM(D373:E373))</f>
        <v>438</v>
      </c>
      <c r="G373" s="52" t="n">
        <f aca="false">IF(OR(F373="",F373=0),"",D373/F373)</f>
        <v>0.495433789954338</v>
      </c>
      <c r="H373" s="52" t="n">
        <f aca="false">IF(OR(F373="",F373=0),"",E373/F373)</f>
        <v>0.504566210045662</v>
      </c>
      <c r="I373" s="21" t="s">
        <v>122</v>
      </c>
      <c r="J373" s="53" t="n">
        <v>3.15466234357281</v>
      </c>
      <c r="K373" s="52" t="n">
        <f aca="false">IF(G373="","",MAX(0,G373-J373/100))</f>
        <v>0.46388716651861</v>
      </c>
      <c r="L373" s="52" t="n">
        <f aca="false">IF(G373="","",MIN(1,G373+J373/100))</f>
        <v>0.526980413390066</v>
      </c>
      <c r="M373" s="37" t="n">
        <f aca="false">IF(F373="","",ROUND(F373*J373/100,0))</f>
        <v>14</v>
      </c>
      <c r="P373" s="54" t="n">
        <v>0.245225945516242</v>
      </c>
      <c r="Q373" s="55" t="n">
        <f aca="false">T373*$H$5</f>
        <v>438.29213483146</v>
      </c>
      <c r="R373" s="56" t="n">
        <f aca="false">MAX(0,MIN(1,P373/100+$D$5))</f>
        <v>0.494669382836693</v>
      </c>
      <c r="S373" s="57" t="s">
        <v>123</v>
      </c>
      <c r="T373" s="55" t="n">
        <v>438.29213483146</v>
      </c>
    </row>
    <row r="374" customFormat="false" ht="15" hidden="false" customHeight="false" outlineLevel="0" collapsed="false">
      <c r="A374" s="21" t="s">
        <v>377</v>
      </c>
      <c r="B374" s="21" t="s">
        <v>553</v>
      </c>
      <c r="C374" s="21" t="s">
        <v>554</v>
      </c>
      <c r="D374" s="37" t="n">
        <f aca="false">ROUND(Q374*R374,0)</f>
        <v>431</v>
      </c>
      <c r="E374" s="37" t="n">
        <f aca="false">ROUND(Q374,0)-D374</f>
        <v>548</v>
      </c>
      <c r="F374" s="37" t="n">
        <f aca="false">IF(COUNTA(D374:E374)=0,"",SUM(D374:E374))</f>
        <v>979</v>
      </c>
      <c r="G374" s="52" t="n">
        <f aca="false">IF(OR(F374="",F374=0),"",D374/F374)</f>
        <v>0.440245148110317</v>
      </c>
      <c r="H374" s="52" t="n">
        <f aca="false">IF(OR(F374="",F374=0),"",E374/F374)</f>
        <v>0.559754851889683</v>
      </c>
      <c r="I374" s="21" t="s">
        <v>122</v>
      </c>
      <c r="J374" s="53" t="n">
        <v>1.88510957763259</v>
      </c>
      <c r="K374" s="52" t="n">
        <f aca="false">IF(G374="","",MAX(0,G374-J374/100))</f>
        <v>0.421394052333991</v>
      </c>
      <c r="L374" s="52" t="n">
        <f aca="false">IF(G374="","",MIN(1,G374+J374/100))</f>
        <v>0.459096243886643</v>
      </c>
      <c r="M374" s="37" t="n">
        <f aca="false">IF(F374="","",ROUND(F374*J374/100,0))</f>
        <v>18</v>
      </c>
      <c r="P374" s="54" t="n">
        <v>-5.17287234181889</v>
      </c>
      <c r="Q374" s="55" t="n">
        <f aca="false">T374*$H$5</f>
        <v>979.331514324693</v>
      </c>
      <c r="R374" s="56" t="n">
        <f aca="false">MAX(0,MIN(1,P374/100+$D$5))</f>
        <v>0.440488399963342</v>
      </c>
      <c r="S374" s="57" t="s">
        <v>132</v>
      </c>
      <c r="T374" s="55" t="n">
        <v>979.331514324693</v>
      </c>
    </row>
    <row r="375" customFormat="false" ht="15" hidden="false" customHeight="false" outlineLevel="0" collapsed="false">
      <c r="A375" s="21" t="s">
        <v>377</v>
      </c>
      <c r="B375" s="21" t="s">
        <v>553</v>
      </c>
      <c r="C375" s="21" t="s">
        <v>555</v>
      </c>
      <c r="D375" s="37" t="n">
        <f aca="false">ROUND(Q375*R375,0)</f>
        <v>372</v>
      </c>
      <c r="E375" s="37" t="n">
        <f aca="false">ROUND(Q375,0)-D375</f>
        <v>556</v>
      </c>
      <c r="F375" s="37" t="n">
        <f aca="false">IF(COUNTA(D375:E375)=0,"",SUM(D375:E375))</f>
        <v>928</v>
      </c>
      <c r="G375" s="52" t="n">
        <f aca="false">IF(OR(F375="",F375=0),"",D375/F375)</f>
        <v>0.400862068965517</v>
      </c>
      <c r="H375" s="52" t="n">
        <f aca="false">IF(OR(F375="",F375=0),"",E375/F375)</f>
        <v>0.599137931034483</v>
      </c>
      <c r="I375" s="21" t="s">
        <v>122</v>
      </c>
      <c r="J375" s="53" t="n">
        <v>1.88510957763259</v>
      </c>
      <c r="K375" s="52" t="n">
        <f aca="false">IF(G375="","",MAX(0,G375-J375/100))</f>
        <v>0.382010973189191</v>
      </c>
      <c r="L375" s="52" t="n">
        <f aca="false">IF(G375="","",MIN(1,G375+J375/100))</f>
        <v>0.419713164741843</v>
      </c>
      <c r="M375" s="37" t="n">
        <f aca="false">IF(F375="","",ROUND(F375*J375/100,0))</f>
        <v>17</v>
      </c>
      <c r="P375" s="54" t="n">
        <v>-9.1514608769512</v>
      </c>
      <c r="Q375" s="55" t="n">
        <f aca="false">T375*$H$5</f>
        <v>927.869774919614</v>
      </c>
      <c r="R375" s="56" t="n">
        <f aca="false">MAX(0,MIN(1,P375/100+$D$5))</f>
        <v>0.400702514612019</v>
      </c>
      <c r="S375" s="57" t="s">
        <v>132</v>
      </c>
      <c r="T375" s="55" t="n">
        <v>927.869774919614</v>
      </c>
    </row>
    <row r="376" customFormat="false" ht="15" hidden="false" customHeight="false" outlineLevel="0" collapsed="false">
      <c r="A376" s="21" t="s">
        <v>377</v>
      </c>
      <c r="B376" s="21" t="s">
        <v>553</v>
      </c>
      <c r="C376" s="21" t="s">
        <v>556</v>
      </c>
      <c r="D376" s="37" t="n">
        <f aca="false">ROUND(Q376*R376,0)</f>
        <v>445</v>
      </c>
      <c r="E376" s="37" t="n">
        <f aca="false">ROUND(Q376,0)-D376</f>
        <v>444</v>
      </c>
      <c r="F376" s="37" t="n">
        <f aca="false">IF(COUNTA(D376:E376)=0,"",SUM(D376:E376))</f>
        <v>889</v>
      </c>
      <c r="G376" s="52" t="n">
        <f aca="false">IF(OR(F376="",F376=0),"",D376/F376)</f>
        <v>0.500562429696288</v>
      </c>
      <c r="H376" s="52" t="n">
        <f aca="false">IF(OR(F376="",F376=0),"",E376/F376)</f>
        <v>0.499437570303712</v>
      </c>
      <c r="I376" s="21" t="s">
        <v>122</v>
      </c>
      <c r="J376" s="53" t="n">
        <v>1.88510957763259</v>
      </c>
      <c r="K376" s="52" t="n">
        <f aca="false">IF(G376="","",MAX(0,G376-J376/100))</f>
        <v>0.481711333919962</v>
      </c>
      <c r="L376" s="52" t="n">
        <f aca="false">IF(G376="","",MIN(1,G376+J376/100))</f>
        <v>0.519413525472614</v>
      </c>
      <c r="M376" s="37" t="n">
        <f aca="false">IF(F376="","",ROUND(F376*J376/100,0))</f>
        <v>17</v>
      </c>
      <c r="P376" s="54" t="n">
        <v>0.882175956323804</v>
      </c>
      <c r="Q376" s="55" t="n">
        <f aca="false">T376*$H$5</f>
        <v>888.564146620848</v>
      </c>
      <c r="R376" s="56" t="n">
        <f aca="false">MAX(0,MIN(1,P376/100+$D$5))</f>
        <v>0.501038882944769</v>
      </c>
      <c r="S376" s="57" t="s">
        <v>132</v>
      </c>
      <c r="T376" s="55" t="n">
        <v>888.564146620848</v>
      </c>
    </row>
    <row r="377" customFormat="false" ht="15" hidden="false" customHeight="false" outlineLevel="0" collapsed="false">
      <c r="A377" s="21" t="s">
        <v>377</v>
      </c>
      <c r="B377" s="21" t="s">
        <v>553</v>
      </c>
      <c r="C377" s="21" t="s">
        <v>557</v>
      </c>
      <c r="D377" s="37" t="n">
        <f aca="false">ROUND(Q377*R377,0)</f>
        <v>248</v>
      </c>
      <c r="E377" s="37" t="n">
        <f aca="false">ROUND(Q377,0)-D377</f>
        <v>333</v>
      </c>
      <c r="F377" s="37" t="n">
        <f aca="false">IF(COUNTA(D377:E377)=0,"",SUM(D377:E377))</f>
        <v>581</v>
      </c>
      <c r="G377" s="52" t="n">
        <f aca="false">IF(OR(F377="",F377=0),"",D377/F377)</f>
        <v>0.426850258175559</v>
      </c>
      <c r="H377" s="52" t="n">
        <f aca="false">IF(OR(F377="",F377=0),"",E377/F377)</f>
        <v>0.573149741824441</v>
      </c>
      <c r="I377" s="21" t="s">
        <v>122</v>
      </c>
      <c r="J377" s="53" t="n">
        <v>3.15466234357281</v>
      </c>
      <c r="K377" s="52" t="n">
        <f aca="false">IF(G377="","",MAX(0,G377-J377/100))</f>
        <v>0.395303634739831</v>
      </c>
      <c r="L377" s="52" t="n">
        <f aca="false">IF(G377="","",MIN(1,G377+J377/100))</f>
        <v>0.458396881611288</v>
      </c>
      <c r="M377" s="37" t="n">
        <f aca="false">IF(F377="","",ROUND(F377*J377/100,0))</f>
        <v>18</v>
      </c>
      <c r="P377" s="54" t="n">
        <v>-6.51568262416358</v>
      </c>
      <c r="Q377" s="55" t="n">
        <f aca="false">T377*$H$5</f>
        <v>580.714285714285</v>
      </c>
      <c r="R377" s="56" t="n">
        <f aca="false">MAX(0,MIN(1,P377/100+$D$5))</f>
        <v>0.427060297139895</v>
      </c>
      <c r="S377" s="57" t="s">
        <v>123</v>
      </c>
      <c r="T377" s="55" t="n">
        <v>580.714285714285</v>
      </c>
    </row>
    <row r="378" customFormat="false" ht="15" hidden="false" customHeight="false" outlineLevel="0" collapsed="false">
      <c r="A378" s="21" t="s">
        <v>377</v>
      </c>
      <c r="B378" s="21" t="s">
        <v>558</v>
      </c>
      <c r="C378" s="21" t="s">
        <v>559</v>
      </c>
      <c r="D378" s="37" t="n">
        <f aca="false">ROUND(Q378*R378,0)</f>
        <v>451</v>
      </c>
      <c r="E378" s="37" t="n">
        <f aca="false">ROUND(Q378,0)-D378</f>
        <v>314</v>
      </c>
      <c r="F378" s="37" t="n">
        <f aca="false">IF(COUNTA(D378:E378)=0,"",SUM(D378:E378))</f>
        <v>765</v>
      </c>
      <c r="G378" s="52" t="n">
        <f aca="false">IF(OR(F378="",F378=0),"",D378/F378)</f>
        <v>0.589542483660131</v>
      </c>
      <c r="H378" s="52" t="n">
        <f aca="false">IF(OR(F378="",F378=0),"",E378/F378)</f>
        <v>0.410457516339869</v>
      </c>
      <c r="I378" s="21" t="s">
        <v>122</v>
      </c>
      <c r="J378" s="53" t="n">
        <v>3.15466234357281</v>
      </c>
      <c r="K378" s="52" t="n">
        <f aca="false">IF(G378="","",MAX(0,G378-J378/100))</f>
        <v>0.557995860224403</v>
      </c>
      <c r="L378" s="52" t="n">
        <f aca="false">IF(G378="","",MIN(1,G378+J378/100))</f>
        <v>0.621089107095859</v>
      </c>
      <c r="M378" s="37" t="n">
        <f aca="false">IF(F378="","",ROUND(F378*J378/100,0))</f>
        <v>24</v>
      </c>
      <c r="P378" s="54" t="n">
        <v>9.71369445441981</v>
      </c>
      <c r="Q378" s="55" t="n">
        <f aca="false">T378*$H$5</f>
        <v>764.667071688943</v>
      </c>
      <c r="R378" s="56" t="n">
        <f aca="false">MAX(0,MIN(1,P378/100+$D$5))</f>
        <v>0.589354067925729</v>
      </c>
      <c r="S378" s="57" t="s">
        <v>123</v>
      </c>
      <c r="T378" s="55" t="n">
        <v>764.667071688943</v>
      </c>
    </row>
    <row r="379" customFormat="false" ht="15" hidden="false" customHeight="false" outlineLevel="0" collapsed="false">
      <c r="A379" s="21" t="s">
        <v>377</v>
      </c>
      <c r="B379" s="21" t="s">
        <v>558</v>
      </c>
      <c r="C379" s="21" t="s">
        <v>560</v>
      </c>
      <c r="D379" s="37" t="n">
        <f aca="false">ROUND(Q379*R379,0)</f>
        <v>353</v>
      </c>
      <c r="E379" s="37" t="n">
        <f aca="false">ROUND(Q379,0)-D379</f>
        <v>266</v>
      </c>
      <c r="F379" s="37" t="n">
        <f aca="false">IF(COUNTA(D379:E379)=0,"",SUM(D379:E379))</f>
        <v>619</v>
      </c>
      <c r="G379" s="52" t="n">
        <f aca="false">IF(OR(F379="",F379=0),"",D379/F379)</f>
        <v>0.570274636510501</v>
      </c>
      <c r="H379" s="52" t="n">
        <f aca="false">IF(OR(F379="",F379=0),"",E379/F379)</f>
        <v>0.429725363489499</v>
      </c>
      <c r="I379" s="21" t="s">
        <v>122</v>
      </c>
      <c r="J379" s="53" t="n">
        <v>3.15466234357281</v>
      </c>
      <c r="K379" s="52" t="n">
        <f aca="false">IF(G379="","",MAX(0,G379-J379/100))</f>
        <v>0.538728013074773</v>
      </c>
      <c r="L379" s="52" t="n">
        <f aca="false">IF(G379="","",MIN(1,G379+J379/100))</f>
        <v>0.601821259946229</v>
      </c>
      <c r="M379" s="37" t="n">
        <f aca="false">IF(F379="","",ROUND(F379*J379/100,0))</f>
        <v>20</v>
      </c>
      <c r="P379" s="54" t="n">
        <v>7.84308065896004</v>
      </c>
      <c r="Q379" s="55" t="n">
        <f aca="false">T379*$H$5</f>
        <v>619.017871017871</v>
      </c>
      <c r="R379" s="56" t="n">
        <f aca="false">MAX(0,MIN(1,P379/100+$D$5))</f>
        <v>0.570647929971131</v>
      </c>
      <c r="S379" s="57" t="s">
        <v>123</v>
      </c>
      <c r="T379" s="55" t="n">
        <v>619.017871017871</v>
      </c>
    </row>
    <row r="380" customFormat="false" ht="15" hidden="false" customHeight="false" outlineLevel="0" collapsed="false">
      <c r="A380" s="21" t="s">
        <v>377</v>
      </c>
      <c r="B380" s="21" t="s">
        <v>558</v>
      </c>
      <c r="C380" s="21" t="s">
        <v>561</v>
      </c>
      <c r="D380" s="37" t="n">
        <f aca="false">ROUND(Q380*R380,0)</f>
        <v>530</v>
      </c>
      <c r="E380" s="37" t="n">
        <f aca="false">ROUND(Q380,0)-D380</f>
        <v>436</v>
      </c>
      <c r="F380" s="37" t="n">
        <f aca="false">IF(COUNTA(D380:E380)=0,"",SUM(D380:E380))</f>
        <v>966</v>
      </c>
      <c r="G380" s="52" t="n">
        <f aca="false">IF(OR(F380="",F380=0),"",D380/F380)</f>
        <v>0.548654244306418</v>
      </c>
      <c r="H380" s="52" t="n">
        <f aca="false">IF(OR(F380="",F380=0),"",E380/F380)</f>
        <v>0.451345755693582</v>
      </c>
      <c r="I380" s="21" t="s">
        <v>122</v>
      </c>
      <c r="J380" s="53" t="n">
        <v>1.88510957763259</v>
      </c>
      <c r="K380" s="52" t="n">
        <f aca="false">IF(G380="","",MAX(0,G380-J380/100))</f>
        <v>0.529803148530092</v>
      </c>
      <c r="L380" s="52" t="n">
        <f aca="false">IF(G380="","",MIN(1,G380+J380/100))</f>
        <v>0.567505340082744</v>
      </c>
      <c r="M380" s="37" t="n">
        <f aca="false">IF(F380="","",ROUND(F380*J380/100,0))</f>
        <v>18</v>
      </c>
      <c r="P380" s="54" t="n">
        <v>5.60166279965323</v>
      </c>
      <c r="Q380" s="55" t="n">
        <f aca="false">T380*$H$5</f>
        <v>966.474176094441</v>
      </c>
      <c r="R380" s="56" t="n">
        <f aca="false">MAX(0,MIN(1,P380/100+$D$5))</f>
        <v>0.548233751378063</v>
      </c>
      <c r="S380" s="57" t="s">
        <v>132</v>
      </c>
      <c r="T380" s="55" t="n">
        <v>966.474176094441</v>
      </c>
    </row>
    <row r="381" customFormat="false" ht="15" hidden="false" customHeight="false" outlineLevel="0" collapsed="false">
      <c r="A381" s="21" t="s">
        <v>377</v>
      </c>
      <c r="B381" s="21" t="s">
        <v>562</v>
      </c>
      <c r="C381" s="21" t="s">
        <v>562</v>
      </c>
      <c r="D381" s="37" t="n">
        <f aca="false">ROUND(Q381*R381,0)</f>
        <v>507</v>
      </c>
      <c r="E381" s="37" t="n">
        <f aca="false">ROUND(Q381,0)-D381</f>
        <v>638</v>
      </c>
      <c r="F381" s="37" t="n">
        <f aca="false">IF(COUNTA(D381:E381)=0,"",SUM(D381:E381))</f>
        <v>1145</v>
      </c>
      <c r="G381" s="52" t="n">
        <f aca="false">IF(OR(F381="",F381=0),"",D381/F381)</f>
        <v>0.442794759825328</v>
      </c>
      <c r="H381" s="52" t="n">
        <f aca="false">IF(OR(F381="",F381=0),"",E381/F381)</f>
        <v>0.557205240174672</v>
      </c>
      <c r="I381" s="21" t="s">
        <v>122</v>
      </c>
      <c r="J381" s="53" t="n">
        <v>1.88510957763259</v>
      </c>
      <c r="K381" s="52" t="n">
        <f aca="false">IF(G381="","",MAX(0,G381-J381/100))</f>
        <v>0.423943664049002</v>
      </c>
      <c r="L381" s="52" t="n">
        <f aca="false">IF(G381="","",MIN(1,G381+J381/100))</f>
        <v>0.461645855601653</v>
      </c>
      <c r="M381" s="37" t="n">
        <f aca="false">IF(F381="","",ROUND(F381*J381/100,0))</f>
        <v>22</v>
      </c>
      <c r="P381" s="54" t="n">
        <v>-4.9390022935437</v>
      </c>
      <c r="Q381" s="55" t="n">
        <f aca="false">T381*$H$5</f>
        <v>1145.48062775871</v>
      </c>
      <c r="R381" s="56" t="n">
        <f aca="false">MAX(0,MIN(1,P381/100+$D$5))</f>
        <v>0.442827100446094</v>
      </c>
      <c r="S381" s="57" t="s">
        <v>132</v>
      </c>
      <c r="T381" s="55" t="n">
        <v>1145.48062775871</v>
      </c>
    </row>
  </sheetData>
  <mergeCells count="4">
    <mergeCell ref="A3:I3"/>
    <mergeCell ref="A6:M6"/>
    <mergeCell ref="A9:M9"/>
    <mergeCell ref="A10:M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567</v>
      </c>
    </row>
    <row r="3" customFormat="false" ht="15" hidden="false" customHeight="false" outlineLevel="0" collapsed="false">
      <c r="A3" s="5" t="s">
        <v>568</v>
      </c>
    </row>
    <row r="4" customFormat="false" ht="33.75" hidden="false" customHeight="true" outlineLevel="0" collapsed="false">
      <c r="A4" s="20" t="s">
        <v>569</v>
      </c>
      <c r="B4" s="20"/>
      <c r="C4" s="20"/>
      <c r="D4" s="20"/>
      <c r="E4" s="20"/>
      <c r="F4" s="20"/>
      <c r="G4" s="20"/>
      <c r="H4" s="20"/>
    </row>
    <row r="5" customFormat="false" ht="15" hidden="false" customHeight="false" outlineLevel="0" collapsed="false">
      <c r="A5" s="5" t="s">
        <v>570</v>
      </c>
    </row>
    <row r="6" customFormat="false" ht="33.75" hidden="false" customHeight="true" outlineLevel="0" collapsed="false">
      <c r="A6" s="20" t="s">
        <v>571</v>
      </c>
      <c r="B6" s="20"/>
      <c r="C6" s="20"/>
      <c r="D6" s="20"/>
      <c r="E6" s="20"/>
      <c r="F6" s="20"/>
      <c r="G6" s="20"/>
      <c r="H6" s="20"/>
    </row>
    <row r="7" customFormat="false" ht="15" hidden="false" customHeight="false" outlineLevel="0" collapsed="false">
      <c r="A7" s="5" t="s">
        <v>572</v>
      </c>
    </row>
    <row r="8" customFormat="false" ht="33.75" hidden="false" customHeight="true" outlineLevel="0" collapsed="false">
      <c r="A8" s="20" t="s">
        <v>573</v>
      </c>
      <c r="B8" s="20"/>
      <c r="C8" s="20"/>
      <c r="D8" s="20"/>
      <c r="E8" s="20"/>
      <c r="F8" s="20"/>
      <c r="G8" s="20"/>
      <c r="H8" s="20"/>
    </row>
    <row r="9" customFormat="false" ht="15" hidden="false" customHeight="false" outlineLevel="0" collapsed="false">
      <c r="A9" s="5" t="s">
        <v>574</v>
      </c>
    </row>
    <row r="10" customFormat="false" ht="33.75" hidden="false" customHeight="true" outlineLevel="0" collapsed="false">
      <c r="A10" s="20" t="s">
        <v>575</v>
      </c>
      <c r="B10" s="20"/>
      <c r="C10" s="20"/>
      <c r="D10" s="20"/>
      <c r="E10" s="20"/>
      <c r="F10" s="20"/>
      <c r="G10" s="20"/>
      <c r="H10" s="20"/>
    </row>
    <row r="11" customFormat="false" ht="15" hidden="false" customHeight="false" outlineLevel="0" collapsed="false">
      <c r="A11" s="5" t="s">
        <v>576</v>
      </c>
    </row>
    <row r="12" customFormat="false" ht="33.75" hidden="false" customHeight="true" outlineLevel="0" collapsed="false">
      <c r="A12" s="20" t="s">
        <v>577</v>
      </c>
      <c r="B12" s="20"/>
      <c r="C12" s="20"/>
      <c r="D12" s="20"/>
      <c r="E12" s="20"/>
      <c r="F12" s="20"/>
      <c r="G12" s="20"/>
      <c r="H12" s="20"/>
    </row>
    <row r="14" customFormat="false" ht="15" hidden="false" customHeight="false" outlineLevel="0" collapsed="false">
      <c r="A14" s="4" t="s">
        <v>578</v>
      </c>
      <c r="B14" s="4"/>
      <c r="C14" s="4"/>
      <c r="D14" s="4"/>
      <c r="E14" s="4"/>
      <c r="F14" s="4"/>
      <c r="G14" s="4"/>
      <c r="H14" s="4"/>
    </row>
    <row r="15" customFormat="false" ht="31.5" hidden="false" customHeight="true" outlineLevel="0" collapsed="false">
      <c r="A15" s="8" t="s">
        <v>579</v>
      </c>
      <c r="B15" s="8" t="s">
        <v>48</v>
      </c>
      <c r="C15" s="8" t="s">
        <v>51</v>
      </c>
      <c r="D15" s="8" t="s">
        <v>52</v>
      </c>
      <c r="E15" s="8" t="s">
        <v>580</v>
      </c>
    </row>
    <row r="16" customFormat="false" ht="15" hidden="false" customHeight="false" outlineLevel="0" collapsed="false">
      <c r="A16" s="33" t="s">
        <v>581</v>
      </c>
      <c r="B16" s="10" t="n">
        <v>0.00377968378734202</v>
      </c>
      <c r="C16" s="10" t="n">
        <v>0</v>
      </c>
      <c r="D16" s="10" t="n">
        <v>0.00367474575682961</v>
      </c>
      <c r="E16" s="58" t="n">
        <v>1</v>
      </c>
    </row>
    <row r="17" customFormat="false" ht="15" hidden="false" customHeight="false" outlineLevel="0" collapsed="false">
      <c r="A17" s="33" t="s">
        <v>582</v>
      </c>
      <c r="B17" s="10" t="n">
        <v>0.0187629293796772</v>
      </c>
      <c r="C17" s="10" t="n">
        <v>0</v>
      </c>
      <c r="D17" s="10" t="n">
        <v>0.0182420009193809</v>
      </c>
      <c r="E17" s="58" t="n">
        <v>1</v>
      </c>
    </row>
    <row r="18" customFormat="false" ht="15" hidden="false" customHeight="false" outlineLevel="0" collapsed="false">
      <c r="A18" s="33" t="s">
        <v>583</v>
      </c>
      <c r="B18" s="10" t="n">
        <v>0.734218846779824</v>
      </c>
      <c r="C18" s="10" t="n">
        <v>0.680913214233075</v>
      </c>
      <c r="D18" s="10" t="n">
        <v>0.77198837140388</v>
      </c>
      <c r="E18" s="58" t="n">
        <v>1.08146732138672</v>
      </c>
    </row>
    <row r="19" customFormat="false" ht="15" hidden="false" customHeight="false" outlineLevel="0" collapsed="false">
      <c r="A19" s="33" t="s">
        <v>584</v>
      </c>
      <c r="B19" s="10" t="n">
        <v>0.243238540053157</v>
      </c>
      <c r="C19" s="10" t="n">
        <v>0.319086785766925</v>
      </c>
      <c r="D19" s="10" t="n">
        <v>0.206094881919909</v>
      </c>
      <c r="E19" s="58" t="n">
        <v>0.871491166520102</v>
      </c>
    </row>
    <row r="20" customFormat="false" ht="15" hidden="false" customHeight="false" outlineLevel="0" collapsed="false">
      <c r="A20" s="3" t="s">
        <v>585</v>
      </c>
    </row>
    <row r="22" customFormat="false" ht="15" hidden="false" customHeight="false" outlineLevel="0" collapsed="false">
      <c r="A22" s="4" t="s">
        <v>586</v>
      </c>
      <c r="B22" s="4"/>
      <c r="C22" s="4"/>
      <c r="D22" s="4"/>
      <c r="E22" s="4"/>
      <c r="F22" s="4"/>
      <c r="G22" s="4"/>
      <c r="H22" s="4"/>
    </row>
    <row r="23" customFormat="false" ht="31.5" hidden="false" customHeight="true" outlineLevel="0" collapsed="false">
      <c r="A23" s="8" t="s">
        <v>587</v>
      </c>
      <c r="B23" s="8" t="s">
        <v>48</v>
      </c>
      <c r="C23" s="8" t="s">
        <v>588</v>
      </c>
      <c r="D23" s="8" t="s">
        <v>51</v>
      </c>
      <c r="E23" s="8" t="s">
        <v>588</v>
      </c>
      <c r="F23" s="8" t="s">
        <v>52</v>
      </c>
      <c r="G23" s="8" t="s">
        <v>588</v>
      </c>
    </row>
    <row r="24" customFormat="false" ht="15" hidden="false" customHeight="false" outlineLevel="0" collapsed="false">
      <c r="A24" s="9" t="n">
        <v>1</v>
      </c>
      <c r="B24" s="9" t="s">
        <v>589</v>
      </c>
      <c r="C24" s="10" t="n">
        <v>0.278624824739234</v>
      </c>
      <c r="D24" s="9" t="s">
        <v>589</v>
      </c>
      <c r="E24" s="10" t="n">
        <v>0.175203605147654</v>
      </c>
      <c r="F24" s="9" t="s">
        <v>589</v>
      </c>
      <c r="G24" s="10" t="n">
        <v>0.292957781765626</v>
      </c>
    </row>
    <row r="25" customFormat="false" ht="15" hidden="false" customHeight="false" outlineLevel="0" collapsed="false">
      <c r="A25" s="9" t="n">
        <v>2</v>
      </c>
      <c r="B25" s="9" t="s">
        <v>590</v>
      </c>
      <c r="C25" s="10" t="n">
        <v>0.193345255846553</v>
      </c>
      <c r="D25" s="9" t="s">
        <v>591</v>
      </c>
      <c r="E25" s="10" t="n">
        <v>0.169459707943138</v>
      </c>
      <c r="F25" s="9" t="s">
        <v>590</v>
      </c>
      <c r="G25" s="10" t="n">
        <v>0.203291280024043</v>
      </c>
    </row>
    <row r="26" customFormat="false" ht="15" hidden="false" customHeight="false" outlineLevel="0" collapsed="false">
      <c r="A26" s="9" t="n">
        <v>3</v>
      </c>
      <c r="B26" s="9" t="s">
        <v>592</v>
      </c>
      <c r="C26" s="10" t="n">
        <v>0.130404759582085</v>
      </c>
      <c r="D26" s="9" t="s">
        <v>590</v>
      </c>
      <c r="E26" s="10" t="n">
        <v>0.168925699398545</v>
      </c>
      <c r="F26" s="9" t="s">
        <v>592</v>
      </c>
      <c r="G26" s="10" t="n">
        <v>0.137113012577403</v>
      </c>
    </row>
    <row r="27" customFormat="false" ht="15" hidden="false" customHeight="false" outlineLevel="0" collapsed="false">
      <c r="A27" s="9" t="n">
        <v>4</v>
      </c>
      <c r="B27" s="9" t="s">
        <v>593</v>
      </c>
      <c r="C27" s="10" t="n">
        <v>0.112732402309568</v>
      </c>
      <c r="D27" s="9" t="s">
        <v>592</v>
      </c>
      <c r="E27" s="10" t="n">
        <v>0.167324201743738</v>
      </c>
      <c r="F27" s="9" t="s">
        <v>593</v>
      </c>
      <c r="G27" s="10" t="n">
        <v>0.0955176393406269</v>
      </c>
    </row>
    <row r="28" customFormat="false" ht="15" hidden="false" customHeight="false" outlineLevel="0" collapsed="false">
      <c r="A28" s="9" t="n">
        <v>5</v>
      </c>
      <c r="B28" s="9" t="s">
        <v>591</v>
      </c>
      <c r="C28" s="10" t="n">
        <v>0.0804637537153863</v>
      </c>
      <c r="D28" s="9" t="s">
        <v>593</v>
      </c>
      <c r="E28" s="10" t="n">
        <v>0.163562762941772</v>
      </c>
      <c r="F28" s="9" t="s">
        <v>591</v>
      </c>
      <c r="G28" s="10" t="n">
        <v>0.0846029524578678</v>
      </c>
    </row>
    <row r="29" customFormat="false" ht="15" hidden="false" customHeight="false" outlineLevel="0" collapsed="false">
      <c r="A29" s="9" t="n">
        <v>6</v>
      </c>
      <c r="B29" s="9" t="s">
        <v>594</v>
      </c>
      <c r="C29" s="10" t="n">
        <v>0.0766368757237365</v>
      </c>
      <c r="D29" s="9" t="s">
        <v>594</v>
      </c>
      <c r="E29" s="10" t="n">
        <v>0.155524022825153</v>
      </c>
      <c r="F29" s="9" t="s">
        <v>594</v>
      </c>
      <c r="G29" s="10" t="n">
        <v>0.0649340678066171</v>
      </c>
    </row>
    <row r="30" customFormat="false" ht="15" hidden="false" customHeight="false" outlineLevel="0" collapsed="false">
      <c r="A30" s="9" t="n">
        <v>7</v>
      </c>
      <c r="B30" s="9" t="s">
        <v>595</v>
      </c>
      <c r="C30" s="10" t="n">
        <v>0.0208656994775372</v>
      </c>
      <c r="D30" s="9"/>
      <c r="E30" s="9"/>
      <c r="F30" s="9" t="s">
        <v>595</v>
      </c>
      <c r="G30" s="10" t="n">
        <v>0.0176794099695696</v>
      </c>
    </row>
    <row r="31" customFormat="false" ht="15" hidden="false" customHeight="false" outlineLevel="0" collapsed="false">
      <c r="A31" s="9" t="n">
        <v>8</v>
      </c>
      <c r="B31" s="9" t="s">
        <v>596</v>
      </c>
      <c r="C31" s="10" t="n">
        <v>0.0163281994048825</v>
      </c>
      <c r="D31" s="9"/>
      <c r="E31" s="9"/>
      <c r="F31" s="9" t="s">
        <v>596</v>
      </c>
      <c r="G31" s="10" t="n">
        <v>0.0171681510517164</v>
      </c>
    </row>
    <row r="32" customFormat="false" ht="15" hidden="false" customHeight="false" outlineLevel="0" collapsed="false">
      <c r="A32" s="9" t="n">
        <v>9</v>
      </c>
      <c r="B32" s="9" t="s">
        <v>597</v>
      </c>
      <c r="C32" s="10" t="n">
        <v>0.0141962962439318</v>
      </c>
      <c r="D32" s="9"/>
      <c r="E32" s="9"/>
      <c r="F32" s="9" t="s">
        <v>597</v>
      </c>
      <c r="G32" s="10" t="n">
        <v>0.0138021544447162</v>
      </c>
    </row>
    <row r="33" customFormat="false" ht="15" hidden="false" customHeight="false" outlineLevel="0" collapsed="false">
      <c r="A33" s="9" t="n">
        <v>10</v>
      </c>
      <c r="B33" s="9" t="s">
        <v>598</v>
      </c>
      <c r="C33" s="10" t="n">
        <v>0.0109269339722924</v>
      </c>
      <c r="D33" s="9"/>
      <c r="E33" s="9"/>
      <c r="F33" s="9" t="s">
        <v>598</v>
      </c>
      <c r="G33" s="10" t="n">
        <v>0.0114890349092841</v>
      </c>
    </row>
    <row r="35" customFormat="false" ht="15" hidden="false" customHeight="false" outlineLevel="0" collapsed="false">
      <c r="A35" s="4" t="s">
        <v>599</v>
      </c>
      <c r="B35" s="4"/>
      <c r="C35" s="4"/>
      <c r="D35" s="4"/>
      <c r="E35" s="4"/>
      <c r="F35" s="4"/>
      <c r="G35" s="4"/>
      <c r="H35" s="4"/>
    </row>
    <row r="36" customFormat="false" ht="31.5" hidden="false" customHeight="true" outlineLevel="0" collapsed="false">
      <c r="A36" s="8" t="s">
        <v>600</v>
      </c>
      <c r="B36" s="8" t="s">
        <v>601</v>
      </c>
      <c r="C36" s="8" t="s">
        <v>602</v>
      </c>
      <c r="D36" s="8" t="s">
        <v>603</v>
      </c>
    </row>
    <row r="37" customFormat="false" ht="15" hidden="false" customHeight="false" outlineLevel="0" collapsed="false">
      <c r="A37" s="21" t="s">
        <v>589</v>
      </c>
      <c r="B37" s="21" t="n">
        <v>20</v>
      </c>
      <c r="C37" s="52" t="n">
        <v>0.295756429329796</v>
      </c>
      <c r="D37" s="21" t="s">
        <v>604</v>
      </c>
    </row>
    <row r="38" customFormat="false" ht="15" hidden="false" customHeight="false" outlineLevel="0" collapsed="false">
      <c r="A38" s="21" t="s">
        <v>590</v>
      </c>
      <c r="B38" s="21" t="n">
        <v>20</v>
      </c>
      <c r="C38" s="52" t="n">
        <v>0.194047279611282</v>
      </c>
      <c r="D38" s="21" t="s">
        <v>604</v>
      </c>
    </row>
    <row r="39" customFormat="false" ht="15" hidden="false" customHeight="false" outlineLevel="0" collapsed="false">
      <c r="A39" s="21" t="s">
        <v>592</v>
      </c>
      <c r="B39" s="21" t="n">
        <v>20</v>
      </c>
      <c r="C39" s="52" t="n">
        <v>0.131124777356041</v>
      </c>
      <c r="D39" s="21" t="s">
        <v>604</v>
      </c>
    </row>
    <row r="40" customFormat="false" ht="15" hidden="false" customHeight="false" outlineLevel="0" collapsed="false">
      <c r="A40" s="21" t="s">
        <v>593</v>
      </c>
      <c r="B40" s="21" t="n">
        <v>20</v>
      </c>
      <c r="C40" s="52" t="n">
        <v>0.111056024665298</v>
      </c>
      <c r="D40" s="21" t="s">
        <v>604</v>
      </c>
    </row>
    <row r="41" customFormat="false" ht="15" hidden="false" customHeight="false" outlineLevel="0" collapsed="false">
      <c r="A41" s="21" t="s">
        <v>591</v>
      </c>
      <c r="B41" s="21" t="n">
        <v>20</v>
      </c>
      <c r="C41" s="52" t="n">
        <v>0.0784636485079385</v>
      </c>
      <c r="D41" s="21" t="s">
        <v>604</v>
      </c>
    </row>
    <row r="42" customFormat="false" ht="15" hidden="false" customHeight="false" outlineLevel="0" collapsed="false">
      <c r="A42" s="21" t="s">
        <v>594</v>
      </c>
      <c r="B42" s="21" t="n">
        <v>20</v>
      </c>
      <c r="C42" s="52" t="n">
        <v>0.072851368429534</v>
      </c>
      <c r="D42" s="21" t="s">
        <v>604</v>
      </c>
    </row>
    <row r="43" customFormat="false" ht="15" hidden="false" customHeight="false" outlineLevel="0" collapsed="false">
      <c r="A43" s="21" t="s">
        <v>595</v>
      </c>
      <c r="B43" s="21" t="n">
        <v>20</v>
      </c>
      <c r="C43" s="52" t="n">
        <v>0.0177291097961352</v>
      </c>
      <c r="D43" s="21" t="s">
        <v>605</v>
      </c>
    </row>
    <row r="44" customFormat="false" ht="15" hidden="false" customHeight="false" outlineLevel="0" collapsed="false">
      <c r="A44" s="21" t="s">
        <v>597</v>
      </c>
      <c r="B44" s="21" t="n">
        <v>20</v>
      </c>
      <c r="C44" s="52" t="n">
        <v>0.0139848632605242</v>
      </c>
      <c r="D44" s="21" t="s">
        <v>605</v>
      </c>
    </row>
    <row r="45" customFormat="false" ht="15" hidden="false" customHeight="false" outlineLevel="0" collapsed="false">
      <c r="A45" s="21" t="s">
        <v>596</v>
      </c>
      <c r="B45" s="21" t="n">
        <v>20</v>
      </c>
      <c r="C45" s="52" t="n">
        <v>0.0139258200798483</v>
      </c>
      <c r="D45" s="21" t="s">
        <v>605</v>
      </c>
    </row>
    <row r="46" customFormat="false" ht="15" hidden="false" customHeight="false" outlineLevel="0" collapsed="false">
      <c r="A46" s="21" t="s">
        <v>598</v>
      </c>
      <c r="B46" s="21" t="n">
        <v>20</v>
      </c>
      <c r="C46" s="52" t="n">
        <v>0.00909359000880721</v>
      </c>
      <c r="D46" s="21" t="s">
        <v>605</v>
      </c>
    </row>
    <row r="47" customFormat="false" ht="15" hidden="false" customHeight="false" outlineLevel="0" collapsed="false">
      <c r="A47" s="21" t="s">
        <v>606</v>
      </c>
      <c r="B47" s="21" t="n">
        <v>20</v>
      </c>
      <c r="C47" s="52" t="n">
        <v>0.00868447971652879</v>
      </c>
      <c r="D47" s="21" t="s">
        <v>605</v>
      </c>
    </row>
    <row r="48" customFormat="false" ht="15" hidden="false" customHeight="false" outlineLevel="0" collapsed="false">
      <c r="A48" s="21" t="s">
        <v>607</v>
      </c>
      <c r="B48" s="21" t="n">
        <v>20</v>
      </c>
      <c r="C48" s="52" t="n">
        <v>0.00802640797950434</v>
      </c>
      <c r="D48" s="21" t="s">
        <v>605</v>
      </c>
    </row>
    <row r="49" customFormat="false" ht="15" hidden="false" customHeight="false" outlineLevel="0" collapsed="false">
      <c r="A49" s="21" t="s">
        <v>608</v>
      </c>
      <c r="B49" s="21" t="n">
        <v>20</v>
      </c>
      <c r="C49" s="52" t="n">
        <v>0.00774398588932939</v>
      </c>
      <c r="D49" s="21" t="s">
        <v>605</v>
      </c>
    </row>
    <row r="50" customFormat="false" ht="15" hidden="false" customHeight="false" outlineLevel="0" collapsed="false">
      <c r="A50" s="21" t="s">
        <v>609</v>
      </c>
      <c r="B50" s="21" t="n">
        <v>20</v>
      </c>
      <c r="C50" s="52" t="n">
        <v>0.00767596085177424</v>
      </c>
      <c r="D50" s="21" t="s">
        <v>605</v>
      </c>
    </row>
    <row r="51" customFormat="false" ht="15" hidden="false" customHeight="false" outlineLevel="0" collapsed="false">
      <c r="A51" s="21" t="s">
        <v>610</v>
      </c>
      <c r="B51" s="21" t="n">
        <v>20</v>
      </c>
      <c r="C51" s="52" t="n">
        <v>0.0062468124354559</v>
      </c>
      <c r="D51" s="21" t="s">
        <v>605</v>
      </c>
    </row>
    <row r="52" customFormat="false" ht="15" hidden="false" customHeight="false" outlineLevel="0" collapsed="false">
      <c r="A52" s="21" t="s">
        <v>611</v>
      </c>
      <c r="B52" s="21" t="n">
        <v>20</v>
      </c>
      <c r="C52" s="52" t="n">
        <v>0.0053368249593437</v>
      </c>
      <c r="D52" s="21" t="s">
        <v>605</v>
      </c>
    </row>
    <row r="53" customFormat="false" ht="15" hidden="false" customHeight="false" outlineLevel="0" collapsed="false">
      <c r="A53" s="21" t="s">
        <v>612</v>
      </c>
      <c r="B53" s="21" t="n">
        <v>20</v>
      </c>
      <c r="C53" s="52" t="n">
        <v>0.00402791326606008</v>
      </c>
      <c r="D53" s="21" t="s">
        <v>605</v>
      </c>
    </row>
    <row r="54" customFormat="false" ht="15" hidden="false" customHeight="false" outlineLevel="0" collapsed="false">
      <c r="A54" s="21" t="s">
        <v>613</v>
      </c>
      <c r="B54" s="21" t="n">
        <v>19</v>
      </c>
      <c r="C54" s="52" t="n">
        <v>0.00374999439364002</v>
      </c>
      <c r="D54" s="21" t="s">
        <v>605</v>
      </c>
    </row>
    <row r="55" customFormat="false" ht="15" hidden="false" customHeight="false" outlineLevel="0" collapsed="false">
      <c r="A55" s="21" t="s">
        <v>614</v>
      </c>
      <c r="B55" s="21" t="n">
        <v>19</v>
      </c>
      <c r="C55" s="52" t="n">
        <v>0.00351600047549058</v>
      </c>
      <c r="D55" s="21" t="s">
        <v>605</v>
      </c>
    </row>
    <row r="56" customFormat="false" ht="15" hidden="false" customHeight="false" outlineLevel="0" collapsed="false">
      <c r="A56" s="21" t="s">
        <v>615</v>
      </c>
      <c r="B56" s="21" t="n">
        <v>17</v>
      </c>
      <c r="C56" s="52" t="n">
        <v>0.00238662830348723</v>
      </c>
      <c r="D56" s="21" t="s">
        <v>605</v>
      </c>
    </row>
    <row r="57" customFormat="false" ht="15" hidden="false" customHeight="false" outlineLevel="0" collapsed="false">
      <c r="A57" s="21" t="s">
        <v>616</v>
      </c>
      <c r="B57" s="21" t="n">
        <v>15</v>
      </c>
      <c r="C57" s="52" t="n">
        <v>0.00235540953814556</v>
      </c>
      <c r="D57" s="21" t="s">
        <v>605</v>
      </c>
    </row>
    <row r="58" customFormat="false" ht="15" hidden="false" customHeight="false" outlineLevel="0" collapsed="false">
      <c r="A58" s="21" t="s">
        <v>617</v>
      </c>
      <c r="B58" s="21" t="n">
        <v>1</v>
      </c>
      <c r="C58" s="52" t="n">
        <v>0.00122696313641621</v>
      </c>
      <c r="D58" s="21" t="s">
        <v>605</v>
      </c>
    </row>
    <row r="59" customFormat="false" ht="15" hidden="false" customHeight="false" outlineLevel="0" collapsed="false">
      <c r="A59" s="21" t="s">
        <v>618</v>
      </c>
      <c r="B59" s="21" t="n">
        <v>1</v>
      </c>
      <c r="C59" s="52" t="n">
        <v>0.000989708009618751</v>
      </c>
      <c r="D59" s="21" t="s">
        <v>605</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{8B3E7BBF-1ABC-4A78-80F1-983C2884B882}</x14:id>
        </ext>
      </extLst>
    </cfRule>
  </conditionalFormatting>
  <conditionalFormatting sqref="D37:D59">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B3E7BBF-1ABC-4A78-80F1-983C2884B882}">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619</v>
      </c>
      <c r="B1" s="8" t="s">
        <v>620</v>
      </c>
      <c r="C1" s="8" t="s">
        <v>579</v>
      </c>
      <c r="D1" s="8" t="s">
        <v>621</v>
      </c>
      <c r="E1" s="8" t="s">
        <v>622</v>
      </c>
      <c r="F1" s="8" t="s">
        <v>623</v>
      </c>
      <c r="G1" s="8" t="s">
        <v>624</v>
      </c>
      <c r="H1" s="8" t="s">
        <v>625</v>
      </c>
      <c r="I1" s="8" t="s">
        <v>626</v>
      </c>
      <c r="J1" s="8" t="s">
        <v>627</v>
      </c>
    </row>
    <row r="2" customFormat="false" ht="28.35" hidden="false" customHeight="false" outlineLevel="0" collapsed="false">
      <c r="A2" s="21" t="n">
        <v>1</v>
      </c>
      <c r="B2" s="59" t="s">
        <v>628</v>
      </c>
      <c r="C2" s="21" t="s">
        <v>583</v>
      </c>
      <c r="D2" s="52" t="n">
        <v>0.278624824739234</v>
      </c>
      <c r="E2" s="52" t="n">
        <v>0.37948470808294</v>
      </c>
      <c r="F2" s="37" t="n">
        <v>53.4084175948536</v>
      </c>
      <c r="G2" s="21" t="s">
        <v>629</v>
      </c>
      <c r="H2" s="59" t="s">
        <v>630</v>
      </c>
      <c r="I2" s="21" t="s">
        <v>589</v>
      </c>
      <c r="J2" s="21" t="s">
        <v>631</v>
      </c>
    </row>
    <row r="3" customFormat="false" ht="15" hidden="false" customHeight="false" outlineLevel="0" collapsed="false">
      <c r="A3" s="21" t="n">
        <v>2</v>
      </c>
      <c r="B3" s="59" t="s">
        <v>632</v>
      </c>
      <c r="C3" s="21" t="s">
        <v>583</v>
      </c>
      <c r="D3" s="52" t="n">
        <v>0.193345255846553</v>
      </c>
      <c r="E3" s="52" t="n">
        <v>0.263334640202355</v>
      </c>
      <c r="F3" s="37" t="n">
        <v>37.0615366879132</v>
      </c>
      <c r="G3" s="21" t="s">
        <v>629</v>
      </c>
      <c r="H3" s="59" t="s">
        <v>630</v>
      </c>
      <c r="I3" s="21" t="s">
        <v>590</v>
      </c>
      <c r="J3" s="21" t="s">
        <v>631</v>
      </c>
    </row>
    <row r="4" customFormat="false" ht="28.35" hidden="false" customHeight="false" outlineLevel="0" collapsed="false">
      <c r="A4" s="21" t="n">
        <v>3</v>
      </c>
      <c r="B4" s="59" t="s">
        <v>633</v>
      </c>
      <c r="C4" s="21" t="s">
        <v>583</v>
      </c>
      <c r="D4" s="52" t="n">
        <v>0.130404759582085</v>
      </c>
      <c r="E4" s="52" t="n">
        <v>0.177610204578677</v>
      </c>
      <c r="F4" s="37" t="n">
        <v>24.9967384013064</v>
      </c>
      <c r="G4" s="21" t="s">
        <v>629</v>
      </c>
      <c r="H4" s="59" t="s">
        <v>630</v>
      </c>
      <c r="I4" s="21" t="s">
        <v>592</v>
      </c>
      <c r="J4" s="21" t="s">
        <v>631</v>
      </c>
    </row>
    <row r="5" customFormat="false" ht="15" hidden="false" customHeight="false" outlineLevel="0" collapsed="false">
      <c r="A5" s="21" t="n">
        <v>4</v>
      </c>
      <c r="B5" s="59" t="s">
        <v>634</v>
      </c>
      <c r="C5" s="21" t="s">
        <v>584</v>
      </c>
      <c r="D5" s="52" t="n">
        <v>0.112732402309568</v>
      </c>
      <c r="E5" s="52" t="n">
        <v>0.463464392957347</v>
      </c>
      <c r="F5" s="37" t="n">
        <v>21.6091987663173</v>
      </c>
      <c r="G5" s="21" t="s">
        <v>629</v>
      </c>
      <c r="H5" s="59" t="s">
        <v>630</v>
      </c>
      <c r="I5" s="21" t="s">
        <v>593</v>
      </c>
      <c r="J5" s="21" t="s">
        <v>631</v>
      </c>
    </row>
    <row r="6" customFormat="false" ht="28.35" hidden="false" customHeight="false" outlineLevel="0" collapsed="false">
      <c r="A6" s="21" t="n">
        <v>5</v>
      </c>
      <c r="B6" s="59" t="s">
        <v>635</v>
      </c>
      <c r="C6" s="21" t="s">
        <v>583</v>
      </c>
      <c r="D6" s="52" t="n">
        <v>0.0804637537153863</v>
      </c>
      <c r="E6" s="52" t="n">
        <v>0.10959096741835</v>
      </c>
      <c r="F6" s="37" t="n">
        <v>15.4237576056003</v>
      </c>
      <c r="G6" s="21" t="s">
        <v>629</v>
      </c>
      <c r="H6" s="59" t="s">
        <v>630</v>
      </c>
      <c r="I6" s="21" t="s">
        <v>591</v>
      </c>
      <c r="J6" s="21" t="s">
        <v>631</v>
      </c>
    </row>
    <row r="7" customFormat="false" ht="15" hidden="false" customHeight="false" outlineLevel="0" collapsed="false">
      <c r="A7" s="21" t="n">
        <v>6</v>
      </c>
      <c r="B7" s="59" t="s">
        <v>636</v>
      </c>
      <c r="C7" s="21" t="s">
        <v>584</v>
      </c>
      <c r="D7" s="52" t="n">
        <v>0.0766368757237365</v>
      </c>
      <c r="E7" s="52" t="n">
        <v>0.315068803270191</v>
      </c>
      <c r="F7" s="37" t="n">
        <v>14.6901995026786</v>
      </c>
      <c r="G7" s="21" t="s">
        <v>629</v>
      </c>
      <c r="H7" s="59" t="s">
        <v>630</v>
      </c>
      <c r="I7" s="21" t="s">
        <v>594</v>
      </c>
      <c r="J7" s="21" t="s">
        <v>631</v>
      </c>
    </row>
    <row r="8" customFormat="false" ht="28.35" hidden="false" customHeight="false" outlineLevel="0" collapsed="false">
      <c r="A8" s="21" t="n">
        <v>7</v>
      </c>
      <c r="B8" s="59" t="s">
        <v>637</v>
      </c>
      <c r="C8" s="21" t="s">
        <v>584</v>
      </c>
      <c r="D8" s="52" t="n">
        <v>0.0208656994775372</v>
      </c>
      <c r="E8" s="52" t="n">
        <v>0.0857828676038642</v>
      </c>
      <c r="F8" s="37" t="n">
        <v>3.9996579348161</v>
      </c>
      <c r="G8" s="21" t="s">
        <v>629</v>
      </c>
      <c r="H8" s="59" t="s">
        <v>630</v>
      </c>
      <c r="I8" s="21" t="s">
        <v>595</v>
      </c>
      <c r="J8" s="21" t="s">
        <v>638</v>
      </c>
    </row>
    <row r="9" customFormat="false" ht="15" hidden="false" customHeight="false" outlineLevel="0" collapsed="false">
      <c r="A9" s="21" t="n">
        <v>8</v>
      </c>
      <c r="B9" s="59" t="s">
        <v>639</v>
      </c>
      <c r="C9" s="21" t="s">
        <v>583</v>
      </c>
      <c r="D9" s="52" t="n">
        <v>0.0163281994048825</v>
      </c>
      <c r="E9" s="52" t="n">
        <v>0.0222388726147464</v>
      </c>
      <c r="F9" s="37" t="n">
        <v>3.12988368213123</v>
      </c>
      <c r="G9" s="21" t="s">
        <v>629</v>
      </c>
      <c r="H9" s="59" t="s">
        <v>630</v>
      </c>
      <c r="I9" s="21" t="s">
        <v>596</v>
      </c>
      <c r="J9" s="21" t="s">
        <v>638</v>
      </c>
    </row>
    <row r="10" customFormat="false" ht="15" hidden="false" customHeight="false" outlineLevel="0" collapsed="false">
      <c r="A10" s="21" t="n">
        <v>9</v>
      </c>
      <c r="B10" s="59" t="s">
        <v>640</v>
      </c>
      <c r="C10" s="21" t="s">
        <v>582</v>
      </c>
      <c r="D10" s="52" t="n">
        <v>0.0141962962439318</v>
      </c>
      <c r="E10" s="52" t="n">
        <v>0.756614063649803</v>
      </c>
      <c r="F10" s="37" t="n">
        <v>2.72122815619809</v>
      </c>
      <c r="G10" s="21" t="s">
        <v>629</v>
      </c>
      <c r="H10" s="59" t="s">
        <v>630</v>
      </c>
      <c r="I10" s="21" t="s">
        <v>597</v>
      </c>
      <c r="J10" s="21" t="s">
        <v>638</v>
      </c>
    </row>
    <row r="11" customFormat="false" ht="15" hidden="false" customHeight="false" outlineLevel="0" collapsed="false">
      <c r="A11" s="21" t="n">
        <v>10</v>
      </c>
      <c r="B11" s="59" t="s">
        <v>641</v>
      </c>
      <c r="C11" s="21" t="s">
        <v>583</v>
      </c>
      <c r="D11" s="52" t="n">
        <v>0.0109269339722924</v>
      </c>
      <c r="E11" s="52" t="n">
        <v>0.0148823937443397</v>
      </c>
      <c r="F11" s="37" t="n">
        <v>2.0945378904043</v>
      </c>
      <c r="G11" s="21" t="s">
        <v>629</v>
      </c>
      <c r="H11" s="59" t="s">
        <v>630</v>
      </c>
      <c r="I11" s="21" t="s">
        <v>598</v>
      </c>
      <c r="J11" s="21" t="s">
        <v>638</v>
      </c>
    </row>
    <row r="12" customFormat="false" ht="28.35" hidden="false" customHeight="false" outlineLevel="0" collapsed="false">
      <c r="A12" s="21" t="n">
        <v>11</v>
      </c>
      <c r="B12" s="59" t="s">
        <v>642</v>
      </c>
      <c r="C12" s="21" t="s">
        <v>584</v>
      </c>
      <c r="D12" s="52" t="n">
        <v>0.00968141148261479</v>
      </c>
      <c r="E12" s="52" t="n">
        <v>0.0398021279049735</v>
      </c>
      <c r="F12" s="37" t="n">
        <v>1.85578893716677</v>
      </c>
      <c r="G12" s="21" t="s">
        <v>629</v>
      </c>
      <c r="H12" s="59" t="s">
        <v>630</v>
      </c>
      <c r="I12" s="21" t="s">
        <v>606</v>
      </c>
      <c r="J12" s="21" t="s">
        <v>638</v>
      </c>
    </row>
    <row r="13" customFormat="false" ht="15" hidden="false" customHeight="false" outlineLevel="0" collapsed="false">
      <c r="A13" s="21" t="n">
        <v>12</v>
      </c>
      <c r="B13" s="59" t="s">
        <v>643</v>
      </c>
      <c r="C13" s="21" t="s">
        <v>583</v>
      </c>
      <c r="D13" s="52" t="n">
        <v>0.00939612250242319</v>
      </c>
      <c r="E13" s="52" t="n">
        <v>0.01279744117661</v>
      </c>
      <c r="F13" s="37" t="n">
        <v>1.80110309571835</v>
      </c>
      <c r="G13" s="21" t="s">
        <v>629</v>
      </c>
      <c r="H13" s="59" t="s">
        <v>630</v>
      </c>
      <c r="I13" s="21" t="s">
        <v>607</v>
      </c>
      <c r="J13" s="21" t="s">
        <v>638</v>
      </c>
    </row>
    <row r="14" customFormat="false" ht="15" hidden="false" customHeight="false" outlineLevel="0" collapsed="false">
      <c r="A14" s="21" t="n">
        <v>13</v>
      </c>
      <c r="B14" s="59" t="s">
        <v>644</v>
      </c>
      <c r="C14" s="21" t="s">
        <v>583</v>
      </c>
      <c r="D14" s="52" t="n">
        <v>0.008218666654627</v>
      </c>
      <c r="E14" s="52" t="n">
        <v>0.0111937560451804</v>
      </c>
      <c r="F14" s="37" t="n">
        <v>1.57540155000197</v>
      </c>
      <c r="G14" s="21" t="s">
        <v>629</v>
      </c>
      <c r="H14" s="59" t="s">
        <v>630</v>
      </c>
      <c r="I14" s="21" t="s">
        <v>608</v>
      </c>
      <c r="J14" s="21" t="s">
        <v>638</v>
      </c>
    </row>
    <row r="15" customFormat="false" ht="15" hidden="false" customHeight="false" outlineLevel="0" collapsed="false">
      <c r="A15" s="21" t="n">
        <v>14</v>
      </c>
      <c r="B15" s="59" t="s">
        <v>645</v>
      </c>
      <c r="C15" s="21" t="s">
        <v>584</v>
      </c>
      <c r="D15" s="52" t="n">
        <v>0.0071529269295148</v>
      </c>
      <c r="E15" s="52" t="n">
        <v>0.0294070459720388</v>
      </c>
      <c r="F15" s="37" t="n">
        <v>1.37111439669649</v>
      </c>
      <c r="G15" s="21" t="s">
        <v>629</v>
      </c>
      <c r="H15" s="59" t="s">
        <v>630</v>
      </c>
      <c r="I15" s="21" t="s">
        <v>609</v>
      </c>
      <c r="J15" s="21" t="s">
        <v>638</v>
      </c>
    </row>
    <row r="16" customFormat="false" ht="15" hidden="false" customHeight="false" outlineLevel="0" collapsed="false">
      <c r="A16" s="21" t="n">
        <v>15</v>
      </c>
      <c r="B16" s="59" t="s">
        <v>646</v>
      </c>
      <c r="C16" s="21" t="s">
        <v>583</v>
      </c>
      <c r="D16" s="52" t="n">
        <v>0.00651033036233971</v>
      </c>
      <c r="E16" s="52" t="n">
        <v>0.00886701613680044</v>
      </c>
      <c r="F16" s="37" t="n">
        <v>1.24793777079165</v>
      </c>
      <c r="G16" s="21" t="s">
        <v>629</v>
      </c>
      <c r="H16" s="59" t="s">
        <v>630</v>
      </c>
      <c r="I16" s="21" t="s">
        <v>611</v>
      </c>
      <c r="J16" s="21" t="s">
        <v>638</v>
      </c>
    </row>
    <row r="17" customFormat="false" ht="15" hidden="false" customHeight="false" outlineLevel="0" collapsed="false">
      <c r="A17" s="21" t="n">
        <v>16</v>
      </c>
      <c r="B17" s="59" t="s">
        <v>647</v>
      </c>
      <c r="C17" s="21" t="s">
        <v>584</v>
      </c>
      <c r="D17" s="52" t="n">
        <v>0.00570932096400346</v>
      </c>
      <c r="E17" s="52" t="n">
        <v>0.0234721066931077</v>
      </c>
      <c r="F17" s="37" t="n">
        <v>1.09439565736445</v>
      </c>
      <c r="G17" s="21" t="s">
        <v>629</v>
      </c>
      <c r="H17" s="59" t="s">
        <v>630</v>
      </c>
      <c r="I17" s="21" t="s">
        <v>610</v>
      </c>
      <c r="J17" s="21" t="s">
        <v>638</v>
      </c>
    </row>
    <row r="18" customFormat="false" ht="15" hidden="false" customHeight="false" outlineLevel="0" collapsed="false">
      <c r="A18" s="21" t="n">
        <v>17</v>
      </c>
      <c r="B18" s="59" t="s">
        <v>648</v>
      </c>
      <c r="C18" s="21" t="s">
        <v>584</v>
      </c>
      <c r="D18" s="52" t="n">
        <v>0.00430885282802715</v>
      </c>
      <c r="E18" s="52" t="n">
        <v>0.0177145152535675</v>
      </c>
      <c r="F18" s="37" t="n">
        <v>0.825945826648498</v>
      </c>
      <c r="G18" s="21" t="s">
        <v>629</v>
      </c>
      <c r="H18" s="59" t="s">
        <v>630</v>
      </c>
      <c r="I18" s="21" t="s">
        <v>612</v>
      </c>
      <c r="J18" s="21" t="s">
        <v>638</v>
      </c>
    </row>
    <row r="19" customFormat="false" ht="15" hidden="false" customHeight="false" outlineLevel="0" collapsed="false">
      <c r="A19" s="21" t="n">
        <v>18</v>
      </c>
      <c r="B19" s="59" t="s">
        <v>649</v>
      </c>
      <c r="C19" s="21" t="s">
        <v>584</v>
      </c>
      <c r="D19" s="52" t="n">
        <v>0.00377973551289558</v>
      </c>
      <c r="E19" s="52" t="n">
        <v>0.015539213120049</v>
      </c>
      <c r="F19" s="37" t="n">
        <v>0.724521559985747</v>
      </c>
      <c r="G19" s="21" t="s">
        <v>629</v>
      </c>
      <c r="H19" s="59" t="s">
        <v>650</v>
      </c>
      <c r="I19" s="21" t="s">
        <v>614</v>
      </c>
      <c r="J19" s="21" t="s">
        <v>638</v>
      </c>
    </row>
    <row r="20" customFormat="false" ht="15" hidden="false" customHeight="false" outlineLevel="0" collapsed="false">
      <c r="A20" s="21" t="n">
        <v>19</v>
      </c>
      <c r="B20" s="59" t="s">
        <v>651</v>
      </c>
      <c r="C20" s="21" t="s">
        <v>581</v>
      </c>
      <c r="D20" s="52" t="n">
        <v>0.00377968378734202</v>
      </c>
      <c r="E20" s="52" t="n">
        <v>1</v>
      </c>
      <c r="F20" s="37" t="n">
        <v>0.72451164493253</v>
      </c>
      <c r="G20" s="21" t="s">
        <v>629</v>
      </c>
      <c r="H20" s="59" t="s">
        <v>650</v>
      </c>
      <c r="I20" s="21" t="s">
        <v>613</v>
      </c>
      <c r="J20" s="21" t="s">
        <v>638</v>
      </c>
    </row>
    <row r="21" customFormat="false" ht="28.35" hidden="false" customHeight="false" outlineLevel="0" collapsed="false">
      <c r="A21" s="21" t="n">
        <v>20</v>
      </c>
      <c r="B21" s="59" t="s">
        <v>652</v>
      </c>
      <c r="C21" s="21" t="s">
        <v>584</v>
      </c>
      <c r="D21" s="52" t="n">
        <v>0.00237131482525969</v>
      </c>
      <c r="E21" s="52" t="n">
        <v>0.00974892722486109</v>
      </c>
      <c r="F21" s="37" t="n">
        <v>0.454547338180893</v>
      </c>
      <c r="G21" s="21" t="s">
        <v>629</v>
      </c>
      <c r="H21" s="59" t="s">
        <v>653</v>
      </c>
      <c r="I21" s="21" t="s">
        <v>615</v>
      </c>
      <c r="J21" s="21" t="s">
        <v>638</v>
      </c>
    </row>
    <row r="22" customFormat="false" ht="15" hidden="false" customHeight="false" outlineLevel="0" collapsed="false">
      <c r="A22" s="21" t="n">
        <v>21</v>
      </c>
      <c r="B22" s="59" t="s">
        <v>654</v>
      </c>
      <c r="C22" s="21" t="s">
        <v>582</v>
      </c>
      <c r="D22" s="52" t="n">
        <v>0.00236062101581506</v>
      </c>
      <c r="E22" s="52" t="n">
        <v>0.125813031006338</v>
      </c>
      <c r="F22" s="37" t="n">
        <v>0.452497486948028</v>
      </c>
      <c r="G22" s="21" t="s">
        <v>629</v>
      </c>
      <c r="H22" s="59" t="s">
        <v>655</v>
      </c>
      <c r="I22" s="21" t="s">
        <v>616</v>
      </c>
      <c r="J22" s="21" t="s">
        <v>638</v>
      </c>
    </row>
    <row r="23" customFormat="false" ht="15" hidden="false" customHeight="false" outlineLevel="0" collapsed="false">
      <c r="A23" s="21" t="n">
        <v>22</v>
      </c>
      <c r="B23" s="59" t="s">
        <v>656</v>
      </c>
      <c r="C23" s="21" t="s">
        <v>582</v>
      </c>
      <c r="D23" s="52" t="n">
        <v>0.00120358302430965</v>
      </c>
      <c r="E23" s="52" t="n">
        <v>0.0641468610766766</v>
      </c>
      <c r="F23" s="37" t="n">
        <v>0.230709753994704</v>
      </c>
      <c r="G23" s="21" t="s">
        <v>629</v>
      </c>
      <c r="H23" s="59" t="s">
        <v>657</v>
      </c>
      <c r="I23" s="21" t="s">
        <v>617</v>
      </c>
      <c r="J23" s="21" t="s">
        <v>638</v>
      </c>
    </row>
    <row r="24" customFormat="false" ht="15" hidden="false" customHeight="false" outlineLevel="0" collapsed="false">
      <c r="A24" s="21" t="n">
        <v>23</v>
      </c>
      <c r="B24" s="59" t="s">
        <v>658</v>
      </c>
      <c r="C24" s="21" t="s">
        <v>582</v>
      </c>
      <c r="D24" s="52" t="n">
        <v>0.00100242909562064</v>
      </c>
      <c r="E24" s="52" t="n">
        <v>0.0534260442671817</v>
      </c>
      <c r="F24" s="37" t="n">
        <v>0.192151405741556</v>
      </c>
      <c r="G24" s="21" t="s">
        <v>629</v>
      </c>
      <c r="H24" s="59" t="s">
        <v>657</v>
      </c>
      <c r="I24" s="21" t="s">
        <v>618</v>
      </c>
      <c r="J24" s="21" t="s">
        <v>638</v>
      </c>
    </row>
    <row r="26" customFormat="false" ht="15" hidden="false" customHeight="false" outlineLevel="0" collapsed="false">
      <c r="B26" s="5" t="s">
        <v>659</v>
      </c>
      <c r="C26" s="41" t="s">
        <v>583</v>
      </c>
      <c r="D26" s="60" t="n">
        <f aca="false">SUMIF(C2:C24,"Historical voter data",D2:D24)</f>
        <v>0.734218846779824</v>
      </c>
      <c r="F26" s="61" t="n">
        <f aca="false">SUMIF(C2:C24,"Historical voter data",F2:F24)</f>
        <v>140.739314278721</v>
      </c>
    </row>
    <row r="27" customFormat="false" ht="15" hidden="false" customHeight="false" outlineLevel="0" collapsed="false">
      <c r="B27" s="5" t="s">
        <v>660</v>
      </c>
      <c r="C27" s="41" t="s">
        <v>584</v>
      </c>
      <c r="D27" s="60" t="n">
        <f aca="false">SUMIF(C2:C24,"Voter registration data",D2:D24)</f>
        <v>0.243238540053157</v>
      </c>
      <c r="F27" s="61" t="n">
        <f aca="false">SUMIF(C2:C24,"Voter registration data",F2:F24)</f>
        <v>46.6253699198549</v>
      </c>
    </row>
    <row r="28" customFormat="false" ht="15" hidden="false" customHeight="false" outlineLevel="0" collapsed="false">
      <c r="B28" s="5" t="s">
        <v>661</v>
      </c>
      <c r="C28" s="41" t="s">
        <v>582</v>
      </c>
      <c r="D28" s="60" t="n">
        <f aca="false">SUMIF(C2:C24,"Geography &amp; municipal context",D2:D24)</f>
        <v>0.0187629293796772</v>
      </c>
      <c r="F28" s="61" t="n">
        <f aca="false">SUMIF(C2:C24,"Geography &amp; municipal context",F2:F24)</f>
        <v>3.59658680288238</v>
      </c>
    </row>
    <row r="29" customFormat="false" ht="15" hidden="false" customHeight="false" outlineLevel="0" collapsed="false">
      <c r="B29" s="5" t="s">
        <v>662</v>
      </c>
      <c r="C29" s="41" t="s">
        <v>581</v>
      </c>
      <c r="D29" s="60" t="n">
        <f aca="false">SUMIF(C2:C24,"Election type",D2:D24)</f>
        <v>0.00377968378734202</v>
      </c>
      <c r="F29" s="61" t="n">
        <f aca="false">SUMIF(C2:C24,"Election type",F2:F24)</f>
        <v>0.72451164493253</v>
      </c>
    </row>
    <row r="30" customFormat="false" ht="15" hidden="false" customHeight="false" outlineLevel="0" collapsed="false">
      <c r="B30" s="5" t="s">
        <v>663</v>
      </c>
      <c r="D30" s="60" t="n">
        <f aca="false">SUM(D2:D24)</f>
        <v>1</v>
      </c>
      <c r="F30" s="61" t="n">
        <f aca="false">SUM(F2:F24)</f>
        <v>191.685782646391</v>
      </c>
    </row>
    <row r="32" customFormat="false" ht="15" hidden="false" customHeight="false" outlineLevel="0" collapsed="false">
      <c r="B32" s="5" t="s">
        <v>103</v>
      </c>
    </row>
    <row r="33" customFormat="false" ht="30" hidden="false" customHeight="true" outlineLevel="0" collapsed="false">
      <c r="B33" s="62" t="s">
        <v>664</v>
      </c>
    </row>
    <row r="34" customFormat="false" ht="45" hidden="false" customHeight="true" outlineLevel="0" collapsed="false">
      <c r="B34" s="62" t="s">
        <v>665</v>
      </c>
    </row>
    <row r="35" customFormat="false" ht="60" hidden="false" customHeight="true" outlineLevel="0" collapsed="false">
      <c r="B35" s="62" t="s">
        <v>666</v>
      </c>
    </row>
    <row r="36" customFormat="false" ht="30" hidden="false" customHeight="true" outlineLevel="0" collapsed="false">
      <c r="B36" s="62" t="s">
        <v>667</v>
      </c>
    </row>
    <row r="37" customFormat="false" ht="75" hidden="false" customHeight="true" outlineLevel="0" collapsed="false">
      <c r="B37" s="62" t="s">
        <v>668</v>
      </c>
    </row>
    <row r="38" customFormat="false" ht="30" hidden="false" customHeight="true" outlineLevel="0" collapsed="false">
      <c r="B38" s="62" t="s">
        <v>669</v>
      </c>
    </row>
    <row r="39" customFormat="false" ht="45" hidden="false" customHeight="true" outlineLevel="0" collapsed="false">
      <c r="B39" s="62" t="s">
        <v>670</v>
      </c>
    </row>
    <row r="40" customFormat="false" ht="30" hidden="false" customHeight="true" outlineLevel="0" collapsed="false">
      <c r="B40" s="62" t="s">
        <v>671</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{FBDF9113-F2F7-4C00-98C7-9F7582826115}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BDF9113-F2F7-4C00-98C7-9F7582826115}">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619</v>
      </c>
      <c r="B1" s="8" t="s">
        <v>620</v>
      </c>
      <c r="C1" s="8" t="s">
        <v>579</v>
      </c>
      <c r="D1" s="8" t="s">
        <v>621</v>
      </c>
      <c r="E1" s="8" t="s">
        <v>622</v>
      </c>
      <c r="F1" s="8" t="s">
        <v>623</v>
      </c>
      <c r="G1" s="8" t="s">
        <v>624</v>
      </c>
      <c r="H1" s="8" t="s">
        <v>625</v>
      </c>
      <c r="I1" s="8" t="s">
        <v>626</v>
      </c>
      <c r="J1" s="8" t="s">
        <v>627</v>
      </c>
    </row>
    <row r="2" customFormat="false" ht="28.35" hidden="false" customHeight="false" outlineLevel="0" collapsed="false">
      <c r="A2" s="21" t="n">
        <v>1</v>
      </c>
      <c r="B2" s="59" t="s">
        <v>628</v>
      </c>
      <c r="C2" s="21" t="s">
        <v>583</v>
      </c>
      <c r="D2" s="52" t="n">
        <v>0.175203605147654</v>
      </c>
      <c r="E2" s="52" t="n">
        <v>0.257306807219168</v>
      </c>
      <c r="F2" s="37" t="n">
        <v>29.3704372836623</v>
      </c>
      <c r="G2" s="21" t="s">
        <v>629</v>
      </c>
      <c r="H2" s="59" t="s">
        <v>630</v>
      </c>
      <c r="I2" s="21" t="s">
        <v>589</v>
      </c>
      <c r="J2" s="21" t="s">
        <v>631</v>
      </c>
    </row>
    <row r="3" customFormat="false" ht="28.35" hidden="false" customHeight="false" outlineLevel="0" collapsed="false">
      <c r="A3" s="21" t="n">
        <v>2</v>
      </c>
      <c r="B3" s="59" t="s">
        <v>635</v>
      </c>
      <c r="C3" s="21" t="s">
        <v>583</v>
      </c>
      <c r="D3" s="52" t="n">
        <v>0.169459707943138</v>
      </c>
      <c r="E3" s="52" t="n">
        <v>0.248871228228408</v>
      </c>
      <c r="F3" s="37" t="n">
        <v>28.407553143996</v>
      </c>
      <c r="G3" s="21" t="s">
        <v>629</v>
      </c>
      <c r="H3" s="59" t="s">
        <v>630</v>
      </c>
      <c r="I3" s="21" t="s">
        <v>591</v>
      </c>
      <c r="J3" s="21" t="s">
        <v>631</v>
      </c>
    </row>
    <row r="4" customFormat="false" ht="15" hidden="false" customHeight="false" outlineLevel="0" collapsed="false">
      <c r="A4" s="21" t="n">
        <v>3</v>
      </c>
      <c r="B4" s="59" t="s">
        <v>632</v>
      </c>
      <c r="C4" s="21" t="s">
        <v>583</v>
      </c>
      <c r="D4" s="52" t="n">
        <v>0.168925699398545</v>
      </c>
      <c r="E4" s="52" t="n">
        <v>0.248086974767862</v>
      </c>
      <c r="F4" s="37" t="n">
        <v>28.3180340701465</v>
      </c>
      <c r="G4" s="21" t="s">
        <v>629</v>
      </c>
      <c r="H4" s="59" t="s">
        <v>630</v>
      </c>
      <c r="I4" s="21" t="s">
        <v>590</v>
      </c>
      <c r="J4" s="21" t="s">
        <v>631</v>
      </c>
    </row>
    <row r="5" customFormat="false" ht="28.35" hidden="false" customHeight="false" outlineLevel="0" collapsed="false">
      <c r="A5" s="21" t="n">
        <v>4</v>
      </c>
      <c r="B5" s="59" t="s">
        <v>633</v>
      </c>
      <c r="C5" s="21" t="s">
        <v>583</v>
      </c>
      <c r="D5" s="52" t="n">
        <v>0.167324201743738</v>
      </c>
      <c r="E5" s="52" t="n">
        <v>0.245734989784562</v>
      </c>
      <c r="F5" s="37" t="n">
        <v>28.0495653568983</v>
      </c>
      <c r="G5" s="21" t="s">
        <v>629</v>
      </c>
      <c r="H5" s="59" t="s">
        <v>630</v>
      </c>
      <c r="I5" s="21" t="s">
        <v>592</v>
      </c>
      <c r="J5" s="21" t="s">
        <v>631</v>
      </c>
    </row>
    <row r="6" customFormat="false" ht="15" hidden="false" customHeight="false" outlineLevel="0" collapsed="false">
      <c r="A6" s="21" t="n">
        <v>5</v>
      </c>
      <c r="B6" s="59" t="s">
        <v>634</v>
      </c>
      <c r="C6" s="21" t="s">
        <v>584</v>
      </c>
      <c r="D6" s="52" t="n">
        <v>0.163562762941772</v>
      </c>
      <c r="E6" s="52" t="n">
        <v>0.512596479194991</v>
      </c>
      <c r="F6" s="37" t="n">
        <v>27.4190126788505</v>
      </c>
      <c r="G6" s="21" t="s">
        <v>629</v>
      </c>
      <c r="H6" s="59" t="s">
        <v>630</v>
      </c>
      <c r="I6" s="21" t="s">
        <v>593</v>
      </c>
      <c r="J6" s="21" t="s">
        <v>631</v>
      </c>
    </row>
    <row r="7" customFormat="false" ht="15" hidden="false" customHeight="false" outlineLevel="0" collapsed="false">
      <c r="A7" s="21" t="n">
        <v>6</v>
      </c>
      <c r="B7" s="59" t="s">
        <v>636</v>
      </c>
      <c r="C7" s="21" t="s">
        <v>584</v>
      </c>
      <c r="D7" s="52" t="n">
        <v>0.155524022825153</v>
      </c>
      <c r="E7" s="52" t="n">
        <v>0.487403520805009</v>
      </c>
      <c r="F7" s="37" t="n">
        <v>26.0714301777036</v>
      </c>
      <c r="G7" s="21" t="s">
        <v>629</v>
      </c>
      <c r="H7" s="59" t="s">
        <v>630</v>
      </c>
      <c r="I7" s="21" t="s">
        <v>594</v>
      </c>
      <c r="J7" s="21" t="s">
        <v>631</v>
      </c>
    </row>
    <row r="9" customFormat="false" ht="15" hidden="false" customHeight="false" outlineLevel="0" collapsed="false">
      <c r="B9" s="5" t="s">
        <v>659</v>
      </c>
      <c r="C9" s="41" t="s">
        <v>583</v>
      </c>
      <c r="D9" s="60" t="n">
        <f aca="false">SUMIF(C2:C7,"Historical voter data",D2:D7)</f>
        <v>0.680913214233075</v>
      </c>
      <c r="F9" s="61" t="n">
        <f aca="false">SUMIF(C2:C7,"Historical voter data",F2:F7)</f>
        <v>114.145589854703</v>
      </c>
    </row>
    <row r="10" customFormat="false" ht="15" hidden="false" customHeight="false" outlineLevel="0" collapsed="false">
      <c r="B10" s="5" t="s">
        <v>660</v>
      </c>
      <c r="C10" s="41" t="s">
        <v>584</v>
      </c>
      <c r="D10" s="60" t="n">
        <f aca="false">SUMIF(C2:C7,"Voter registration data",D2:D7)</f>
        <v>0.319086785766925</v>
      </c>
      <c r="F10" s="61" t="n">
        <f aca="false">SUMIF(C2:C7,"Voter registration data",F2:F7)</f>
        <v>53.4904428565542</v>
      </c>
    </row>
    <row r="11" customFormat="false" ht="15" hidden="false" customHeight="false" outlineLevel="0" collapsed="false">
      <c r="B11" s="5" t="s">
        <v>663</v>
      </c>
      <c r="D11" s="60" t="n">
        <f aca="false">SUM(D2:D7)</f>
        <v>1</v>
      </c>
      <c r="F11" s="61" t="n">
        <f aca="false">SUM(F2:F7)</f>
        <v>167.636032711257</v>
      </c>
    </row>
    <row r="13" customFormat="false" ht="15" hidden="false" customHeight="false" outlineLevel="0" collapsed="false">
      <c r="B13" s="5" t="s">
        <v>103</v>
      </c>
    </row>
    <row r="14" customFormat="false" ht="30" hidden="false" customHeight="true" outlineLevel="0" collapsed="false">
      <c r="B14" s="62" t="s">
        <v>664</v>
      </c>
    </row>
    <row r="15" customFormat="false" ht="45" hidden="false" customHeight="true" outlineLevel="0" collapsed="false">
      <c r="B15" s="62" t="s">
        <v>665</v>
      </c>
    </row>
    <row r="16" customFormat="false" ht="60" hidden="false" customHeight="true" outlineLevel="0" collapsed="false">
      <c r="B16" s="62" t="s">
        <v>666</v>
      </c>
    </row>
    <row r="17" customFormat="false" ht="30" hidden="false" customHeight="true" outlineLevel="0" collapsed="false">
      <c r="B17" s="62" t="s">
        <v>667</v>
      </c>
    </row>
    <row r="18" customFormat="false" ht="75" hidden="false" customHeight="true" outlineLevel="0" collapsed="false">
      <c r="B18" s="62" t="s">
        <v>668</v>
      </c>
    </row>
    <row r="19" customFormat="false" ht="45" hidden="false" customHeight="true" outlineLevel="0" collapsed="false">
      <c r="B19" s="62" t="s">
        <v>672</v>
      </c>
    </row>
    <row r="20" customFormat="false" ht="45" hidden="false" customHeight="true" outlineLevel="0" collapsed="false">
      <c r="B20" s="62" t="s">
        <v>670</v>
      </c>
    </row>
    <row r="21" customFormat="false" ht="30" hidden="false" customHeight="true" outlineLevel="0" collapsed="false">
      <c r="B21" s="62" t="s">
        <v>673</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{C8713AFF-E8D7-44A7-BFC7-5CF5C5FBCADD}</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8713AFF-E8D7-44A7-BFC7-5CF5C5FBCADD}">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619</v>
      </c>
      <c r="B1" s="8" t="s">
        <v>620</v>
      </c>
      <c r="C1" s="8" t="s">
        <v>579</v>
      </c>
      <c r="D1" s="8" t="s">
        <v>621</v>
      </c>
      <c r="E1" s="8" t="s">
        <v>622</v>
      </c>
      <c r="F1" s="8" t="s">
        <v>623</v>
      </c>
      <c r="G1" s="8" t="s">
        <v>624</v>
      </c>
      <c r="H1" s="8" t="s">
        <v>625</v>
      </c>
      <c r="I1" s="8" t="s">
        <v>626</v>
      </c>
      <c r="J1" s="8" t="s">
        <v>627</v>
      </c>
    </row>
    <row r="2" customFormat="false" ht="28.35" hidden="false" customHeight="false" outlineLevel="0" collapsed="false">
      <c r="A2" s="21" t="n">
        <v>1</v>
      </c>
      <c r="B2" s="59" t="s">
        <v>628</v>
      </c>
      <c r="C2" s="21" t="s">
        <v>583</v>
      </c>
      <c r="D2" s="52" t="n">
        <v>0.292957781765626</v>
      </c>
      <c r="E2" s="52" t="n">
        <v>0.379484708082941</v>
      </c>
      <c r="F2" s="37" t="n">
        <v>57.7594583158099</v>
      </c>
      <c r="G2" s="21" t="s">
        <v>629</v>
      </c>
      <c r="H2" s="59" t="s">
        <v>630</v>
      </c>
      <c r="I2" s="21" t="s">
        <v>589</v>
      </c>
      <c r="J2" s="21" t="s">
        <v>631</v>
      </c>
    </row>
    <row r="3" customFormat="false" ht="15" hidden="false" customHeight="false" outlineLevel="0" collapsed="false">
      <c r="A3" s="21" t="n">
        <v>2</v>
      </c>
      <c r="B3" s="59" t="s">
        <v>632</v>
      </c>
      <c r="C3" s="21" t="s">
        <v>583</v>
      </c>
      <c r="D3" s="52" t="n">
        <v>0.203291280024043</v>
      </c>
      <c r="E3" s="52" t="n">
        <v>0.263334640202355</v>
      </c>
      <c r="F3" s="37" t="n">
        <v>40.0808408083532</v>
      </c>
      <c r="G3" s="21" t="s">
        <v>629</v>
      </c>
      <c r="H3" s="59" t="s">
        <v>630</v>
      </c>
      <c r="I3" s="21" t="s">
        <v>590</v>
      </c>
      <c r="J3" s="21" t="s">
        <v>631</v>
      </c>
    </row>
    <row r="4" customFormat="false" ht="28.35" hidden="false" customHeight="false" outlineLevel="0" collapsed="false">
      <c r="A4" s="21" t="n">
        <v>3</v>
      </c>
      <c r="B4" s="59" t="s">
        <v>633</v>
      </c>
      <c r="C4" s="21" t="s">
        <v>583</v>
      </c>
      <c r="D4" s="52" t="n">
        <v>0.137113012577403</v>
      </c>
      <c r="E4" s="52" t="n">
        <v>0.177610204578677</v>
      </c>
      <c r="F4" s="37" t="n">
        <v>27.0331557222654</v>
      </c>
      <c r="G4" s="21" t="s">
        <v>629</v>
      </c>
      <c r="H4" s="59" t="s">
        <v>630</v>
      </c>
      <c r="I4" s="21" t="s">
        <v>592</v>
      </c>
      <c r="J4" s="21" t="s">
        <v>631</v>
      </c>
    </row>
    <row r="5" customFormat="false" ht="15" hidden="false" customHeight="false" outlineLevel="0" collapsed="false">
      <c r="A5" s="21" t="n">
        <v>4</v>
      </c>
      <c r="B5" s="59" t="s">
        <v>634</v>
      </c>
      <c r="C5" s="21" t="s">
        <v>584</v>
      </c>
      <c r="D5" s="52" t="n">
        <v>0.0955176393406269</v>
      </c>
      <c r="E5" s="52" t="n">
        <v>0.463464392957347</v>
      </c>
      <c r="F5" s="37" t="n">
        <v>18.8322258404226</v>
      </c>
      <c r="G5" s="21" t="s">
        <v>629</v>
      </c>
      <c r="H5" s="59" t="s">
        <v>630</v>
      </c>
      <c r="I5" s="21" t="s">
        <v>593</v>
      </c>
      <c r="J5" s="21" t="s">
        <v>631</v>
      </c>
    </row>
    <row r="6" customFormat="false" ht="28.35" hidden="false" customHeight="false" outlineLevel="0" collapsed="false">
      <c r="A6" s="21" t="n">
        <v>5</v>
      </c>
      <c r="B6" s="59" t="s">
        <v>635</v>
      </c>
      <c r="C6" s="21" t="s">
        <v>583</v>
      </c>
      <c r="D6" s="52" t="n">
        <v>0.0846029524578678</v>
      </c>
      <c r="E6" s="52" t="n">
        <v>0.10959096741835</v>
      </c>
      <c r="F6" s="37" t="n">
        <v>16.6802898234466</v>
      </c>
      <c r="G6" s="21" t="s">
        <v>629</v>
      </c>
      <c r="H6" s="59" t="s">
        <v>630</v>
      </c>
      <c r="I6" s="21" t="s">
        <v>591</v>
      </c>
      <c r="J6" s="21" t="s">
        <v>631</v>
      </c>
    </row>
    <row r="7" customFormat="false" ht="15" hidden="false" customHeight="false" outlineLevel="0" collapsed="false">
      <c r="A7" s="21" t="n">
        <v>6</v>
      </c>
      <c r="B7" s="59" t="s">
        <v>636</v>
      </c>
      <c r="C7" s="21" t="s">
        <v>584</v>
      </c>
      <c r="D7" s="52" t="n">
        <v>0.0649340678066171</v>
      </c>
      <c r="E7" s="52" t="n">
        <v>0.315068803270191</v>
      </c>
      <c r="F7" s="37" t="n">
        <v>12.8023791010024</v>
      </c>
      <c r="G7" s="21" t="s">
        <v>629</v>
      </c>
      <c r="H7" s="59" t="s">
        <v>630</v>
      </c>
      <c r="I7" s="21" t="s">
        <v>594</v>
      </c>
      <c r="J7" s="21" t="s">
        <v>631</v>
      </c>
    </row>
    <row r="8" customFormat="false" ht="28.35" hidden="false" customHeight="false" outlineLevel="0" collapsed="false">
      <c r="A8" s="21" t="n">
        <v>7</v>
      </c>
      <c r="B8" s="59" t="s">
        <v>637</v>
      </c>
      <c r="C8" s="21" t="s">
        <v>584</v>
      </c>
      <c r="D8" s="52" t="n">
        <v>0.0176794099695696</v>
      </c>
      <c r="E8" s="52" t="n">
        <v>0.0857828676038643</v>
      </c>
      <c r="F8" s="37" t="n">
        <v>3.48566655929427</v>
      </c>
      <c r="G8" s="21" t="s">
        <v>629</v>
      </c>
      <c r="H8" s="59" t="s">
        <v>630</v>
      </c>
      <c r="I8" s="21" t="s">
        <v>595</v>
      </c>
      <c r="J8" s="21" t="s">
        <v>638</v>
      </c>
    </row>
    <row r="9" customFormat="false" ht="15" hidden="false" customHeight="false" outlineLevel="0" collapsed="false">
      <c r="A9" s="21" t="n">
        <v>8</v>
      </c>
      <c r="B9" s="59" t="s">
        <v>639</v>
      </c>
      <c r="C9" s="21" t="s">
        <v>583</v>
      </c>
      <c r="D9" s="52" t="n">
        <v>0.0171681510517164</v>
      </c>
      <c r="E9" s="52" t="n">
        <v>0.0222388726147464</v>
      </c>
      <c r="F9" s="37" t="n">
        <v>3.38486692196648</v>
      </c>
      <c r="G9" s="21" t="s">
        <v>629</v>
      </c>
      <c r="H9" s="59" t="s">
        <v>630</v>
      </c>
      <c r="I9" s="21" t="s">
        <v>596</v>
      </c>
      <c r="J9" s="21" t="s">
        <v>638</v>
      </c>
    </row>
    <row r="10" customFormat="false" ht="15" hidden="false" customHeight="false" outlineLevel="0" collapsed="false">
      <c r="A10" s="21" t="n">
        <v>9</v>
      </c>
      <c r="B10" s="59" t="s">
        <v>640</v>
      </c>
      <c r="C10" s="21" t="s">
        <v>582</v>
      </c>
      <c r="D10" s="52" t="n">
        <v>0.0138021544447162</v>
      </c>
      <c r="E10" s="52" t="n">
        <v>0.756614063649803</v>
      </c>
      <c r="F10" s="37" t="n">
        <v>2.72122815619809</v>
      </c>
      <c r="G10" s="21" t="s">
        <v>629</v>
      </c>
      <c r="H10" s="59" t="s">
        <v>630</v>
      </c>
      <c r="I10" s="21" t="s">
        <v>597</v>
      </c>
      <c r="J10" s="21" t="s">
        <v>638</v>
      </c>
    </row>
    <row r="11" customFormat="false" ht="15" hidden="false" customHeight="false" outlineLevel="0" collapsed="false">
      <c r="A11" s="21" t="n">
        <v>10</v>
      </c>
      <c r="B11" s="59" t="s">
        <v>641</v>
      </c>
      <c r="C11" s="21" t="s">
        <v>583</v>
      </c>
      <c r="D11" s="52" t="n">
        <v>0.0114890349092841</v>
      </c>
      <c r="E11" s="52" t="n">
        <v>0.0148823937443397</v>
      </c>
      <c r="F11" s="37" t="n">
        <v>2.26517428187853</v>
      </c>
      <c r="G11" s="21" t="s">
        <v>629</v>
      </c>
      <c r="H11" s="59" t="s">
        <v>630</v>
      </c>
      <c r="I11" s="21" t="s">
        <v>598</v>
      </c>
      <c r="J11" s="21" t="s">
        <v>638</v>
      </c>
    </row>
    <row r="12" customFormat="false" ht="15" hidden="false" customHeight="false" outlineLevel="0" collapsed="false">
      <c r="A12" s="21" t="n">
        <v>11</v>
      </c>
      <c r="B12" s="59" t="s">
        <v>643</v>
      </c>
      <c r="C12" s="21" t="s">
        <v>583</v>
      </c>
      <c r="D12" s="52" t="n">
        <v>0.00987947577206808</v>
      </c>
      <c r="E12" s="52" t="n">
        <v>0.01279744117661</v>
      </c>
      <c r="F12" s="37" t="n">
        <v>1.94783414046786</v>
      </c>
      <c r="G12" s="21" t="s">
        <v>629</v>
      </c>
      <c r="H12" s="59" t="s">
        <v>630</v>
      </c>
      <c r="I12" s="21" t="s">
        <v>607</v>
      </c>
      <c r="J12" s="21" t="s">
        <v>638</v>
      </c>
    </row>
    <row r="13" customFormat="false" ht="15" hidden="false" customHeight="false" outlineLevel="0" collapsed="false">
      <c r="A13" s="21" t="n">
        <v>12</v>
      </c>
      <c r="B13" s="59" t="s">
        <v>644</v>
      </c>
      <c r="C13" s="21" t="s">
        <v>583</v>
      </c>
      <c r="D13" s="52" t="n">
        <v>0.00864144949921113</v>
      </c>
      <c r="E13" s="52" t="n">
        <v>0.0111937560451804</v>
      </c>
      <c r="F13" s="37" t="n">
        <v>1.70374529438912</v>
      </c>
      <c r="G13" s="21" t="s">
        <v>629</v>
      </c>
      <c r="H13" s="59" t="s">
        <v>630</v>
      </c>
      <c r="I13" s="21" t="s">
        <v>608</v>
      </c>
      <c r="J13" s="21" t="s">
        <v>638</v>
      </c>
    </row>
    <row r="14" customFormat="false" ht="28.35" hidden="false" customHeight="false" outlineLevel="0" collapsed="false">
      <c r="A14" s="21" t="n">
        <v>13</v>
      </c>
      <c r="B14" s="59" t="s">
        <v>642</v>
      </c>
      <c r="C14" s="21" t="s">
        <v>584</v>
      </c>
      <c r="D14" s="52" t="n">
        <v>0.00820301485073667</v>
      </c>
      <c r="E14" s="52" t="n">
        <v>0.0398021279049736</v>
      </c>
      <c r="F14" s="37" t="n">
        <v>1.61730366566657</v>
      </c>
      <c r="G14" s="21" t="s">
        <v>629</v>
      </c>
      <c r="H14" s="59" t="s">
        <v>630</v>
      </c>
      <c r="I14" s="21" t="s">
        <v>606</v>
      </c>
      <c r="J14" s="21" t="s">
        <v>638</v>
      </c>
    </row>
    <row r="15" customFormat="false" ht="15" hidden="false" customHeight="false" outlineLevel="0" collapsed="false">
      <c r="A15" s="21" t="n">
        <v>14</v>
      </c>
      <c r="B15" s="59" t="s">
        <v>646</v>
      </c>
      <c r="C15" s="21" t="s">
        <v>583</v>
      </c>
      <c r="D15" s="52" t="n">
        <v>0.00684523334666049</v>
      </c>
      <c r="E15" s="52" t="n">
        <v>0.00886701613680043</v>
      </c>
      <c r="F15" s="37" t="n">
        <v>1.34960391823536</v>
      </c>
      <c r="G15" s="21" t="s">
        <v>629</v>
      </c>
      <c r="H15" s="59" t="s">
        <v>630</v>
      </c>
      <c r="I15" s="21" t="s">
        <v>611</v>
      </c>
      <c r="J15" s="21" t="s">
        <v>638</v>
      </c>
    </row>
    <row r="16" customFormat="false" ht="15" hidden="false" customHeight="false" outlineLevel="0" collapsed="false">
      <c r="A16" s="21" t="n">
        <v>15</v>
      </c>
      <c r="B16" s="59" t="s">
        <v>645</v>
      </c>
      <c r="C16" s="21" t="s">
        <v>584</v>
      </c>
      <c r="D16" s="52" t="n">
        <v>0.00606064166722069</v>
      </c>
      <c r="E16" s="52" t="n">
        <v>0.0294070459720388</v>
      </c>
      <c r="F16" s="37" t="n">
        <v>1.19491408500953</v>
      </c>
      <c r="G16" s="21" t="s">
        <v>629</v>
      </c>
      <c r="H16" s="59" t="s">
        <v>630</v>
      </c>
      <c r="I16" s="21" t="s">
        <v>609</v>
      </c>
      <c r="J16" s="21" t="s">
        <v>638</v>
      </c>
    </row>
    <row r="17" customFormat="false" ht="15" hidden="false" customHeight="false" outlineLevel="0" collapsed="false">
      <c r="A17" s="21" t="n">
        <v>16</v>
      </c>
      <c r="B17" s="59" t="s">
        <v>647</v>
      </c>
      <c r="C17" s="21" t="s">
        <v>584</v>
      </c>
      <c r="D17" s="52" t="n">
        <v>0.00483748105732755</v>
      </c>
      <c r="E17" s="52" t="n">
        <v>0.0234721066931077</v>
      </c>
      <c r="F17" s="37" t="n">
        <v>0.953756148071077</v>
      </c>
      <c r="G17" s="21" t="s">
        <v>629</v>
      </c>
      <c r="H17" s="59" t="s">
        <v>630</v>
      </c>
      <c r="I17" s="21" t="s">
        <v>610</v>
      </c>
      <c r="J17" s="21" t="s">
        <v>638</v>
      </c>
    </row>
    <row r="18" customFormat="false" ht="15" hidden="false" customHeight="false" outlineLevel="0" collapsed="false">
      <c r="A18" s="21" t="n">
        <v>17</v>
      </c>
      <c r="B18" s="59" t="s">
        <v>651</v>
      </c>
      <c r="C18" s="21" t="s">
        <v>581</v>
      </c>
      <c r="D18" s="52" t="n">
        <v>0.00367474575682961</v>
      </c>
      <c r="E18" s="52" t="n">
        <v>1</v>
      </c>
      <c r="F18" s="37" t="n">
        <v>0.72451164493253</v>
      </c>
      <c r="G18" s="21" t="s">
        <v>629</v>
      </c>
      <c r="H18" s="59" t="s">
        <v>650</v>
      </c>
      <c r="I18" s="21" t="s">
        <v>613</v>
      </c>
      <c r="J18" s="21" t="s">
        <v>638</v>
      </c>
    </row>
    <row r="19" customFormat="false" ht="15" hidden="false" customHeight="false" outlineLevel="0" collapsed="false">
      <c r="A19" s="21" t="n">
        <v>18</v>
      </c>
      <c r="B19" s="59" t="s">
        <v>648</v>
      </c>
      <c r="C19" s="21" t="s">
        <v>584</v>
      </c>
      <c r="D19" s="52" t="n">
        <v>0.00365087092945244</v>
      </c>
      <c r="E19" s="52" t="n">
        <v>0.0177145152535676</v>
      </c>
      <c r="F19" s="37" t="n">
        <v>0.71980449194831</v>
      </c>
      <c r="G19" s="21" t="s">
        <v>629</v>
      </c>
      <c r="H19" s="59" t="s">
        <v>630</v>
      </c>
      <c r="I19" s="21" t="s">
        <v>612</v>
      </c>
      <c r="J19" s="21" t="s">
        <v>638</v>
      </c>
    </row>
    <row r="20" customFormat="false" ht="15" hidden="false" customHeight="false" outlineLevel="0" collapsed="false">
      <c r="A20" s="21" t="n">
        <v>19</v>
      </c>
      <c r="B20" s="59" t="s">
        <v>649</v>
      </c>
      <c r="C20" s="21" t="s">
        <v>584</v>
      </c>
      <c r="D20" s="52" t="n">
        <v>0.00320255229310481</v>
      </c>
      <c r="E20" s="52" t="n">
        <v>0.015539213120049</v>
      </c>
      <c r="F20" s="37" t="n">
        <v>0.631414139480942</v>
      </c>
      <c r="G20" s="21" t="s">
        <v>629</v>
      </c>
      <c r="H20" s="59" t="s">
        <v>650</v>
      </c>
      <c r="I20" s="21" t="s">
        <v>614</v>
      </c>
      <c r="J20" s="21" t="s">
        <v>638</v>
      </c>
    </row>
    <row r="21" customFormat="false" ht="15" hidden="false" customHeight="false" outlineLevel="0" collapsed="false">
      <c r="A21" s="21" t="n">
        <v>20</v>
      </c>
      <c r="B21" s="59" t="s">
        <v>654</v>
      </c>
      <c r="C21" s="21" t="s">
        <v>582</v>
      </c>
      <c r="D21" s="52" t="n">
        <v>0.00229508142728772</v>
      </c>
      <c r="E21" s="52" t="n">
        <v>0.125813031006338</v>
      </c>
      <c r="F21" s="37" t="n">
        <v>0.452497486948028</v>
      </c>
      <c r="G21" s="21" t="s">
        <v>629</v>
      </c>
      <c r="H21" s="59" t="s">
        <v>655</v>
      </c>
      <c r="I21" s="21" t="s">
        <v>616</v>
      </c>
      <c r="J21" s="21" t="s">
        <v>638</v>
      </c>
    </row>
    <row r="22" customFormat="false" ht="28.35" hidden="false" customHeight="false" outlineLevel="0" collapsed="false">
      <c r="A22" s="21" t="n">
        <v>21</v>
      </c>
      <c r="B22" s="59" t="s">
        <v>652</v>
      </c>
      <c r="C22" s="21" t="s">
        <v>584</v>
      </c>
      <c r="D22" s="52" t="n">
        <v>0.00200920400525354</v>
      </c>
      <c r="E22" s="52" t="n">
        <v>0.00974892722486109</v>
      </c>
      <c r="F22" s="37" t="n">
        <v>0.396133989989873</v>
      </c>
      <c r="G22" s="21" t="s">
        <v>629</v>
      </c>
      <c r="H22" s="59" t="s">
        <v>653</v>
      </c>
      <c r="I22" s="21" t="s">
        <v>615</v>
      </c>
      <c r="J22" s="21" t="s">
        <v>638</v>
      </c>
    </row>
    <row r="23" customFormat="false" ht="15" hidden="false" customHeight="false" outlineLevel="0" collapsed="false">
      <c r="A23" s="21" t="n">
        <v>22</v>
      </c>
      <c r="B23" s="59" t="s">
        <v>656</v>
      </c>
      <c r="C23" s="21" t="s">
        <v>582</v>
      </c>
      <c r="D23" s="52" t="n">
        <v>0.00117016709873613</v>
      </c>
      <c r="E23" s="52" t="n">
        <v>0.0641468610766766</v>
      </c>
      <c r="F23" s="37" t="n">
        <v>0.230709753994704</v>
      </c>
      <c r="G23" s="21" t="s">
        <v>629</v>
      </c>
      <c r="H23" s="59" t="s">
        <v>657</v>
      </c>
      <c r="I23" s="21" t="s">
        <v>617</v>
      </c>
      <c r="J23" s="21" t="s">
        <v>638</v>
      </c>
    </row>
    <row r="24" customFormat="false" ht="15" hidden="false" customHeight="false" outlineLevel="0" collapsed="false">
      <c r="A24" s="21" t="n">
        <v>23</v>
      </c>
      <c r="B24" s="59" t="s">
        <v>658</v>
      </c>
      <c r="C24" s="21" t="s">
        <v>582</v>
      </c>
      <c r="D24" s="52" t="n">
        <v>0.000974597948640814</v>
      </c>
      <c r="E24" s="52" t="n">
        <v>0.0534260442671817</v>
      </c>
      <c r="F24" s="37" t="n">
        <v>0.192151405741556</v>
      </c>
      <c r="G24" s="21" t="s">
        <v>629</v>
      </c>
      <c r="H24" s="59" t="s">
        <v>657</v>
      </c>
      <c r="I24" s="21" t="s">
        <v>618</v>
      </c>
      <c r="J24" s="21" t="s">
        <v>638</v>
      </c>
    </row>
    <row r="26" customFormat="false" ht="15" hidden="false" customHeight="false" outlineLevel="0" collapsed="false">
      <c r="B26" s="5" t="s">
        <v>659</v>
      </c>
      <c r="C26" s="41" t="s">
        <v>583</v>
      </c>
      <c r="D26" s="60" t="n">
        <f aca="false">SUMIF(C2:C24,"Historical voter data",D2:D24)</f>
        <v>0.77198837140388</v>
      </c>
      <c r="F26" s="61" t="n">
        <f aca="false">SUMIF(C2:C24,"Historical voter data",F2:F24)</f>
        <v>152.204969226813</v>
      </c>
    </row>
    <row r="27" customFormat="false" ht="15" hidden="false" customHeight="false" outlineLevel="0" collapsed="false">
      <c r="B27" s="5" t="s">
        <v>660</v>
      </c>
      <c r="C27" s="41" t="s">
        <v>584</v>
      </c>
      <c r="D27" s="60" t="n">
        <f aca="false">SUMIF(C2:C24,"Voter registration data",D2:D24)</f>
        <v>0.206094881919909</v>
      </c>
      <c r="F27" s="61" t="n">
        <f aca="false">SUMIF(C2:C24,"Voter registration data",F2:F24)</f>
        <v>40.6335980208856</v>
      </c>
    </row>
    <row r="28" customFormat="false" ht="15" hidden="false" customHeight="false" outlineLevel="0" collapsed="false">
      <c r="B28" s="5" t="s">
        <v>661</v>
      </c>
      <c r="C28" s="41" t="s">
        <v>582</v>
      </c>
      <c r="D28" s="60" t="n">
        <f aca="false">SUMIF(C2:C24,"Geography &amp; municipal context",D2:D24)</f>
        <v>0.0182420009193809</v>
      </c>
      <c r="F28" s="61" t="n">
        <f aca="false">SUMIF(C2:C24,"Geography &amp; municipal context",F2:F24)</f>
        <v>3.59658680288238</v>
      </c>
    </row>
    <row r="29" customFormat="false" ht="15" hidden="false" customHeight="false" outlineLevel="0" collapsed="false">
      <c r="B29" s="5" t="s">
        <v>662</v>
      </c>
      <c r="C29" s="41" t="s">
        <v>581</v>
      </c>
      <c r="D29" s="60" t="n">
        <f aca="false">SUMIF(C2:C24,"Election type",D2:D24)</f>
        <v>0.00367474575682961</v>
      </c>
      <c r="F29" s="61" t="n">
        <f aca="false">SUMIF(C2:C24,"Election type",F2:F24)</f>
        <v>0.72451164493253</v>
      </c>
    </row>
    <row r="30" customFormat="false" ht="15" hidden="false" customHeight="false" outlineLevel="0" collapsed="false">
      <c r="B30" s="5" t="s">
        <v>663</v>
      </c>
      <c r="D30" s="60" t="n">
        <f aca="false">SUM(D2:D24)</f>
        <v>1</v>
      </c>
      <c r="F30" s="61" t="n">
        <f aca="false">SUM(F2:F24)</f>
        <v>197.159665695513</v>
      </c>
    </row>
    <row r="32" customFormat="false" ht="15" hidden="false" customHeight="false" outlineLevel="0" collapsed="false">
      <c r="B32" s="5" t="s">
        <v>103</v>
      </c>
    </row>
    <row r="33" customFormat="false" ht="30" hidden="false" customHeight="true" outlineLevel="0" collapsed="false">
      <c r="B33" s="62" t="s">
        <v>664</v>
      </c>
    </row>
    <row r="34" customFormat="false" ht="45" hidden="false" customHeight="true" outlineLevel="0" collapsed="false">
      <c r="B34" s="62" t="s">
        <v>665</v>
      </c>
    </row>
    <row r="35" customFormat="false" ht="60" hidden="false" customHeight="true" outlineLevel="0" collapsed="false">
      <c r="B35" s="62" t="s">
        <v>666</v>
      </c>
    </row>
    <row r="36" customFormat="false" ht="30" hidden="false" customHeight="true" outlineLevel="0" collapsed="false">
      <c r="B36" s="62" t="s">
        <v>667</v>
      </c>
    </row>
    <row r="37" customFormat="false" ht="75" hidden="false" customHeight="true" outlineLevel="0" collapsed="false">
      <c r="B37" s="62" t="s">
        <v>668</v>
      </c>
    </row>
    <row r="38" customFormat="false" ht="75" hidden="false" customHeight="true" outlineLevel="0" collapsed="false">
      <c r="B38" s="62" t="s">
        <v>674</v>
      </c>
    </row>
    <row r="39" customFormat="false" ht="45" hidden="false" customHeight="true" outlineLevel="0" collapsed="false">
      <c r="B39" s="62" t="s">
        <v>670</v>
      </c>
    </row>
    <row r="40" customFormat="false" ht="30" hidden="false" customHeight="true" outlineLevel="0" collapsed="false">
      <c r="B40" s="62" t="s">
        <v>671</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{2EDD8ABA-B0E7-47AE-8CE9-E82B79E74E91}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EDD8ABA-B0E7-47AE-8CE9-E82B79E74E91}">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675</v>
      </c>
      <c r="E1" s="8" t="s">
        <v>676</v>
      </c>
      <c r="F1" s="8" t="s">
        <v>677</v>
      </c>
      <c r="G1" s="8" t="s">
        <v>678</v>
      </c>
      <c r="H1" s="8" t="s">
        <v>679</v>
      </c>
      <c r="I1" s="8" t="s">
        <v>680</v>
      </c>
      <c r="J1" s="8" t="s">
        <v>681</v>
      </c>
      <c r="K1" s="8" t="s">
        <v>682</v>
      </c>
      <c r="L1" s="8" t="s">
        <v>683</v>
      </c>
      <c r="M1" s="8" t="s">
        <v>684</v>
      </c>
    </row>
    <row r="2" customFormat="false" ht="15" hidden="false" customHeight="false" outlineLevel="0" collapsed="false">
      <c r="A2" s="21" t="s">
        <v>120</v>
      </c>
      <c r="B2" s="21" t="s">
        <v>121</v>
      </c>
      <c r="C2" s="21" t="s">
        <v>121</v>
      </c>
      <c r="D2" s="37" t="n">
        <v>162</v>
      </c>
      <c r="E2" s="37" t="n">
        <v>181</v>
      </c>
      <c r="F2" s="63" t="n">
        <f aca="false">IF(E2="","",D2-E2)</f>
        <v>-19</v>
      </c>
      <c r="G2" s="37" t="n">
        <v>276</v>
      </c>
      <c r="H2" s="37" t="n">
        <v>284</v>
      </c>
      <c r="I2" s="63" t="n">
        <f aca="false">IF(H2="","",G2-H2)</f>
        <v>-8</v>
      </c>
      <c r="J2" s="52" t="n">
        <f aca="false">IF(OR(D2="",D2+G2=0),"",D2/(D2+G2))</f>
        <v>0.36986301369863</v>
      </c>
      <c r="K2" s="52" t="n">
        <f aca="false">IF(E2="","",E2/(E2+H2))</f>
        <v>0.389247311827957</v>
      </c>
      <c r="L2" s="64" t="n">
        <f aca="false">IF(OR(K2="",J2=""),"",(J2-K2)*100)</f>
        <v>-1.93842981293269</v>
      </c>
      <c r="M2" s="21"/>
    </row>
    <row r="3" customFormat="false" ht="15" hidden="false" customHeight="false" outlineLevel="0" collapsed="false">
      <c r="A3" s="21" t="s">
        <v>120</v>
      </c>
      <c r="B3" s="21" t="s">
        <v>124</v>
      </c>
      <c r="C3" s="21" t="s">
        <v>124</v>
      </c>
      <c r="D3" s="37" t="n">
        <v>106</v>
      </c>
      <c r="E3" s="37" t="n">
        <v>118</v>
      </c>
      <c r="F3" s="63" t="n">
        <f aca="false">IF(E3="","",D3-E3)</f>
        <v>-12</v>
      </c>
      <c r="G3" s="37" t="n">
        <v>298</v>
      </c>
      <c r="H3" s="37" t="n">
        <v>298</v>
      </c>
      <c r="I3" s="63" t="n">
        <f aca="false">IF(H3="","",G3-H3)</f>
        <v>0</v>
      </c>
      <c r="J3" s="52" t="n">
        <f aca="false">IF(OR(D3="",D3+G3=0),"",D3/(D3+G3))</f>
        <v>0.262376237623762</v>
      </c>
      <c r="K3" s="52" t="n">
        <f aca="false">IF(E3="","",E3/(E3+H3))</f>
        <v>0.283653846153846</v>
      </c>
      <c r="L3" s="64" t="n">
        <f aca="false">IF(OR(K3="",J3=""),"",(J3-K3)*100)</f>
        <v>-2.12776085300838</v>
      </c>
      <c r="M3" s="21"/>
    </row>
    <row r="4" customFormat="false" ht="15" hidden="false" customHeight="false" outlineLevel="0" collapsed="false">
      <c r="A4" s="21" t="s">
        <v>120</v>
      </c>
      <c r="B4" s="21" t="s">
        <v>125</v>
      </c>
      <c r="C4" s="21" t="s">
        <v>125</v>
      </c>
      <c r="D4" s="37" t="n">
        <v>135</v>
      </c>
      <c r="E4" s="37" t="n">
        <v>143</v>
      </c>
      <c r="F4" s="63" t="n">
        <f aca="false">IF(E4="","",D4-E4)</f>
        <v>-8</v>
      </c>
      <c r="G4" s="37" t="n">
        <v>268</v>
      </c>
      <c r="H4" s="37" t="n">
        <v>309</v>
      </c>
      <c r="I4" s="63" t="n">
        <f aca="false">IF(H4="","",G4-H4)</f>
        <v>-41</v>
      </c>
      <c r="J4" s="52" t="n">
        <f aca="false">IF(OR(D4="",D4+G4=0),"",D4/(D4+G4))</f>
        <v>0.334987593052109</v>
      </c>
      <c r="K4" s="52" t="n">
        <f aca="false">IF(E4="","",E4/(E4+H4))</f>
        <v>0.316371681415929</v>
      </c>
      <c r="L4" s="64" t="n">
        <f aca="false">IF(OR(K4="",J4=""),"",(J4-K4)*100)</f>
        <v>1.861591163618</v>
      </c>
      <c r="M4" s="21"/>
    </row>
    <row r="5" customFormat="false" ht="15" hidden="false" customHeight="false" outlineLevel="0" collapsed="false">
      <c r="A5" s="21" t="s">
        <v>120</v>
      </c>
      <c r="B5" s="21" t="s">
        <v>126</v>
      </c>
      <c r="C5" s="21" t="s">
        <v>127</v>
      </c>
      <c r="D5" s="37" t="n">
        <v>212</v>
      </c>
      <c r="E5" s="37" t="n">
        <v>202</v>
      </c>
      <c r="F5" s="63" t="n">
        <f aca="false">IF(E5="","",D5-E5)</f>
        <v>10</v>
      </c>
      <c r="G5" s="37" t="n">
        <v>580</v>
      </c>
      <c r="H5" s="37" t="n">
        <v>640</v>
      </c>
      <c r="I5" s="63" t="n">
        <f aca="false">IF(H5="","",G5-H5)</f>
        <v>-60</v>
      </c>
      <c r="J5" s="52" t="n">
        <f aca="false">IF(OR(D5="",D5+G5=0),"",D5/(D5+G5))</f>
        <v>0.267676767676768</v>
      </c>
      <c r="K5" s="52" t="n">
        <f aca="false">IF(E5="","",E5/(E5+H5))</f>
        <v>0.239904988123515</v>
      </c>
      <c r="L5" s="64" t="n">
        <f aca="false">IF(OR(K5="",J5=""),"",(J5-K5)*100)</f>
        <v>2.77717795532522</v>
      </c>
      <c r="M5" s="21"/>
    </row>
    <row r="6" customFormat="false" ht="15" hidden="false" customHeight="false" outlineLevel="0" collapsed="false">
      <c r="A6" s="21" t="s">
        <v>120</v>
      </c>
      <c r="B6" s="21" t="s">
        <v>126</v>
      </c>
      <c r="C6" s="21" t="s">
        <v>128</v>
      </c>
      <c r="D6" s="37" t="n">
        <v>219</v>
      </c>
      <c r="E6" s="37" t="n">
        <v>232</v>
      </c>
      <c r="F6" s="63" t="n">
        <f aca="false">IF(E6="","",D6-E6)</f>
        <v>-13</v>
      </c>
      <c r="G6" s="37" t="n">
        <v>564</v>
      </c>
      <c r="H6" s="37" t="n">
        <v>603</v>
      </c>
      <c r="I6" s="63" t="n">
        <f aca="false">IF(H6="","",G6-H6)</f>
        <v>-39</v>
      </c>
      <c r="J6" s="52" t="n">
        <f aca="false">IF(OR(D6="",D6+G6=0),"",D6/(D6+G6))</f>
        <v>0.279693486590038</v>
      </c>
      <c r="K6" s="52" t="n">
        <f aca="false">IF(E6="","",E6/(E6+H6))</f>
        <v>0.277844311377246</v>
      </c>
      <c r="L6" s="64" t="n">
        <f aca="false">IF(OR(K6="",J6=""),"",(J6-K6)*100)</f>
        <v>0.184917521279276</v>
      </c>
      <c r="M6" s="21"/>
    </row>
    <row r="7" customFormat="false" ht="15" hidden="false" customHeight="false" outlineLevel="0" collapsed="false">
      <c r="A7" s="21" t="s">
        <v>120</v>
      </c>
      <c r="B7" s="21" t="s">
        <v>129</v>
      </c>
      <c r="C7" s="21" t="s">
        <v>129</v>
      </c>
      <c r="D7" s="37" t="n">
        <v>40</v>
      </c>
      <c r="E7" s="37" t="n">
        <v>38</v>
      </c>
      <c r="F7" s="63" t="n">
        <f aca="false">IF(E7="","",D7-E7)</f>
        <v>2</v>
      </c>
      <c r="G7" s="37" t="n">
        <v>72</v>
      </c>
      <c r="H7" s="37" t="n">
        <v>78</v>
      </c>
      <c r="I7" s="63" t="n">
        <f aca="false">IF(H7="","",G7-H7)</f>
        <v>-6</v>
      </c>
      <c r="J7" s="52" t="n">
        <f aca="false">IF(OR(D7="",D7+G7=0),"",D7/(D7+G7))</f>
        <v>0.357142857142857</v>
      </c>
      <c r="K7" s="52" t="n">
        <f aca="false">IF(E7="","",E7/(E7+H7))</f>
        <v>0.327586206896552</v>
      </c>
      <c r="L7" s="64" t="n">
        <f aca="false">IF(OR(K7="",J7=""),"",(J7-K7)*100)</f>
        <v>2.95566502463054</v>
      </c>
      <c r="M7" s="21"/>
    </row>
    <row r="8" customFormat="false" ht="15" hidden="false" customHeight="false" outlineLevel="0" collapsed="false">
      <c r="A8" s="21" t="s">
        <v>120</v>
      </c>
      <c r="B8" s="21" t="s">
        <v>130</v>
      </c>
      <c r="C8" s="21" t="s">
        <v>131</v>
      </c>
      <c r="D8" s="37" t="n">
        <v>287</v>
      </c>
      <c r="E8" s="37" t="n">
        <v>301</v>
      </c>
      <c r="F8" s="63" t="n">
        <f aca="false">IF(E8="","",D8-E8)</f>
        <v>-14</v>
      </c>
      <c r="G8" s="37" t="n">
        <v>722</v>
      </c>
      <c r="H8" s="37" t="n">
        <v>760</v>
      </c>
      <c r="I8" s="63" t="n">
        <f aca="false">IF(H8="","",G8-H8)</f>
        <v>-38</v>
      </c>
      <c r="J8" s="52" t="n">
        <f aca="false">IF(OR(D8="",D8+G8=0),"",D8/(D8+G8))</f>
        <v>0.284440039643211</v>
      </c>
      <c r="K8" s="52" t="n">
        <f aca="false">IF(E8="","",E8/(E8+H8))</f>
        <v>0.283694627709708</v>
      </c>
      <c r="L8" s="64" t="n">
        <f aca="false">IF(OR(K8="",J8=""),"",(J8-K8)*100)</f>
        <v>0.0745411933503248</v>
      </c>
      <c r="M8" s="21"/>
    </row>
    <row r="9" customFormat="false" ht="15" hidden="false" customHeight="false" outlineLevel="0" collapsed="false">
      <c r="A9" s="21" t="s">
        <v>120</v>
      </c>
      <c r="B9" s="21" t="s">
        <v>130</v>
      </c>
      <c r="C9" s="21" t="s">
        <v>133</v>
      </c>
      <c r="D9" s="37" t="n">
        <v>164</v>
      </c>
      <c r="E9" s="37" t="n">
        <v>164</v>
      </c>
      <c r="F9" s="63" t="n">
        <f aca="false">IF(E9="","",D9-E9)</f>
        <v>0</v>
      </c>
      <c r="G9" s="37" t="n">
        <v>424</v>
      </c>
      <c r="H9" s="37" t="n">
        <v>450</v>
      </c>
      <c r="I9" s="63" t="n">
        <f aca="false">IF(H9="","",G9-H9)</f>
        <v>-26</v>
      </c>
      <c r="J9" s="52" t="n">
        <f aca="false">IF(OR(D9="",D9+G9=0),"",D9/(D9+G9))</f>
        <v>0.27891156462585</v>
      </c>
      <c r="K9" s="52" t="n">
        <f aca="false">IF(E9="","",E9/(E9+H9))</f>
        <v>0.267100977198697</v>
      </c>
      <c r="L9" s="64" t="n">
        <f aca="false">IF(OR(K9="",J9=""),"",(J9-K9)*100)</f>
        <v>1.18105874271532</v>
      </c>
      <c r="M9" s="21"/>
    </row>
    <row r="10" customFormat="false" ht="15" hidden="false" customHeight="false" outlineLevel="0" collapsed="false">
      <c r="A10" s="21" t="s">
        <v>120</v>
      </c>
      <c r="B10" s="21" t="s">
        <v>130</v>
      </c>
      <c r="C10" s="21" t="s">
        <v>134</v>
      </c>
      <c r="D10" s="37" t="n">
        <v>223</v>
      </c>
      <c r="E10" s="37" t="n">
        <v>235</v>
      </c>
      <c r="F10" s="63" t="n">
        <f aca="false">IF(E10="","",D10-E10)</f>
        <v>-12</v>
      </c>
      <c r="G10" s="37" t="n">
        <v>615</v>
      </c>
      <c r="H10" s="37" t="n">
        <v>626</v>
      </c>
      <c r="I10" s="63" t="n">
        <f aca="false">IF(H10="","",G10-H10)</f>
        <v>-11</v>
      </c>
      <c r="J10" s="52" t="n">
        <f aca="false">IF(OR(D10="",D10+G10=0),"",D10/(D10+G10))</f>
        <v>0.266109785202864</v>
      </c>
      <c r="K10" s="52" t="n">
        <f aca="false">IF(E10="","",E10/(E10+H10))</f>
        <v>0.272938443670151</v>
      </c>
      <c r="L10" s="64" t="n">
        <f aca="false">IF(OR(K10="",J10=""),"",(J10-K10)*100)</f>
        <v>-0.682865846728703</v>
      </c>
      <c r="M10" s="21"/>
    </row>
    <row r="11" customFormat="false" ht="15" hidden="false" customHeight="false" outlineLevel="0" collapsed="false">
      <c r="A11" s="21" t="s">
        <v>120</v>
      </c>
      <c r="B11" s="21" t="s">
        <v>135</v>
      </c>
      <c r="C11" s="21" t="s">
        <v>136</v>
      </c>
      <c r="D11" s="37" t="n">
        <v>226</v>
      </c>
      <c r="E11" s="37" t="n">
        <v>229</v>
      </c>
      <c r="F11" s="63" t="n">
        <f aca="false">IF(E11="","",D11-E11)</f>
        <v>-3</v>
      </c>
      <c r="G11" s="37" t="n">
        <v>269</v>
      </c>
      <c r="H11" s="37" t="n">
        <v>297</v>
      </c>
      <c r="I11" s="63" t="n">
        <f aca="false">IF(H11="","",G11-H11)</f>
        <v>-28</v>
      </c>
      <c r="J11" s="52" t="n">
        <f aca="false">IF(OR(D11="",D11+G11=0),"",D11/(D11+G11))</f>
        <v>0.456565656565657</v>
      </c>
      <c r="K11" s="52" t="n">
        <f aca="false">IF(E11="","",E11/(E11+H11))</f>
        <v>0.435361216730038</v>
      </c>
      <c r="L11" s="64" t="n">
        <f aca="false">IF(OR(K11="",J11=""),"",(J11-K11)*100)</f>
        <v>2.12044398356185</v>
      </c>
      <c r="M11" s="21"/>
    </row>
    <row r="12" customFormat="false" ht="15" hidden="false" customHeight="false" outlineLevel="0" collapsed="false">
      <c r="A12" s="21" t="s">
        <v>120</v>
      </c>
      <c r="B12" s="21" t="s">
        <v>135</v>
      </c>
      <c r="C12" s="21" t="s">
        <v>137</v>
      </c>
      <c r="D12" s="37" t="n">
        <v>161</v>
      </c>
      <c r="E12" s="37" t="n">
        <v>163</v>
      </c>
      <c r="F12" s="63" t="n">
        <f aca="false">IF(E12="","",D12-E12)</f>
        <v>-2</v>
      </c>
      <c r="G12" s="37" t="n">
        <v>209</v>
      </c>
      <c r="H12" s="37" t="n">
        <v>226</v>
      </c>
      <c r="I12" s="63" t="n">
        <f aca="false">IF(H12="","",G12-H12)</f>
        <v>-17</v>
      </c>
      <c r="J12" s="52" t="n">
        <f aca="false">IF(OR(D12="",D12+G12=0),"",D12/(D12+G12))</f>
        <v>0.435135135135135</v>
      </c>
      <c r="K12" s="52" t="n">
        <f aca="false">IF(E12="","",E12/(E12+H12))</f>
        <v>0.419023136246787</v>
      </c>
      <c r="L12" s="64" t="n">
        <f aca="false">IF(OR(K12="",J12=""),"",(J12-K12)*100)</f>
        <v>1.61119988883485</v>
      </c>
      <c r="M12" s="21"/>
    </row>
    <row r="13" customFormat="false" ht="15" hidden="false" customHeight="false" outlineLevel="0" collapsed="false">
      <c r="A13" s="21" t="s">
        <v>120</v>
      </c>
      <c r="B13" s="21" t="s">
        <v>135</v>
      </c>
      <c r="C13" s="21" t="s">
        <v>138</v>
      </c>
      <c r="D13" s="37" t="n">
        <v>284</v>
      </c>
      <c r="E13" s="37" t="n">
        <v>286</v>
      </c>
      <c r="F13" s="63" t="n">
        <f aca="false">IF(E13="","",D13-E13)</f>
        <v>-2</v>
      </c>
      <c r="G13" s="37" t="n">
        <v>441</v>
      </c>
      <c r="H13" s="37" t="n">
        <v>464</v>
      </c>
      <c r="I13" s="63" t="n">
        <f aca="false">IF(H13="","",G13-H13)</f>
        <v>-23</v>
      </c>
      <c r="J13" s="52" t="n">
        <f aca="false">IF(OR(D13="",D13+G13=0),"",D13/(D13+G13))</f>
        <v>0.391724137931035</v>
      </c>
      <c r="K13" s="52" t="n">
        <f aca="false">IF(E13="","",E13/(E13+H13))</f>
        <v>0.381333333333333</v>
      </c>
      <c r="L13" s="64" t="n">
        <f aca="false">IF(OR(K13="",J13=""),"",(J13-K13)*100)</f>
        <v>1.03908045977011</v>
      </c>
      <c r="M13" s="21"/>
    </row>
    <row r="14" customFormat="false" ht="15" hidden="false" customHeight="false" outlineLevel="0" collapsed="false">
      <c r="A14" s="21" t="s">
        <v>120</v>
      </c>
      <c r="B14" s="21" t="s">
        <v>135</v>
      </c>
      <c r="C14" s="21" t="s">
        <v>139</v>
      </c>
      <c r="D14" s="37" t="n">
        <v>130</v>
      </c>
      <c r="E14" s="37" t="n">
        <v>138</v>
      </c>
      <c r="F14" s="63" t="n">
        <f aca="false">IF(E14="","",D14-E14)</f>
        <v>-8</v>
      </c>
      <c r="G14" s="37" t="n">
        <v>119</v>
      </c>
      <c r="H14" s="37" t="n">
        <v>134</v>
      </c>
      <c r="I14" s="63" t="n">
        <f aca="false">IF(H14="","",G14-H14)</f>
        <v>-15</v>
      </c>
      <c r="J14" s="52" t="n">
        <f aca="false">IF(OR(D14="",D14+G14=0),"",D14/(D14+G14))</f>
        <v>0.522088353413655</v>
      </c>
      <c r="K14" s="52" t="n">
        <f aca="false">IF(E14="","",E14/(E14+H14))</f>
        <v>0.507352941176471</v>
      </c>
      <c r="L14" s="64" t="n">
        <f aca="false">IF(OR(K14="",J14=""),"",(J14-K14)*100)</f>
        <v>1.47354122371841</v>
      </c>
      <c r="M14" s="21"/>
    </row>
    <row r="15" customFormat="false" ht="15" hidden="false" customHeight="false" outlineLevel="0" collapsed="false">
      <c r="A15" s="21" t="s">
        <v>120</v>
      </c>
      <c r="B15" s="21" t="s">
        <v>135</v>
      </c>
      <c r="C15" s="21" t="s">
        <v>140</v>
      </c>
      <c r="D15" s="37" t="n">
        <v>279</v>
      </c>
      <c r="E15" s="37" t="n">
        <v>275</v>
      </c>
      <c r="F15" s="63" t="n">
        <f aca="false">IF(E15="","",D15-E15)</f>
        <v>4</v>
      </c>
      <c r="G15" s="37" t="n">
        <v>313</v>
      </c>
      <c r="H15" s="37" t="n">
        <v>352</v>
      </c>
      <c r="I15" s="63" t="n">
        <f aca="false">IF(H15="","",G15-H15)</f>
        <v>-39</v>
      </c>
      <c r="J15" s="52" t="n">
        <f aca="false">IF(OR(D15="",D15+G15=0),"",D15/(D15+G15))</f>
        <v>0.471283783783784</v>
      </c>
      <c r="K15" s="52" t="n">
        <f aca="false">IF(E15="","",E15/(E15+H15))</f>
        <v>0.43859649122807</v>
      </c>
      <c r="L15" s="64" t="n">
        <f aca="false">IF(OR(K15="",J15=""),"",(J15-K15)*100)</f>
        <v>3.26872925557136</v>
      </c>
      <c r="M15" s="21"/>
    </row>
    <row r="16" customFormat="false" ht="15" hidden="false" customHeight="false" outlineLevel="0" collapsed="false">
      <c r="A16" s="21" t="s">
        <v>120</v>
      </c>
      <c r="B16" s="21" t="s">
        <v>141</v>
      </c>
      <c r="C16" s="21" t="s">
        <v>142</v>
      </c>
      <c r="D16" s="37" t="n">
        <v>110</v>
      </c>
      <c r="E16" s="37" t="n">
        <v>120</v>
      </c>
      <c r="F16" s="63" t="n">
        <f aca="false">IF(E16="","",D16-E16)</f>
        <v>-10</v>
      </c>
      <c r="G16" s="37" t="n">
        <v>216</v>
      </c>
      <c r="H16" s="37" t="n">
        <v>202</v>
      </c>
      <c r="I16" s="63" t="n">
        <f aca="false">IF(H16="","",G16-H16)</f>
        <v>14</v>
      </c>
      <c r="J16" s="52" t="n">
        <f aca="false">IF(OR(D16="",D16+G16=0),"",D16/(D16+G16))</f>
        <v>0.337423312883436</v>
      </c>
      <c r="K16" s="52" t="n">
        <f aca="false">IF(E16="","",E16/(E16+H16))</f>
        <v>0.372670807453416</v>
      </c>
      <c r="L16" s="64" t="n">
        <f aca="false">IF(OR(K16="",J16=""),"",(J16-K16)*100)</f>
        <v>-3.52474945699806</v>
      </c>
      <c r="M16" s="21"/>
    </row>
    <row r="17" customFormat="false" ht="15" hidden="false" customHeight="false" outlineLevel="0" collapsed="false">
      <c r="A17" s="21" t="s">
        <v>120</v>
      </c>
      <c r="B17" s="21" t="s">
        <v>141</v>
      </c>
      <c r="C17" s="21" t="s">
        <v>143</v>
      </c>
      <c r="D17" s="37" t="n">
        <v>218</v>
      </c>
      <c r="E17" s="37" t="n">
        <v>227</v>
      </c>
      <c r="F17" s="63" t="n">
        <f aca="false">IF(E17="","",D17-E17)</f>
        <v>-9</v>
      </c>
      <c r="G17" s="37" t="n">
        <v>498</v>
      </c>
      <c r="H17" s="37" t="n">
        <v>484</v>
      </c>
      <c r="I17" s="63" t="n">
        <f aca="false">IF(H17="","",G17-H17)</f>
        <v>14</v>
      </c>
      <c r="J17" s="52" t="n">
        <f aca="false">IF(OR(D17="",D17+G17=0),"",D17/(D17+G17))</f>
        <v>0.304469273743017</v>
      </c>
      <c r="K17" s="52" t="n">
        <f aca="false">IF(E17="","",E17/(E17+H17))</f>
        <v>0.319268635724332</v>
      </c>
      <c r="L17" s="64" t="n">
        <f aca="false">IF(OR(K17="",J17=""),"",(J17-K17)*100)</f>
        <v>-1.47993619813152</v>
      </c>
      <c r="M17" s="21"/>
    </row>
    <row r="18" customFormat="false" ht="15" hidden="false" customHeight="false" outlineLevel="0" collapsed="false">
      <c r="A18" s="21" t="s">
        <v>120</v>
      </c>
      <c r="B18" s="21" t="s">
        <v>144</v>
      </c>
      <c r="C18" s="21" t="s">
        <v>145</v>
      </c>
      <c r="D18" s="37" t="n">
        <v>262</v>
      </c>
      <c r="E18" s="37" t="n">
        <v>249</v>
      </c>
      <c r="F18" s="63" t="n">
        <f aca="false">IF(E18="","",D18-E18)</f>
        <v>13</v>
      </c>
      <c r="G18" s="37" t="n">
        <v>391</v>
      </c>
      <c r="H18" s="37" t="n">
        <v>392</v>
      </c>
      <c r="I18" s="63" t="n">
        <f aca="false">IF(H18="","",G18-H18)</f>
        <v>-1</v>
      </c>
      <c r="J18" s="52" t="n">
        <f aca="false">IF(OR(D18="",D18+G18=0),"",D18/(D18+G18))</f>
        <v>0.401225114854518</v>
      </c>
      <c r="K18" s="52" t="n">
        <f aca="false">IF(E18="","",E18/(E18+H18))</f>
        <v>0.388455538221529</v>
      </c>
      <c r="L18" s="64" t="n">
        <f aca="false">IF(OR(K18="",J18=""),"",(J18-K18)*100)</f>
        <v>1.27695766329888</v>
      </c>
      <c r="M18" s="21"/>
    </row>
    <row r="19" customFormat="false" ht="15" hidden="false" customHeight="false" outlineLevel="0" collapsed="false">
      <c r="A19" s="21" t="s">
        <v>120</v>
      </c>
      <c r="B19" s="21" t="s">
        <v>144</v>
      </c>
      <c r="C19" s="21" t="s">
        <v>146</v>
      </c>
      <c r="D19" s="37" t="n">
        <v>167</v>
      </c>
      <c r="E19" s="37" t="n">
        <v>152</v>
      </c>
      <c r="F19" s="63" t="n">
        <f aca="false">IF(E19="","",D19-E19)</f>
        <v>15</v>
      </c>
      <c r="G19" s="37" t="n">
        <v>242</v>
      </c>
      <c r="H19" s="37" t="n">
        <v>246</v>
      </c>
      <c r="I19" s="63" t="n">
        <f aca="false">IF(H19="","",G19-H19)</f>
        <v>-4</v>
      </c>
      <c r="J19" s="52" t="n">
        <f aca="false">IF(OR(D19="",D19+G19=0),"",D19/(D19+G19))</f>
        <v>0.408312958435208</v>
      </c>
      <c r="K19" s="52" t="n">
        <f aca="false">IF(E19="","",E19/(E19+H19))</f>
        <v>0.381909547738693</v>
      </c>
      <c r="L19" s="64" t="n">
        <f aca="false">IF(OR(K19="",J19=""),"",(J19-K19)*100)</f>
        <v>2.64034106965144</v>
      </c>
      <c r="M19" s="21"/>
    </row>
    <row r="20" customFormat="false" ht="15" hidden="false" customHeight="false" outlineLevel="0" collapsed="false">
      <c r="A20" s="21" t="s">
        <v>120</v>
      </c>
      <c r="B20" s="21" t="s">
        <v>144</v>
      </c>
      <c r="C20" s="21" t="s">
        <v>147</v>
      </c>
      <c r="D20" s="37" t="n">
        <v>148</v>
      </c>
      <c r="E20" s="37" t="n">
        <v>165</v>
      </c>
      <c r="F20" s="63" t="n">
        <f aca="false">IF(E20="","",D20-E20)</f>
        <v>-17</v>
      </c>
      <c r="G20" s="37" t="n">
        <v>199</v>
      </c>
      <c r="H20" s="37" t="n">
        <v>237</v>
      </c>
      <c r="I20" s="63" t="n">
        <f aca="false">IF(H20="","",G20-H20)</f>
        <v>-38</v>
      </c>
      <c r="J20" s="52" t="n">
        <f aca="false">IF(OR(D20="",D20+G20=0),"",D20/(D20+G20))</f>
        <v>0.426512968299712</v>
      </c>
      <c r="K20" s="52" t="n">
        <f aca="false">IF(E20="","",E20/(E20+H20))</f>
        <v>0.41044776119403</v>
      </c>
      <c r="L20" s="64" t="n">
        <f aca="false">IF(OR(K20="",J20=""),"",(J20-K20)*100)</f>
        <v>1.60652071056819</v>
      </c>
      <c r="M20" s="21"/>
    </row>
    <row r="21" customFormat="false" ht="15" hidden="false" customHeight="false" outlineLevel="0" collapsed="false">
      <c r="A21" s="21" t="s">
        <v>120</v>
      </c>
      <c r="B21" s="21" t="s">
        <v>148</v>
      </c>
      <c r="C21" s="21" t="s">
        <v>148</v>
      </c>
      <c r="D21" s="37" t="n">
        <v>42</v>
      </c>
      <c r="E21" s="37" t="n">
        <v>38</v>
      </c>
      <c r="F21" s="63" t="n">
        <f aca="false">IF(E21="","",D21-E21)</f>
        <v>4</v>
      </c>
      <c r="G21" s="37" t="n">
        <v>97</v>
      </c>
      <c r="H21" s="37" t="n">
        <v>106</v>
      </c>
      <c r="I21" s="63" t="n">
        <f aca="false">IF(H21="","",G21-H21)</f>
        <v>-9</v>
      </c>
      <c r="J21" s="52" t="n">
        <f aca="false">IF(OR(D21="",D21+G21=0),"",D21/(D21+G21))</f>
        <v>0.302158273381295</v>
      </c>
      <c r="K21" s="52" t="n">
        <f aca="false">IF(E21="","",E21/(E21+H21))</f>
        <v>0.263888888888889</v>
      </c>
      <c r="L21" s="64" t="n">
        <f aca="false">IF(OR(K21="",J21=""),"",(J21-K21)*100)</f>
        <v>3.82693844924061</v>
      </c>
      <c r="M21" s="21"/>
    </row>
    <row r="22" customFormat="false" ht="15" hidden="false" customHeight="false" outlineLevel="0" collapsed="false">
      <c r="A22" s="21" t="s">
        <v>120</v>
      </c>
      <c r="B22" s="21" t="s">
        <v>149</v>
      </c>
      <c r="C22" s="21" t="s">
        <v>149</v>
      </c>
      <c r="D22" s="37" t="n">
        <v>56</v>
      </c>
      <c r="E22" s="37" t="n">
        <v>58</v>
      </c>
      <c r="F22" s="63" t="n">
        <f aca="false">IF(E22="","",D22-E22)</f>
        <v>-2</v>
      </c>
      <c r="G22" s="37" t="n">
        <v>208</v>
      </c>
      <c r="H22" s="37" t="n">
        <v>214</v>
      </c>
      <c r="I22" s="63" t="n">
        <f aca="false">IF(H22="","",G22-H22)</f>
        <v>-6</v>
      </c>
      <c r="J22" s="52" t="n">
        <f aca="false">IF(OR(D22="",D22+G22=0),"",D22/(D22+G22))</f>
        <v>0.212121212121212</v>
      </c>
      <c r="K22" s="52" t="n">
        <f aca="false">IF(E22="","",E22/(E22+H22))</f>
        <v>0.213235294117647</v>
      </c>
      <c r="L22" s="64" t="n">
        <f aca="false">IF(OR(K22="",J22=""),"",(J22-K22)*100)</f>
        <v>-0.111408199643492</v>
      </c>
      <c r="M22" s="21"/>
    </row>
    <row r="23" customFormat="false" ht="15" hidden="false" customHeight="false" outlineLevel="0" collapsed="false">
      <c r="A23" s="21" t="s">
        <v>120</v>
      </c>
      <c r="B23" s="21" t="s">
        <v>150</v>
      </c>
      <c r="C23" s="21" t="s">
        <v>151</v>
      </c>
      <c r="D23" s="37" t="n">
        <v>296</v>
      </c>
      <c r="E23" s="37" t="n">
        <v>321</v>
      </c>
      <c r="F23" s="63" t="n">
        <f aca="false">IF(E23="","",D23-E23)</f>
        <v>-25</v>
      </c>
      <c r="G23" s="37" t="n">
        <v>489</v>
      </c>
      <c r="H23" s="37" t="n">
        <v>498</v>
      </c>
      <c r="I23" s="63" t="n">
        <f aca="false">IF(H23="","",G23-H23)</f>
        <v>-9</v>
      </c>
      <c r="J23" s="52" t="n">
        <f aca="false">IF(OR(D23="",D23+G23=0),"",D23/(D23+G23))</f>
        <v>0.377070063694268</v>
      </c>
      <c r="K23" s="52" t="n">
        <f aca="false">IF(E23="","",E23/(E23+H23))</f>
        <v>0.391941391941392</v>
      </c>
      <c r="L23" s="64" t="n">
        <f aca="false">IF(OR(K23="",J23=""),"",(J23-K23)*100)</f>
        <v>-1.48713282471244</v>
      </c>
      <c r="M23" s="21"/>
    </row>
    <row r="24" customFormat="false" ht="15" hidden="false" customHeight="false" outlineLevel="0" collapsed="false">
      <c r="A24" s="21" t="s">
        <v>120</v>
      </c>
      <c r="B24" s="21" t="s">
        <v>150</v>
      </c>
      <c r="C24" s="21" t="s">
        <v>152</v>
      </c>
      <c r="D24" s="37" t="n">
        <v>291</v>
      </c>
      <c r="E24" s="37" t="n">
        <v>288</v>
      </c>
      <c r="F24" s="63" t="n">
        <f aca="false">IF(E24="","",D24-E24)</f>
        <v>3</v>
      </c>
      <c r="G24" s="37" t="n">
        <v>413</v>
      </c>
      <c r="H24" s="37" t="n">
        <v>448</v>
      </c>
      <c r="I24" s="63" t="n">
        <f aca="false">IF(H24="","",G24-H24)</f>
        <v>-35</v>
      </c>
      <c r="J24" s="52" t="n">
        <f aca="false">IF(OR(D24="",D24+G24=0),"",D24/(D24+G24))</f>
        <v>0.413352272727273</v>
      </c>
      <c r="K24" s="52" t="n">
        <f aca="false">IF(E24="","",E24/(E24+H24))</f>
        <v>0.391304347826087</v>
      </c>
      <c r="L24" s="64" t="n">
        <f aca="false">IF(OR(K24="",J24=""),"",(J24-K24)*100)</f>
        <v>2.20479249011857</v>
      </c>
      <c r="M24" s="21"/>
    </row>
    <row r="25" customFormat="false" ht="15" hidden="false" customHeight="false" outlineLevel="0" collapsed="false">
      <c r="A25" s="21" t="s">
        <v>120</v>
      </c>
      <c r="B25" s="21" t="s">
        <v>150</v>
      </c>
      <c r="C25" s="21" t="s">
        <v>153</v>
      </c>
      <c r="D25" s="37" t="n">
        <v>308</v>
      </c>
      <c r="E25" s="37" t="n">
        <v>317</v>
      </c>
      <c r="F25" s="63" t="n">
        <f aca="false">IF(E25="","",D25-E25)</f>
        <v>-9</v>
      </c>
      <c r="G25" s="37" t="n">
        <v>467</v>
      </c>
      <c r="H25" s="37" t="n">
        <v>527</v>
      </c>
      <c r="I25" s="63" t="n">
        <f aca="false">IF(H25="","",G25-H25)</f>
        <v>-60</v>
      </c>
      <c r="J25" s="52" t="n">
        <f aca="false">IF(OR(D25="",D25+G25=0),"",D25/(D25+G25))</f>
        <v>0.39741935483871</v>
      </c>
      <c r="K25" s="52" t="n">
        <f aca="false">IF(E25="","",E25/(E25+H25))</f>
        <v>0.375592417061611</v>
      </c>
      <c r="L25" s="64" t="n">
        <f aca="false">IF(OR(K25="",J25=""),"",(J25-K25)*100)</f>
        <v>2.18269377770983</v>
      </c>
      <c r="M25" s="21"/>
    </row>
    <row r="26" customFormat="false" ht="15" hidden="false" customHeight="false" outlineLevel="0" collapsed="false">
      <c r="A26" s="21" t="s">
        <v>120</v>
      </c>
      <c r="B26" s="21" t="s">
        <v>154</v>
      </c>
      <c r="C26" s="21" t="s">
        <v>155</v>
      </c>
      <c r="D26" s="37" t="n">
        <v>309</v>
      </c>
      <c r="E26" s="37" t="n">
        <v>285</v>
      </c>
      <c r="F26" s="63" t="n">
        <f aca="false">IF(E26="","",D26-E26)</f>
        <v>24</v>
      </c>
      <c r="G26" s="37" t="n">
        <v>696</v>
      </c>
      <c r="H26" s="37" t="n">
        <v>760</v>
      </c>
      <c r="I26" s="63" t="n">
        <f aca="false">IF(H26="","",G26-H26)</f>
        <v>-64</v>
      </c>
      <c r="J26" s="52" t="n">
        <f aca="false">IF(OR(D26="",D26+G26=0),"",D26/(D26+G26))</f>
        <v>0.307462686567164</v>
      </c>
      <c r="K26" s="52" t="n">
        <f aca="false">IF(E26="","",E26/(E26+H26))</f>
        <v>0.272727272727273</v>
      </c>
      <c r="L26" s="64" t="n">
        <f aca="false">IF(OR(K26="",J26=""),"",(J26-K26)*100)</f>
        <v>3.47354138398915</v>
      </c>
      <c r="M26" s="21"/>
    </row>
    <row r="27" customFormat="false" ht="15" hidden="false" customHeight="false" outlineLevel="0" collapsed="false">
      <c r="A27" s="21" t="s">
        <v>120</v>
      </c>
      <c r="B27" s="21" t="s">
        <v>154</v>
      </c>
      <c r="C27" s="21" t="s">
        <v>156</v>
      </c>
      <c r="D27" s="37" t="n">
        <v>210</v>
      </c>
      <c r="E27" s="37" t="n">
        <v>228</v>
      </c>
      <c r="F27" s="63" t="n">
        <f aca="false">IF(E27="","",D27-E27)</f>
        <v>-18</v>
      </c>
      <c r="G27" s="37" t="n">
        <v>465</v>
      </c>
      <c r="H27" s="37" t="n">
        <v>522</v>
      </c>
      <c r="I27" s="63" t="n">
        <f aca="false">IF(H27="","",G27-H27)</f>
        <v>-57</v>
      </c>
      <c r="J27" s="52" t="n">
        <f aca="false">IF(OR(D27="",D27+G27=0),"",D27/(D27+G27))</f>
        <v>0.311111111111111</v>
      </c>
      <c r="K27" s="52" t="n">
        <f aca="false">IF(E27="","",E27/(E27+H27))</f>
        <v>0.304</v>
      </c>
      <c r="L27" s="64" t="n">
        <f aca="false">IF(OR(K27="",J27=""),"",(J27-K27)*100)</f>
        <v>0.711111111111112</v>
      </c>
      <c r="M27" s="21"/>
    </row>
    <row r="28" customFormat="false" ht="15" hidden="false" customHeight="false" outlineLevel="0" collapsed="false">
      <c r="A28" s="21" t="s">
        <v>120</v>
      </c>
      <c r="B28" s="21" t="s">
        <v>157</v>
      </c>
      <c r="C28" s="21" t="s">
        <v>158</v>
      </c>
      <c r="D28" s="37" t="n">
        <v>136</v>
      </c>
      <c r="E28" s="37" t="n">
        <v>135</v>
      </c>
      <c r="F28" s="63" t="n">
        <f aca="false">IF(E28="","",D28-E28)</f>
        <v>1</v>
      </c>
      <c r="G28" s="37" t="n">
        <v>381</v>
      </c>
      <c r="H28" s="37" t="n">
        <v>395</v>
      </c>
      <c r="I28" s="63" t="n">
        <f aca="false">IF(H28="","",G28-H28)</f>
        <v>-14</v>
      </c>
      <c r="J28" s="52" t="n">
        <f aca="false">IF(OR(D28="",D28+G28=0),"",D28/(D28+G28))</f>
        <v>0.263056092843327</v>
      </c>
      <c r="K28" s="52" t="n">
        <f aca="false">IF(E28="","",E28/(E28+H28))</f>
        <v>0.254716981132075</v>
      </c>
      <c r="L28" s="64" t="n">
        <f aca="false">IF(OR(K28="",J28=""),"",(J28-K28)*100)</f>
        <v>0.83391117112514</v>
      </c>
      <c r="M28" s="21"/>
    </row>
    <row r="29" customFormat="false" ht="15" hidden="false" customHeight="false" outlineLevel="0" collapsed="false">
      <c r="A29" s="21" t="s">
        <v>120</v>
      </c>
      <c r="B29" s="21" t="s">
        <v>157</v>
      </c>
      <c r="C29" s="21" t="s">
        <v>159</v>
      </c>
      <c r="D29" s="37" t="n">
        <v>115</v>
      </c>
      <c r="E29" s="37" t="n">
        <v>124</v>
      </c>
      <c r="F29" s="63" t="n">
        <f aca="false">IF(E29="","",D29-E29)</f>
        <v>-9</v>
      </c>
      <c r="G29" s="37" t="n">
        <v>280</v>
      </c>
      <c r="H29" s="37" t="n">
        <v>298</v>
      </c>
      <c r="I29" s="63" t="n">
        <f aca="false">IF(H29="","",G29-H29)</f>
        <v>-18</v>
      </c>
      <c r="J29" s="52" t="n">
        <f aca="false">IF(OR(D29="",D29+G29=0),"",D29/(D29+G29))</f>
        <v>0.291139240506329</v>
      </c>
      <c r="K29" s="52" t="n">
        <f aca="false">IF(E29="","",E29/(E29+H29))</f>
        <v>0.293838862559242</v>
      </c>
      <c r="L29" s="64" t="n">
        <f aca="false">IF(OR(K29="",J29=""),"",(J29-K29)*100)</f>
        <v>-0.269962205291258</v>
      </c>
      <c r="M29" s="21"/>
    </row>
    <row r="30" customFormat="false" ht="15" hidden="false" customHeight="false" outlineLevel="0" collapsed="false">
      <c r="A30" s="21" t="s">
        <v>120</v>
      </c>
      <c r="B30" s="21" t="s">
        <v>157</v>
      </c>
      <c r="C30" s="21" t="s">
        <v>160</v>
      </c>
      <c r="D30" s="37" t="n">
        <v>375</v>
      </c>
      <c r="E30" s="37" t="n">
        <v>424</v>
      </c>
      <c r="F30" s="63" t="n">
        <f aca="false">IF(E30="","",D30-E30)</f>
        <v>-49</v>
      </c>
      <c r="G30" s="37" t="n">
        <v>902</v>
      </c>
      <c r="H30" s="37" t="n">
        <v>988</v>
      </c>
      <c r="I30" s="63" t="n">
        <f aca="false">IF(H30="","",G30-H30)</f>
        <v>-86</v>
      </c>
      <c r="J30" s="52" t="n">
        <f aca="false">IF(OR(D30="",D30+G30=0),"",D30/(D30+G30))</f>
        <v>0.293657008613939</v>
      </c>
      <c r="K30" s="52" t="n">
        <f aca="false">IF(E30="","",E30/(E30+H30))</f>
        <v>0.30028328611898</v>
      </c>
      <c r="L30" s="64" t="n">
        <f aca="false">IF(OR(K30="",J30=""),"",(J30-K30)*100)</f>
        <v>-0.66262775050413</v>
      </c>
      <c r="M30" s="21"/>
    </row>
    <row r="31" customFormat="false" ht="15" hidden="false" customHeight="false" outlineLevel="0" collapsed="false">
      <c r="A31" s="21" t="s">
        <v>120</v>
      </c>
      <c r="B31" s="21" t="s">
        <v>161</v>
      </c>
      <c r="C31" s="21" t="s">
        <v>162</v>
      </c>
      <c r="D31" s="37" t="n">
        <v>293</v>
      </c>
      <c r="E31" s="37" t="n">
        <v>279</v>
      </c>
      <c r="F31" s="63" t="n">
        <f aca="false">IF(E31="","",D31-E31)</f>
        <v>14</v>
      </c>
      <c r="G31" s="37" t="n">
        <v>411</v>
      </c>
      <c r="H31" s="37" t="n">
        <v>445</v>
      </c>
      <c r="I31" s="63" t="n">
        <f aca="false">IF(H31="","",G31-H31)</f>
        <v>-34</v>
      </c>
      <c r="J31" s="52" t="n">
        <f aca="false">IF(OR(D31="",D31+G31=0),"",D31/(D31+G31))</f>
        <v>0.416193181818182</v>
      </c>
      <c r="K31" s="52" t="n">
        <f aca="false">IF(E31="","",E31/(E31+H31))</f>
        <v>0.385359116022099</v>
      </c>
      <c r="L31" s="64" t="n">
        <f aca="false">IF(OR(K31="",J31=""),"",(J31-K31)*100)</f>
        <v>3.08340657960824</v>
      </c>
      <c r="M31" s="21"/>
    </row>
    <row r="32" customFormat="false" ht="15" hidden="false" customHeight="false" outlineLevel="0" collapsed="false">
      <c r="A32" s="21" t="s">
        <v>120</v>
      </c>
      <c r="B32" s="21" t="s">
        <v>161</v>
      </c>
      <c r="C32" s="21" t="s">
        <v>163</v>
      </c>
      <c r="D32" s="37" t="n">
        <v>281</v>
      </c>
      <c r="E32" s="37" t="n">
        <v>309</v>
      </c>
      <c r="F32" s="63" t="n">
        <f aca="false">IF(E32="","",D32-E32)</f>
        <v>-28</v>
      </c>
      <c r="G32" s="37" t="n">
        <v>472</v>
      </c>
      <c r="H32" s="37" t="n">
        <v>488</v>
      </c>
      <c r="I32" s="63" t="n">
        <f aca="false">IF(H32="","",G32-H32)</f>
        <v>-16</v>
      </c>
      <c r="J32" s="52" t="n">
        <f aca="false">IF(OR(D32="",D32+G32=0),"",D32/(D32+G32))</f>
        <v>0.373173970783533</v>
      </c>
      <c r="K32" s="52" t="n">
        <f aca="false">IF(E32="","",E32/(E32+H32))</f>
        <v>0.387703889585947</v>
      </c>
      <c r="L32" s="64" t="n">
        <f aca="false">IF(OR(K32="",J32=""),"",(J32-K32)*100)</f>
        <v>-1.45299188024148</v>
      </c>
      <c r="M32" s="21"/>
    </row>
    <row r="33" customFormat="false" ht="15" hidden="false" customHeight="false" outlineLevel="0" collapsed="false">
      <c r="A33" s="21" t="s">
        <v>120</v>
      </c>
      <c r="B33" s="21" t="s">
        <v>164</v>
      </c>
      <c r="C33" s="21" t="s">
        <v>164</v>
      </c>
      <c r="D33" s="37" t="n">
        <v>120</v>
      </c>
      <c r="E33" s="37" t="n">
        <v>134</v>
      </c>
      <c r="F33" s="63" t="n">
        <f aca="false">IF(E33="","",D33-E33)</f>
        <v>-14</v>
      </c>
      <c r="G33" s="37" t="n">
        <v>475</v>
      </c>
      <c r="H33" s="37" t="n">
        <v>503</v>
      </c>
      <c r="I33" s="63" t="n">
        <f aca="false">IF(H33="","",G33-H33)</f>
        <v>-28</v>
      </c>
      <c r="J33" s="52" t="n">
        <f aca="false">IF(OR(D33="",D33+G33=0),"",D33/(D33+G33))</f>
        <v>0.201680672268908</v>
      </c>
      <c r="K33" s="52" t="n">
        <f aca="false">IF(E33="","",E33/(E33+H33))</f>
        <v>0.210361067503925</v>
      </c>
      <c r="L33" s="64" t="n">
        <f aca="false">IF(OR(K33="",J33=""),"",(J33-K33)*100)</f>
        <v>-0.868039523501707</v>
      </c>
      <c r="M33" s="21"/>
    </row>
    <row r="34" customFormat="false" ht="15" hidden="false" customHeight="false" outlineLevel="0" collapsed="false">
      <c r="A34" s="21" t="s">
        <v>120</v>
      </c>
      <c r="B34" s="21" t="s">
        <v>165</v>
      </c>
      <c r="C34" s="21" t="s">
        <v>166</v>
      </c>
      <c r="D34" s="37" t="n">
        <v>297</v>
      </c>
      <c r="E34" s="37" t="n">
        <v>281</v>
      </c>
      <c r="F34" s="63" t="n">
        <f aca="false">IF(E34="","",D34-E34)</f>
        <v>16</v>
      </c>
      <c r="G34" s="37" t="n">
        <v>572</v>
      </c>
      <c r="H34" s="37" t="n">
        <v>592</v>
      </c>
      <c r="I34" s="63" t="n">
        <f aca="false">IF(H34="","",G34-H34)</f>
        <v>-20</v>
      </c>
      <c r="J34" s="52" t="n">
        <f aca="false">IF(OR(D34="",D34+G34=0),"",D34/(D34+G34))</f>
        <v>0.341772151898734</v>
      </c>
      <c r="K34" s="52" t="n">
        <f aca="false">IF(E34="","",E34/(E34+H34))</f>
        <v>0.321878579610538</v>
      </c>
      <c r="L34" s="64" t="n">
        <f aca="false">IF(OR(K34="",J34=""),"",(J34-K34)*100)</f>
        <v>1.98935722881958</v>
      </c>
      <c r="M34" s="21"/>
    </row>
    <row r="35" customFormat="false" ht="15" hidden="false" customHeight="false" outlineLevel="0" collapsed="false">
      <c r="A35" s="21" t="s">
        <v>120</v>
      </c>
      <c r="B35" s="21" t="s">
        <v>165</v>
      </c>
      <c r="C35" s="21" t="s">
        <v>167</v>
      </c>
      <c r="D35" s="37" t="n">
        <v>499</v>
      </c>
      <c r="E35" s="37" t="n">
        <v>467</v>
      </c>
      <c r="F35" s="63" t="n">
        <f aca="false">IF(E35="","",D35-E35)</f>
        <v>32</v>
      </c>
      <c r="G35" s="37" t="n">
        <v>777</v>
      </c>
      <c r="H35" s="37" t="n">
        <v>782</v>
      </c>
      <c r="I35" s="63" t="n">
        <f aca="false">IF(H35="","",G35-H35)</f>
        <v>-5</v>
      </c>
      <c r="J35" s="52" t="n">
        <f aca="false">IF(OR(D35="",D35+G35=0),"",D35/(D35+G35))</f>
        <v>0.391065830721003</v>
      </c>
      <c r="K35" s="52" t="n">
        <f aca="false">IF(E35="","",E35/(E35+H35))</f>
        <v>0.373899119295436</v>
      </c>
      <c r="L35" s="64" t="n">
        <f aca="false">IF(OR(K35="",J35=""),"",(J35-K35)*100)</f>
        <v>1.71667114255668</v>
      </c>
      <c r="M35" s="21"/>
    </row>
    <row r="36" customFormat="false" ht="15" hidden="false" customHeight="false" outlineLevel="0" collapsed="false">
      <c r="A36" s="21" t="s">
        <v>120</v>
      </c>
      <c r="B36" s="21" t="s">
        <v>165</v>
      </c>
      <c r="C36" s="21" t="s">
        <v>168</v>
      </c>
      <c r="D36" s="37" t="n">
        <v>152</v>
      </c>
      <c r="E36" s="37" t="n">
        <v>136</v>
      </c>
      <c r="F36" s="63" t="n">
        <f aca="false">IF(E36="","",D36-E36)</f>
        <v>16</v>
      </c>
      <c r="G36" s="37" t="n">
        <v>263</v>
      </c>
      <c r="H36" s="37" t="n">
        <v>278</v>
      </c>
      <c r="I36" s="63" t="n">
        <f aca="false">IF(H36="","",G36-H36)</f>
        <v>-15</v>
      </c>
      <c r="J36" s="52" t="n">
        <f aca="false">IF(OR(D36="",D36+G36=0),"",D36/(D36+G36))</f>
        <v>0.366265060240964</v>
      </c>
      <c r="K36" s="52" t="n">
        <f aca="false">IF(E36="","",E36/(E36+H36))</f>
        <v>0.328502415458937</v>
      </c>
      <c r="L36" s="64" t="n">
        <f aca="false">IF(OR(K36="",J36=""),"",(J36-K36)*100)</f>
        <v>3.77626447820266</v>
      </c>
      <c r="M36" s="21"/>
    </row>
    <row r="37" customFormat="false" ht="15" hidden="false" customHeight="false" outlineLevel="0" collapsed="false">
      <c r="A37" s="21" t="s">
        <v>120</v>
      </c>
      <c r="B37" s="21" t="s">
        <v>169</v>
      </c>
      <c r="C37" s="21" t="s">
        <v>169</v>
      </c>
      <c r="D37" s="37" t="n">
        <v>58</v>
      </c>
      <c r="E37" s="37" t="n">
        <v>68</v>
      </c>
      <c r="F37" s="63" t="n">
        <f aca="false">IF(E37="","",D37-E37)</f>
        <v>-10</v>
      </c>
      <c r="G37" s="37" t="n">
        <v>157</v>
      </c>
      <c r="H37" s="37" t="n">
        <v>153</v>
      </c>
      <c r="I37" s="63" t="n">
        <f aca="false">IF(H37="","",G37-H37)</f>
        <v>4</v>
      </c>
      <c r="J37" s="52" t="n">
        <f aca="false">IF(OR(D37="",D37+G37=0),"",D37/(D37+G37))</f>
        <v>0.269767441860465</v>
      </c>
      <c r="K37" s="52" t="n">
        <f aca="false">IF(E37="","",E37/(E37+H37))</f>
        <v>0.307692307692308</v>
      </c>
      <c r="L37" s="64" t="n">
        <f aca="false">IF(OR(K37="",J37=""),"",(J37-K37)*100)</f>
        <v>-3.79248658318426</v>
      </c>
      <c r="M37" s="21"/>
    </row>
    <row r="38" customFormat="false" ht="15" hidden="false" customHeight="false" outlineLevel="0" collapsed="false">
      <c r="A38" s="21" t="s">
        <v>120</v>
      </c>
      <c r="B38" s="21" t="s">
        <v>170</v>
      </c>
      <c r="C38" s="21" t="s">
        <v>171</v>
      </c>
      <c r="D38" s="37" t="n">
        <v>381</v>
      </c>
      <c r="E38" s="37" t="n">
        <v>432</v>
      </c>
      <c r="F38" s="63" t="n">
        <f aca="false">IF(E38="","",D38-E38)</f>
        <v>-51</v>
      </c>
      <c r="G38" s="37" t="n">
        <v>655</v>
      </c>
      <c r="H38" s="37" t="n">
        <v>705</v>
      </c>
      <c r="I38" s="63" t="n">
        <f aca="false">IF(H38="","",G38-H38)</f>
        <v>-50</v>
      </c>
      <c r="J38" s="52" t="n">
        <f aca="false">IF(OR(D38="",D38+G38=0),"",D38/(D38+G38))</f>
        <v>0.367760617760618</v>
      </c>
      <c r="K38" s="52" t="n">
        <f aca="false">IF(E38="","",E38/(E38+H38))</f>
        <v>0.379947229551451</v>
      </c>
      <c r="L38" s="64" t="n">
        <f aca="false">IF(OR(K38="",J38=""),"",(J38-K38)*100)</f>
        <v>-1.21866117908334</v>
      </c>
      <c r="M38" s="21"/>
    </row>
    <row r="39" customFormat="false" ht="15" hidden="false" customHeight="false" outlineLevel="0" collapsed="false">
      <c r="A39" s="21" t="s">
        <v>120</v>
      </c>
      <c r="B39" s="21" t="s">
        <v>170</v>
      </c>
      <c r="C39" s="21" t="s">
        <v>172</v>
      </c>
      <c r="D39" s="37" t="n">
        <v>287</v>
      </c>
      <c r="E39" s="37" t="n">
        <v>296</v>
      </c>
      <c r="F39" s="63" t="n">
        <f aca="false">IF(E39="","",D39-E39)</f>
        <v>-9</v>
      </c>
      <c r="G39" s="37" t="n">
        <v>518</v>
      </c>
      <c r="H39" s="37" t="n">
        <v>529</v>
      </c>
      <c r="I39" s="63" t="n">
        <f aca="false">IF(H39="","",G39-H39)</f>
        <v>-11</v>
      </c>
      <c r="J39" s="52" t="n">
        <f aca="false">IF(OR(D39="",D39+G39=0),"",D39/(D39+G39))</f>
        <v>0.356521739130435</v>
      </c>
      <c r="K39" s="52" t="n">
        <f aca="false">IF(E39="","",E39/(E39+H39))</f>
        <v>0.358787878787879</v>
      </c>
      <c r="L39" s="64" t="n">
        <f aca="false">IF(OR(K39="",J39=""),"",(J39-K39)*100)</f>
        <v>-0.226613965744399</v>
      </c>
      <c r="M39" s="21"/>
    </row>
    <row r="40" customFormat="false" ht="15" hidden="false" customHeight="false" outlineLevel="0" collapsed="false">
      <c r="A40" s="21" t="s">
        <v>120</v>
      </c>
      <c r="B40" s="21" t="s">
        <v>170</v>
      </c>
      <c r="C40" s="21" t="s">
        <v>173</v>
      </c>
      <c r="D40" s="37" t="n">
        <v>421</v>
      </c>
      <c r="E40" s="37" t="n">
        <v>460</v>
      </c>
      <c r="F40" s="63" t="n">
        <f aca="false">IF(E40="","",D40-E40)</f>
        <v>-39</v>
      </c>
      <c r="G40" s="37" t="n">
        <v>739</v>
      </c>
      <c r="H40" s="37" t="n">
        <v>791</v>
      </c>
      <c r="I40" s="63" t="n">
        <f aca="false">IF(H40="","",G40-H40)</f>
        <v>-52</v>
      </c>
      <c r="J40" s="52" t="n">
        <f aca="false">IF(OR(D40="",D40+G40=0),"",D40/(D40+G40))</f>
        <v>0.362931034482759</v>
      </c>
      <c r="K40" s="52" t="n">
        <f aca="false">IF(E40="","",E40/(E40+H40))</f>
        <v>0.367705835331735</v>
      </c>
      <c r="L40" s="64" t="n">
        <f aca="false">IF(OR(K40="",J40=""),"",(J40-K40)*100)</f>
        <v>-0.477480084897602</v>
      </c>
      <c r="M40" s="21"/>
    </row>
    <row r="41" customFormat="false" ht="15" hidden="false" customHeight="false" outlineLevel="0" collapsed="false">
      <c r="A41" s="21" t="s">
        <v>120</v>
      </c>
      <c r="B41" s="21" t="s">
        <v>170</v>
      </c>
      <c r="C41" s="21" t="s">
        <v>174</v>
      </c>
      <c r="D41" s="37" t="n">
        <v>374</v>
      </c>
      <c r="E41" s="37" t="n">
        <v>425</v>
      </c>
      <c r="F41" s="63" t="n">
        <f aca="false">IF(E41="","",D41-E41)</f>
        <v>-51</v>
      </c>
      <c r="G41" s="37" t="n">
        <v>821</v>
      </c>
      <c r="H41" s="37" t="n">
        <v>920</v>
      </c>
      <c r="I41" s="63" t="n">
        <f aca="false">IF(H41="","",G41-H41)</f>
        <v>-99</v>
      </c>
      <c r="J41" s="52" t="n">
        <f aca="false">IF(OR(D41="",D41+G41=0),"",D41/(D41+G41))</f>
        <v>0.312970711297071</v>
      </c>
      <c r="K41" s="52" t="n">
        <f aca="false">IF(E41="","",E41/(E41+H41))</f>
        <v>0.315985130111524</v>
      </c>
      <c r="L41" s="64" t="n">
        <f aca="false">IF(OR(K41="",J41=""),"",(J41-K41)*100)</f>
        <v>-0.301441881445308</v>
      </c>
      <c r="M41" s="21"/>
    </row>
    <row r="42" customFormat="false" ht="15" hidden="false" customHeight="false" outlineLevel="0" collapsed="false">
      <c r="A42" s="21" t="s">
        <v>120</v>
      </c>
      <c r="B42" s="21" t="s">
        <v>170</v>
      </c>
      <c r="C42" s="21" t="s">
        <v>175</v>
      </c>
      <c r="D42" s="37" t="n">
        <v>360</v>
      </c>
      <c r="E42" s="37" t="n">
        <v>397</v>
      </c>
      <c r="F42" s="63" t="n">
        <f aca="false">IF(E42="","",D42-E42)</f>
        <v>-37</v>
      </c>
      <c r="G42" s="37" t="n">
        <v>689</v>
      </c>
      <c r="H42" s="37" t="n">
        <v>692</v>
      </c>
      <c r="I42" s="63" t="n">
        <f aca="false">IF(H42="","",G42-H42)</f>
        <v>-3</v>
      </c>
      <c r="J42" s="52" t="n">
        <f aca="false">IF(OR(D42="",D42+G42=0),"",D42/(D42+G42))</f>
        <v>0.343183984747378</v>
      </c>
      <c r="K42" s="52" t="n">
        <f aca="false">IF(E42="","",E42/(E42+H42))</f>
        <v>0.36455463728191</v>
      </c>
      <c r="L42" s="64" t="n">
        <f aca="false">IF(OR(K42="",J42=""),"",(J42-K42)*100)</f>
        <v>-2.13706525345316</v>
      </c>
      <c r="M42" s="21"/>
    </row>
    <row r="43" customFormat="false" ht="15" hidden="false" customHeight="false" outlineLevel="0" collapsed="false">
      <c r="A43" s="21" t="s">
        <v>120</v>
      </c>
      <c r="B43" s="21" t="s">
        <v>176</v>
      </c>
      <c r="C43" s="21" t="s">
        <v>177</v>
      </c>
      <c r="D43" s="37" t="n">
        <v>178</v>
      </c>
      <c r="E43" s="37" t="n">
        <v>175</v>
      </c>
      <c r="F43" s="63" t="n">
        <f aca="false">IF(E43="","",D43-E43)</f>
        <v>3</v>
      </c>
      <c r="G43" s="37" t="n">
        <v>202</v>
      </c>
      <c r="H43" s="37" t="n">
        <v>212</v>
      </c>
      <c r="I43" s="63" t="n">
        <f aca="false">IF(H43="","",G43-H43)</f>
        <v>-10</v>
      </c>
      <c r="J43" s="52" t="n">
        <f aca="false">IF(OR(D43="",D43+G43=0),"",D43/(D43+G43))</f>
        <v>0.468421052631579</v>
      </c>
      <c r="K43" s="52" t="n">
        <f aca="false">IF(E43="","",E43/(E43+H43))</f>
        <v>0.452196382428941</v>
      </c>
      <c r="L43" s="64" t="n">
        <f aca="false">IF(OR(K43="",J43=""),"",(J43-K43)*100)</f>
        <v>1.62246702026384</v>
      </c>
      <c r="M43" s="21"/>
    </row>
    <row r="44" customFormat="false" ht="15" hidden="false" customHeight="false" outlineLevel="0" collapsed="false">
      <c r="A44" s="21" t="s">
        <v>120</v>
      </c>
      <c r="B44" s="21" t="s">
        <v>176</v>
      </c>
      <c r="C44" s="21" t="s">
        <v>178</v>
      </c>
      <c r="D44" s="37" t="n">
        <v>189</v>
      </c>
      <c r="E44" s="37" t="n">
        <v>184</v>
      </c>
      <c r="F44" s="63" t="n">
        <f aca="false">IF(E44="","",D44-E44)</f>
        <v>5</v>
      </c>
      <c r="G44" s="37" t="n">
        <v>202</v>
      </c>
      <c r="H44" s="37" t="n">
        <v>208</v>
      </c>
      <c r="I44" s="63" t="n">
        <f aca="false">IF(H44="","",G44-H44)</f>
        <v>-6</v>
      </c>
      <c r="J44" s="52" t="n">
        <f aca="false">IF(OR(D44="",D44+G44=0),"",D44/(D44+G44))</f>
        <v>0.483375959079284</v>
      </c>
      <c r="K44" s="52" t="n">
        <f aca="false">IF(E44="","",E44/(E44+H44))</f>
        <v>0.469387755102041</v>
      </c>
      <c r="L44" s="64" t="n">
        <f aca="false">IF(OR(K44="",J44=""),"",(J44-K44)*100)</f>
        <v>1.3988203977243</v>
      </c>
      <c r="M44" s="21"/>
    </row>
    <row r="45" customFormat="false" ht="15" hidden="false" customHeight="false" outlineLevel="0" collapsed="false">
      <c r="A45" s="21" t="s">
        <v>120</v>
      </c>
      <c r="B45" s="21" t="s">
        <v>176</v>
      </c>
      <c r="C45" s="21" t="s">
        <v>179</v>
      </c>
      <c r="D45" s="37" t="n">
        <v>121</v>
      </c>
      <c r="E45" s="37" t="n">
        <v>102</v>
      </c>
      <c r="F45" s="63" t="n">
        <f aca="false">IF(E45="","",D45-E45)</f>
        <v>19</v>
      </c>
      <c r="G45" s="37" t="n">
        <v>184</v>
      </c>
      <c r="H45" s="37" t="n">
        <v>192</v>
      </c>
      <c r="I45" s="63" t="n">
        <f aca="false">IF(H45="","",G45-H45)</f>
        <v>-8</v>
      </c>
      <c r="J45" s="52" t="n">
        <f aca="false">IF(OR(D45="",D45+G45=0),"",D45/(D45+G45))</f>
        <v>0.39672131147541</v>
      </c>
      <c r="K45" s="52" t="n">
        <f aca="false">IF(E45="","",E45/(E45+H45))</f>
        <v>0.346938775510204</v>
      </c>
      <c r="L45" s="64" t="n">
        <f aca="false">IF(OR(K45="",J45=""),"",(J45-K45)*100)</f>
        <v>4.97825359652058</v>
      </c>
      <c r="M45" s="21"/>
    </row>
    <row r="46" customFormat="false" ht="15" hidden="false" customHeight="false" outlineLevel="0" collapsed="false">
      <c r="A46" s="21" t="s">
        <v>120</v>
      </c>
      <c r="B46" s="21" t="s">
        <v>176</v>
      </c>
      <c r="C46" s="21" t="s">
        <v>180</v>
      </c>
      <c r="D46" s="37" t="n">
        <v>188</v>
      </c>
      <c r="E46" s="37" t="n">
        <v>194</v>
      </c>
      <c r="F46" s="63" t="n">
        <f aca="false">IF(E46="","",D46-E46)</f>
        <v>-6</v>
      </c>
      <c r="G46" s="37" t="n">
        <v>275</v>
      </c>
      <c r="H46" s="37" t="n">
        <v>296</v>
      </c>
      <c r="I46" s="63" t="n">
        <f aca="false">IF(H46="","",G46-H46)</f>
        <v>-21</v>
      </c>
      <c r="J46" s="52" t="n">
        <f aca="false">IF(OR(D46="",D46+G46=0),"",D46/(D46+G46))</f>
        <v>0.406047516198704</v>
      </c>
      <c r="K46" s="52" t="n">
        <f aca="false">IF(E46="","",E46/(E46+H46))</f>
        <v>0.395918367346939</v>
      </c>
      <c r="L46" s="64" t="n">
        <f aca="false">IF(OR(K46="",J46=""),"",(J46-K46)*100)</f>
        <v>1.01291488517654</v>
      </c>
      <c r="M46" s="21"/>
    </row>
    <row r="47" customFormat="false" ht="15" hidden="false" customHeight="false" outlineLevel="0" collapsed="false">
      <c r="A47" s="21" t="s">
        <v>120</v>
      </c>
      <c r="B47" s="21" t="s">
        <v>181</v>
      </c>
      <c r="C47" s="21" t="s">
        <v>182</v>
      </c>
      <c r="D47" s="37" t="n">
        <v>270</v>
      </c>
      <c r="E47" s="37" t="n">
        <v>298</v>
      </c>
      <c r="F47" s="63" t="n">
        <f aca="false">IF(E47="","",D47-E47)</f>
        <v>-28</v>
      </c>
      <c r="G47" s="37" t="n">
        <v>654</v>
      </c>
      <c r="H47" s="37" t="n">
        <v>649</v>
      </c>
      <c r="I47" s="63" t="n">
        <f aca="false">IF(H47="","",G47-H47)</f>
        <v>5</v>
      </c>
      <c r="J47" s="52" t="n">
        <f aca="false">IF(OR(D47="",D47+G47=0),"",D47/(D47+G47))</f>
        <v>0.292207792207792</v>
      </c>
      <c r="K47" s="52" t="n">
        <f aca="false">IF(E47="","",E47/(E47+H47))</f>
        <v>0.31467793030623</v>
      </c>
      <c r="L47" s="64" t="n">
        <f aca="false">IF(OR(K47="",J47=""),"",(J47-K47)*100)</f>
        <v>-2.2470138098438</v>
      </c>
      <c r="M47" s="21"/>
    </row>
    <row r="48" customFormat="false" ht="15" hidden="false" customHeight="false" outlineLevel="0" collapsed="false">
      <c r="A48" s="21" t="s">
        <v>120</v>
      </c>
      <c r="B48" s="21" t="s">
        <v>181</v>
      </c>
      <c r="C48" s="21" t="s">
        <v>183</v>
      </c>
      <c r="D48" s="37" t="n">
        <v>243</v>
      </c>
      <c r="E48" s="37" t="n">
        <v>253</v>
      </c>
      <c r="F48" s="63" t="n">
        <f aca="false">IF(E48="","",D48-E48)</f>
        <v>-10</v>
      </c>
      <c r="G48" s="37" t="n">
        <v>658</v>
      </c>
      <c r="H48" s="37" t="n">
        <v>710</v>
      </c>
      <c r="I48" s="63" t="n">
        <f aca="false">IF(H48="","",G48-H48)</f>
        <v>-52</v>
      </c>
      <c r="J48" s="52" t="n">
        <f aca="false">IF(OR(D48="",D48+G48=0),"",D48/(D48+G48))</f>
        <v>0.269700332963374</v>
      </c>
      <c r="K48" s="52" t="n">
        <f aca="false">IF(E48="","",E48/(E48+H48))</f>
        <v>0.262720664589823</v>
      </c>
      <c r="L48" s="64" t="n">
        <f aca="false">IF(OR(K48="",J48=""),"",(J48-K48)*100)</f>
        <v>0.697966837355057</v>
      </c>
      <c r="M48" s="21"/>
    </row>
    <row r="49" customFormat="false" ht="15" hidden="false" customHeight="false" outlineLevel="0" collapsed="false">
      <c r="A49" s="21" t="s">
        <v>120</v>
      </c>
      <c r="B49" s="21" t="s">
        <v>181</v>
      </c>
      <c r="C49" s="21" t="s">
        <v>184</v>
      </c>
      <c r="D49" s="37" t="n">
        <v>237</v>
      </c>
      <c r="E49" s="37" t="n">
        <v>238</v>
      </c>
      <c r="F49" s="63" t="n">
        <f aca="false">IF(E49="","",D49-E49)</f>
        <v>-1</v>
      </c>
      <c r="G49" s="37" t="n">
        <v>581</v>
      </c>
      <c r="H49" s="37" t="n">
        <v>586</v>
      </c>
      <c r="I49" s="63" t="n">
        <f aca="false">IF(H49="","",G49-H49)</f>
        <v>-5</v>
      </c>
      <c r="J49" s="52" t="n">
        <f aca="false">IF(OR(D49="",D49+G49=0),"",D49/(D49+G49))</f>
        <v>0.289731051344743</v>
      </c>
      <c r="K49" s="52" t="n">
        <f aca="false">IF(E49="","",E49/(E49+H49))</f>
        <v>0.288834951456311</v>
      </c>
      <c r="L49" s="64" t="n">
        <f aca="false">IF(OR(K49="",J49=""),"",(J49-K49)*100)</f>
        <v>0.0896099888432589</v>
      </c>
      <c r="M49" s="21"/>
    </row>
    <row r="50" customFormat="false" ht="15" hidden="false" customHeight="false" outlineLevel="0" collapsed="false">
      <c r="A50" s="21" t="s">
        <v>120</v>
      </c>
      <c r="B50" s="21" t="s">
        <v>185</v>
      </c>
      <c r="C50" s="21" t="s">
        <v>186</v>
      </c>
      <c r="D50" s="37" t="n">
        <v>214</v>
      </c>
      <c r="E50" s="37" t="n">
        <v>238</v>
      </c>
      <c r="F50" s="63" t="n">
        <f aca="false">IF(E50="","",D50-E50)</f>
        <v>-24</v>
      </c>
      <c r="G50" s="37" t="n">
        <v>579</v>
      </c>
      <c r="H50" s="37" t="n">
        <v>541</v>
      </c>
      <c r="I50" s="63" t="n">
        <f aca="false">IF(H50="","",G50-H50)</f>
        <v>38</v>
      </c>
      <c r="J50" s="52" t="n">
        <f aca="false">IF(OR(D50="",D50+G50=0),"",D50/(D50+G50))</f>
        <v>0.269861286254729</v>
      </c>
      <c r="K50" s="52" t="n">
        <f aca="false">IF(E50="","",E50/(E50+H50))</f>
        <v>0.305519897304236</v>
      </c>
      <c r="L50" s="64" t="n">
        <f aca="false">IF(OR(K50="",J50=""),"",(J50-K50)*100)</f>
        <v>-3.56586110495073</v>
      </c>
      <c r="M50" s="21"/>
    </row>
    <row r="51" customFormat="false" ht="15" hidden="false" customHeight="false" outlineLevel="0" collapsed="false">
      <c r="A51" s="21" t="s">
        <v>120</v>
      </c>
      <c r="B51" s="21" t="s">
        <v>185</v>
      </c>
      <c r="C51" s="21" t="s">
        <v>187</v>
      </c>
      <c r="D51" s="37" t="n">
        <v>105</v>
      </c>
      <c r="E51" s="37" t="n">
        <v>103</v>
      </c>
      <c r="F51" s="63" t="n">
        <f aca="false">IF(E51="","",D51-E51)</f>
        <v>2</v>
      </c>
      <c r="G51" s="37" t="n">
        <v>291</v>
      </c>
      <c r="H51" s="37" t="n">
        <v>292</v>
      </c>
      <c r="I51" s="63" t="n">
        <f aca="false">IF(H51="","",G51-H51)</f>
        <v>-1</v>
      </c>
      <c r="J51" s="52" t="n">
        <f aca="false">IF(OR(D51="",D51+G51=0),"",D51/(D51+G51))</f>
        <v>0.265151515151515</v>
      </c>
      <c r="K51" s="52" t="n">
        <f aca="false">IF(E51="","",E51/(E51+H51))</f>
        <v>0.260759493670886</v>
      </c>
      <c r="L51" s="64" t="n">
        <f aca="false">IF(OR(K51="",J51=""),"",(J51-K51)*100)</f>
        <v>0.439202148062906</v>
      </c>
      <c r="M51" s="21"/>
    </row>
    <row r="52" customFormat="false" ht="15" hidden="false" customHeight="false" outlineLevel="0" collapsed="false">
      <c r="A52" s="21" t="s">
        <v>120</v>
      </c>
      <c r="B52" s="21" t="s">
        <v>188</v>
      </c>
      <c r="C52" s="21" t="s">
        <v>188</v>
      </c>
      <c r="D52" s="37" t="n">
        <v>57</v>
      </c>
      <c r="E52" s="37" t="n">
        <v>53</v>
      </c>
      <c r="F52" s="63" t="n">
        <f aca="false">IF(E52="","",D52-E52)</f>
        <v>4</v>
      </c>
      <c r="G52" s="37" t="n">
        <v>86</v>
      </c>
      <c r="H52" s="37" t="n">
        <v>99</v>
      </c>
      <c r="I52" s="63" t="n">
        <f aca="false">IF(H52="","",G52-H52)</f>
        <v>-13</v>
      </c>
      <c r="J52" s="52" t="n">
        <f aca="false">IF(OR(D52="",D52+G52=0),"",D52/(D52+G52))</f>
        <v>0.398601398601399</v>
      </c>
      <c r="K52" s="52" t="n">
        <f aca="false">IF(E52="","",E52/(E52+H52))</f>
        <v>0.348684210526316</v>
      </c>
      <c r="L52" s="64" t="n">
        <f aca="false">IF(OR(K52="",J52=""),"",(J52-K52)*100)</f>
        <v>4.99171880750828</v>
      </c>
      <c r="M52" s="21"/>
    </row>
    <row r="53" customFormat="false" ht="15" hidden="false" customHeight="false" outlineLevel="0" collapsed="false">
      <c r="A53" s="21" t="s">
        <v>189</v>
      </c>
      <c r="B53" s="21" t="s">
        <v>190</v>
      </c>
      <c r="C53" s="21" t="s">
        <v>190</v>
      </c>
      <c r="D53" s="37" t="n">
        <v>676</v>
      </c>
      <c r="E53" s="37" t="n">
        <v>601</v>
      </c>
      <c r="F53" s="63" t="n">
        <f aca="false">IF(E53="","",D53-E53)</f>
        <v>75</v>
      </c>
      <c r="G53" s="37" t="n">
        <v>743</v>
      </c>
      <c r="H53" s="37" t="n">
        <v>766</v>
      </c>
      <c r="I53" s="63" t="n">
        <f aca="false">IF(H53="","",G53-H53)</f>
        <v>-23</v>
      </c>
      <c r="J53" s="52" t="n">
        <f aca="false">IF(OR(D53="",D53+G53=0),"",D53/(D53+G53))</f>
        <v>0.476391825229035</v>
      </c>
      <c r="K53" s="52" t="n">
        <f aca="false">IF(E53="","",E53/(E53+H53))</f>
        <v>0.439648866130212</v>
      </c>
      <c r="L53" s="64" t="n">
        <f aca="false">IF(OR(K53="",J53=""),"",(J53-K53)*100)</f>
        <v>3.67429590988224</v>
      </c>
      <c r="M53" s="21"/>
    </row>
    <row r="54" customFormat="false" ht="15" hidden="false" customHeight="false" outlineLevel="0" collapsed="false">
      <c r="A54" s="21" t="s">
        <v>189</v>
      </c>
      <c r="B54" s="21" t="s">
        <v>191</v>
      </c>
      <c r="C54" s="21" t="s">
        <v>192</v>
      </c>
      <c r="D54" s="37" t="n">
        <v>535</v>
      </c>
      <c r="E54" s="37" t="n">
        <v>437</v>
      </c>
      <c r="F54" s="63" t="n">
        <f aca="false">IF(E54="","",D54-E54)</f>
        <v>98</v>
      </c>
      <c r="G54" s="37" t="n">
        <v>179</v>
      </c>
      <c r="H54" s="37" t="n">
        <v>173</v>
      </c>
      <c r="I54" s="63" t="n">
        <f aca="false">IF(H54="","",G54-H54)</f>
        <v>6</v>
      </c>
      <c r="J54" s="52" t="n">
        <f aca="false">IF(OR(D54="",D54+G54=0),"",D54/(D54+G54))</f>
        <v>0.749299719887955</v>
      </c>
      <c r="K54" s="52" t="n">
        <f aca="false">IF(E54="","",E54/(E54+H54))</f>
        <v>0.716393442622951</v>
      </c>
      <c r="L54" s="64" t="n">
        <f aca="false">IF(OR(K54="",J54=""),"",(J54-K54)*100)</f>
        <v>3.29062772650044</v>
      </c>
      <c r="M54" s="21"/>
    </row>
    <row r="55" customFormat="false" ht="15" hidden="false" customHeight="false" outlineLevel="0" collapsed="false">
      <c r="A55" s="21" t="s">
        <v>189</v>
      </c>
      <c r="B55" s="21" t="s">
        <v>191</v>
      </c>
      <c r="C55" s="21" t="s">
        <v>193</v>
      </c>
      <c r="D55" s="37" t="n">
        <v>346</v>
      </c>
      <c r="E55" s="37" t="n">
        <v>328</v>
      </c>
      <c r="F55" s="63" t="n">
        <f aca="false">IF(E55="","",D55-E55)</f>
        <v>18</v>
      </c>
      <c r="G55" s="37" t="n">
        <v>130</v>
      </c>
      <c r="H55" s="37" t="n">
        <v>173</v>
      </c>
      <c r="I55" s="63" t="n">
        <f aca="false">IF(H55="","",G55-H55)</f>
        <v>-43</v>
      </c>
      <c r="J55" s="52" t="n">
        <f aca="false">IF(OR(D55="",D55+G55=0),"",D55/(D55+G55))</f>
        <v>0.726890756302521</v>
      </c>
      <c r="K55" s="52" t="n">
        <f aca="false">IF(E55="","",E55/(E55+H55))</f>
        <v>0.654690618762475</v>
      </c>
      <c r="L55" s="64" t="n">
        <f aca="false">IF(OR(K55="",J55=""),"",(J55-K55)*100)</f>
        <v>7.2200137540046</v>
      </c>
      <c r="M55" s="21"/>
    </row>
    <row r="56" customFormat="false" ht="15" hidden="false" customHeight="false" outlineLevel="0" collapsed="false">
      <c r="A56" s="21" t="s">
        <v>189</v>
      </c>
      <c r="B56" s="21" t="s">
        <v>191</v>
      </c>
      <c r="C56" s="21" t="s">
        <v>194</v>
      </c>
      <c r="D56" s="37" t="n">
        <v>383</v>
      </c>
      <c r="E56" s="37" t="n">
        <v>347</v>
      </c>
      <c r="F56" s="63" t="n">
        <f aca="false">IF(E56="","",D56-E56)</f>
        <v>36</v>
      </c>
      <c r="G56" s="37" t="n">
        <v>130</v>
      </c>
      <c r="H56" s="37" t="n">
        <v>147</v>
      </c>
      <c r="I56" s="63" t="n">
        <f aca="false">IF(H56="","",G56-H56)</f>
        <v>-17</v>
      </c>
      <c r="J56" s="52" t="n">
        <f aca="false">IF(OR(D56="",D56+G56=0),"",D56/(D56+G56))</f>
        <v>0.746588693957115</v>
      </c>
      <c r="K56" s="52" t="n">
        <f aca="false">IF(E56="","",E56/(E56+H56))</f>
        <v>0.702429149797571</v>
      </c>
      <c r="L56" s="64" t="n">
        <f aca="false">IF(OR(K56="",J56=""),"",(J56-K56)*100)</f>
        <v>4.41595441595442</v>
      </c>
      <c r="M56" s="21"/>
    </row>
    <row r="57" customFormat="false" ht="15" hidden="false" customHeight="false" outlineLevel="0" collapsed="false">
      <c r="A57" s="21" t="s">
        <v>189</v>
      </c>
      <c r="B57" s="21" t="s">
        <v>191</v>
      </c>
      <c r="C57" s="21" t="s">
        <v>195</v>
      </c>
      <c r="D57" s="37" t="n">
        <v>341</v>
      </c>
      <c r="E57" s="37" t="n">
        <v>314</v>
      </c>
      <c r="F57" s="63" t="n">
        <f aca="false">IF(E57="","",D57-E57)</f>
        <v>27</v>
      </c>
      <c r="G57" s="37" t="n">
        <v>133</v>
      </c>
      <c r="H57" s="37" t="n">
        <v>149</v>
      </c>
      <c r="I57" s="63" t="n">
        <f aca="false">IF(H57="","",G57-H57)</f>
        <v>-16</v>
      </c>
      <c r="J57" s="52" t="n">
        <f aca="false">IF(OR(D57="",D57+G57=0),"",D57/(D57+G57))</f>
        <v>0.719409282700422</v>
      </c>
      <c r="K57" s="52" t="n">
        <f aca="false">IF(E57="","",E57/(E57+H57))</f>
        <v>0.678185745140389</v>
      </c>
      <c r="L57" s="64" t="n">
        <f aca="false">IF(OR(K57="",J57=""),"",(J57-K57)*100)</f>
        <v>4.12235375600332</v>
      </c>
      <c r="M57" s="21"/>
    </row>
    <row r="58" customFormat="false" ht="15" hidden="false" customHeight="false" outlineLevel="0" collapsed="false">
      <c r="A58" s="21" t="s">
        <v>189</v>
      </c>
      <c r="B58" s="21" t="s">
        <v>191</v>
      </c>
      <c r="C58" s="21" t="s">
        <v>196</v>
      </c>
      <c r="D58" s="37" t="n">
        <v>387</v>
      </c>
      <c r="E58" s="37" t="n">
        <v>364</v>
      </c>
      <c r="F58" s="63" t="n">
        <f aca="false">IF(E58="","",D58-E58)</f>
        <v>23</v>
      </c>
      <c r="G58" s="37" t="n">
        <v>133</v>
      </c>
      <c r="H58" s="37" t="n">
        <v>137</v>
      </c>
      <c r="I58" s="63" t="n">
        <f aca="false">IF(H58="","",G58-H58)</f>
        <v>-4</v>
      </c>
      <c r="J58" s="52" t="n">
        <f aca="false">IF(OR(D58="",D58+G58=0),"",D58/(D58+G58))</f>
        <v>0.744230769230769</v>
      </c>
      <c r="K58" s="52" t="n">
        <f aca="false">IF(E58="","",E58/(E58+H58))</f>
        <v>0.726546906187625</v>
      </c>
      <c r="L58" s="64" t="n">
        <f aca="false">IF(OR(K58="",J58=""),"",(J58-K58)*100)</f>
        <v>1.76838630431445</v>
      </c>
      <c r="M58" s="21"/>
    </row>
    <row r="59" customFormat="false" ht="15" hidden="false" customHeight="false" outlineLevel="0" collapsed="false">
      <c r="A59" s="21" t="s">
        <v>189</v>
      </c>
      <c r="B59" s="21" t="s">
        <v>191</v>
      </c>
      <c r="C59" s="21" t="s">
        <v>197</v>
      </c>
      <c r="D59" s="37" t="n">
        <v>453</v>
      </c>
      <c r="E59" s="37" t="n">
        <v>399</v>
      </c>
      <c r="F59" s="63" t="n">
        <f aca="false">IF(E59="","",D59-E59)</f>
        <v>54</v>
      </c>
      <c r="G59" s="37" t="n">
        <v>184</v>
      </c>
      <c r="H59" s="37" t="n">
        <v>171</v>
      </c>
      <c r="I59" s="63" t="n">
        <f aca="false">IF(H59="","",G59-H59)</f>
        <v>13</v>
      </c>
      <c r="J59" s="52" t="n">
        <f aca="false">IF(OR(D59="",D59+G59=0),"",D59/(D59+G59))</f>
        <v>0.711145996860283</v>
      </c>
      <c r="K59" s="52" t="n">
        <f aca="false">IF(E59="","",E59/(E59+H59))</f>
        <v>0.7</v>
      </c>
      <c r="L59" s="64" t="n">
        <f aca="false">IF(OR(K59="",J59=""),"",(J59-K59)*100)</f>
        <v>1.11459968602826</v>
      </c>
      <c r="M59" s="21"/>
    </row>
    <row r="60" customFormat="false" ht="15" hidden="false" customHeight="false" outlineLevel="0" collapsed="false">
      <c r="A60" s="21" t="s">
        <v>189</v>
      </c>
      <c r="B60" s="21" t="s">
        <v>191</v>
      </c>
      <c r="C60" s="21" t="s">
        <v>198</v>
      </c>
      <c r="D60" s="37" t="n">
        <v>968</v>
      </c>
      <c r="E60" s="37" t="n">
        <v>1034</v>
      </c>
      <c r="F60" s="63" t="n">
        <f aca="false">IF(E60="","",D60-E60)</f>
        <v>-66</v>
      </c>
      <c r="G60" s="37" t="n">
        <v>305</v>
      </c>
      <c r="H60" s="37" t="n">
        <v>285</v>
      </c>
      <c r="I60" s="63" t="n">
        <f aca="false">IF(H60="","",G60-H60)</f>
        <v>20</v>
      </c>
      <c r="J60" s="52" t="n">
        <f aca="false">IF(OR(D60="",D60+G60=0),"",D60/(D60+G60))</f>
        <v>0.760408483896308</v>
      </c>
      <c r="K60" s="52" t="n">
        <f aca="false">IF(E60="","",E60/(E60+H60))</f>
        <v>0.783927217589083</v>
      </c>
      <c r="L60" s="64" t="n">
        <f aca="false">IF(OR(K60="",J60=""),"",(J60-K60)*100)</f>
        <v>-2.35187336927748</v>
      </c>
      <c r="M60" s="21"/>
    </row>
    <row r="61" customFormat="false" ht="15" hidden="false" customHeight="false" outlineLevel="0" collapsed="false">
      <c r="A61" s="21" t="s">
        <v>189</v>
      </c>
      <c r="B61" s="21" t="s">
        <v>191</v>
      </c>
      <c r="C61" s="21" t="s">
        <v>199</v>
      </c>
      <c r="D61" s="37" t="n">
        <v>396</v>
      </c>
      <c r="E61" s="37" t="n">
        <v>377</v>
      </c>
      <c r="F61" s="63" t="n">
        <f aca="false">IF(E61="","",D61-E61)</f>
        <v>19</v>
      </c>
      <c r="G61" s="37" t="n">
        <v>209</v>
      </c>
      <c r="H61" s="37" t="n">
        <v>190</v>
      </c>
      <c r="I61" s="63" t="n">
        <f aca="false">IF(H61="","",G61-H61)</f>
        <v>19</v>
      </c>
      <c r="J61" s="52" t="n">
        <f aca="false">IF(OR(D61="",D61+G61=0),"",D61/(D61+G61))</f>
        <v>0.654545454545455</v>
      </c>
      <c r="K61" s="52" t="n">
        <f aca="false">IF(E61="","",E61/(E61+H61))</f>
        <v>0.664902998236332</v>
      </c>
      <c r="L61" s="64" t="n">
        <f aca="false">IF(OR(K61="",J61=""),"",(J61-K61)*100)</f>
        <v>-1.0357543690877</v>
      </c>
      <c r="M61" s="21"/>
    </row>
    <row r="62" customFormat="false" ht="15" hidden="false" customHeight="false" outlineLevel="0" collapsed="false">
      <c r="A62" s="21" t="s">
        <v>189</v>
      </c>
      <c r="B62" s="21" t="s">
        <v>191</v>
      </c>
      <c r="C62" s="21" t="s">
        <v>200</v>
      </c>
      <c r="D62" s="37" t="n">
        <v>591</v>
      </c>
      <c r="E62" s="37" t="n">
        <v>619</v>
      </c>
      <c r="F62" s="63" t="n">
        <f aca="false">IF(E62="","",D62-E62)</f>
        <v>-28</v>
      </c>
      <c r="G62" s="37" t="n">
        <v>407</v>
      </c>
      <c r="H62" s="37" t="n">
        <v>400</v>
      </c>
      <c r="I62" s="63" t="n">
        <f aca="false">IF(H62="","",G62-H62)</f>
        <v>7</v>
      </c>
      <c r="J62" s="52" t="n">
        <f aca="false">IF(OR(D62="",D62+G62=0),"",D62/(D62+G62))</f>
        <v>0.592184368737475</v>
      </c>
      <c r="K62" s="52" t="n">
        <f aca="false">IF(E62="","",E62/(E62+H62))</f>
        <v>0.607458292443572</v>
      </c>
      <c r="L62" s="64" t="n">
        <f aca="false">IF(OR(K62="",J62=""),"",(J62-K62)*100)</f>
        <v>-1.52739237060971</v>
      </c>
      <c r="M62" s="21"/>
    </row>
    <row r="63" customFormat="false" ht="15" hidden="false" customHeight="false" outlineLevel="0" collapsed="false">
      <c r="A63" s="21" t="s">
        <v>189</v>
      </c>
      <c r="B63" s="21" t="s">
        <v>191</v>
      </c>
      <c r="C63" s="21" t="s">
        <v>201</v>
      </c>
      <c r="D63" s="37" t="n">
        <v>426</v>
      </c>
      <c r="E63" s="37" t="n">
        <v>438</v>
      </c>
      <c r="F63" s="63" t="n">
        <f aca="false">IF(E63="","",D63-E63)</f>
        <v>-12</v>
      </c>
      <c r="G63" s="37" t="n">
        <v>290</v>
      </c>
      <c r="H63" s="37" t="n">
        <v>259</v>
      </c>
      <c r="I63" s="63" t="n">
        <f aca="false">IF(H63="","",G63-H63)</f>
        <v>31</v>
      </c>
      <c r="J63" s="52" t="n">
        <f aca="false">IF(OR(D63="",D63+G63=0),"",D63/(D63+G63))</f>
        <v>0.594972067039106</v>
      </c>
      <c r="K63" s="52" t="n">
        <f aca="false">IF(E63="","",E63/(E63+H63))</f>
        <v>0.628407460545194</v>
      </c>
      <c r="L63" s="64" t="n">
        <f aca="false">IF(OR(K63="",J63=""),"",(J63-K63)*100)</f>
        <v>-3.34353935060876</v>
      </c>
      <c r="M63" s="21"/>
    </row>
    <row r="64" customFormat="false" ht="15" hidden="false" customHeight="false" outlineLevel="0" collapsed="false">
      <c r="A64" s="21" t="s">
        <v>189</v>
      </c>
      <c r="B64" s="21" t="s">
        <v>191</v>
      </c>
      <c r="C64" s="21" t="s">
        <v>202</v>
      </c>
      <c r="D64" s="37" t="n">
        <v>471</v>
      </c>
      <c r="E64" s="37" t="n">
        <v>428</v>
      </c>
      <c r="F64" s="63" t="n">
        <f aca="false">IF(E64="","",D64-E64)</f>
        <v>43</v>
      </c>
      <c r="G64" s="37" t="n">
        <v>189</v>
      </c>
      <c r="H64" s="37" t="n">
        <v>195</v>
      </c>
      <c r="I64" s="63" t="n">
        <f aca="false">IF(H64="","",G64-H64)</f>
        <v>-6</v>
      </c>
      <c r="J64" s="52" t="n">
        <f aca="false">IF(OR(D64="",D64+G64=0),"",D64/(D64+G64))</f>
        <v>0.713636363636364</v>
      </c>
      <c r="K64" s="52" t="n">
        <f aca="false">IF(E64="","",E64/(E64+H64))</f>
        <v>0.686998394863563</v>
      </c>
      <c r="L64" s="64" t="n">
        <f aca="false">IF(OR(K64="",J64=""),"",(J64-K64)*100)</f>
        <v>2.66379687728002</v>
      </c>
      <c r="M64" s="21"/>
    </row>
    <row r="65" customFormat="false" ht="15" hidden="false" customHeight="false" outlineLevel="0" collapsed="false">
      <c r="A65" s="21" t="s">
        <v>189</v>
      </c>
      <c r="B65" s="21" t="s">
        <v>191</v>
      </c>
      <c r="C65" s="21" t="s">
        <v>203</v>
      </c>
      <c r="D65" s="37" t="n">
        <v>546</v>
      </c>
      <c r="E65" s="37" t="n">
        <v>563</v>
      </c>
      <c r="F65" s="63" t="n">
        <f aca="false">IF(E65="","",D65-E65)</f>
        <v>-17</v>
      </c>
      <c r="G65" s="37" t="n">
        <v>301</v>
      </c>
      <c r="H65" s="37" t="n">
        <v>322</v>
      </c>
      <c r="I65" s="63" t="n">
        <f aca="false">IF(H65="","",G65-H65)</f>
        <v>-21</v>
      </c>
      <c r="J65" s="52" t="n">
        <f aca="false">IF(OR(D65="",D65+G65=0),"",D65/(D65+G65))</f>
        <v>0.644628099173554</v>
      </c>
      <c r="K65" s="52" t="n">
        <f aca="false">IF(E65="","",E65/(E65+H65))</f>
        <v>0.636158192090396</v>
      </c>
      <c r="L65" s="64" t="n">
        <f aca="false">IF(OR(K65="",J65=""),"",(J65-K65)*100)</f>
        <v>0.84699070831582</v>
      </c>
      <c r="M65" s="21"/>
    </row>
    <row r="66" customFormat="false" ht="15" hidden="false" customHeight="false" outlineLevel="0" collapsed="false">
      <c r="A66" s="21" t="s">
        <v>189</v>
      </c>
      <c r="B66" s="21" t="s">
        <v>191</v>
      </c>
      <c r="C66" s="21" t="s">
        <v>204</v>
      </c>
      <c r="D66" s="37" t="n">
        <v>461</v>
      </c>
      <c r="E66" s="37" t="n">
        <v>472</v>
      </c>
      <c r="F66" s="63" t="n">
        <f aca="false">IF(E66="","",D66-E66)</f>
        <v>-11</v>
      </c>
      <c r="G66" s="37" t="n">
        <v>307</v>
      </c>
      <c r="H66" s="37" t="n">
        <v>273</v>
      </c>
      <c r="I66" s="63" t="n">
        <f aca="false">IF(H66="","",G66-H66)</f>
        <v>34</v>
      </c>
      <c r="J66" s="52" t="n">
        <f aca="false">IF(OR(D66="",D66+G66=0),"",D66/(D66+G66))</f>
        <v>0.600260416666667</v>
      </c>
      <c r="K66" s="52" t="n">
        <f aca="false">IF(E66="","",E66/(E66+H66))</f>
        <v>0.633557046979866</v>
      </c>
      <c r="L66" s="64" t="n">
        <f aca="false">IF(OR(K66="",J66=""),"",(J66-K66)*100)</f>
        <v>-3.32966303131992</v>
      </c>
      <c r="M66" s="21"/>
    </row>
    <row r="67" customFormat="false" ht="15" hidden="false" customHeight="false" outlineLevel="0" collapsed="false">
      <c r="A67" s="21" t="s">
        <v>189</v>
      </c>
      <c r="B67" s="21" t="s">
        <v>191</v>
      </c>
      <c r="C67" s="21" t="s">
        <v>205</v>
      </c>
      <c r="D67" s="37" t="n">
        <v>419</v>
      </c>
      <c r="E67" s="37" t="n">
        <v>426</v>
      </c>
      <c r="F67" s="63" t="n">
        <f aca="false">IF(E67="","",D67-E67)</f>
        <v>-7</v>
      </c>
      <c r="G67" s="37" t="n">
        <v>339</v>
      </c>
      <c r="H67" s="37" t="n">
        <v>331</v>
      </c>
      <c r="I67" s="63" t="n">
        <f aca="false">IF(H67="","",G67-H67)</f>
        <v>8</v>
      </c>
      <c r="J67" s="52" t="n">
        <f aca="false">IF(OR(D67="",D67+G67=0),"",D67/(D67+G67))</f>
        <v>0.552770448548813</v>
      </c>
      <c r="K67" s="52" t="n">
        <f aca="false">IF(E67="","",E67/(E67+H67))</f>
        <v>0.562747688243065</v>
      </c>
      <c r="L67" s="64" t="n">
        <f aca="false">IF(OR(K67="",J67=""),"",(J67-K67)*100)</f>
        <v>-0.997723969425213</v>
      </c>
      <c r="M67" s="21"/>
    </row>
    <row r="68" customFormat="false" ht="15" hidden="false" customHeight="false" outlineLevel="0" collapsed="false">
      <c r="A68" s="21" t="s">
        <v>189</v>
      </c>
      <c r="B68" s="21" t="s">
        <v>191</v>
      </c>
      <c r="C68" s="21" t="s">
        <v>206</v>
      </c>
      <c r="D68" s="37" t="n">
        <v>441</v>
      </c>
      <c r="E68" s="37" t="n">
        <v>418</v>
      </c>
      <c r="F68" s="63" t="n">
        <f aca="false">IF(E68="","",D68-E68)</f>
        <v>23</v>
      </c>
      <c r="G68" s="37" t="n">
        <v>276</v>
      </c>
      <c r="H68" s="37" t="n">
        <v>278</v>
      </c>
      <c r="I68" s="63" t="n">
        <f aca="false">IF(H68="","",G68-H68)</f>
        <v>-2</v>
      </c>
      <c r="J68" s="52" t="n">
        <f aca="false">IF(OR(D68="",D68+G68=0),"",D68/(D68+G68))</f>
        <v>0.615062761506276</v>
      </c>
      <c r="K68" s="52" t="n">
        <f aca="false">IF(E68="","",E68/(E68+H68))</f>
        <v>0.600574712643678</v>
      </c>
      <c r="L68" s="64" t="n">
        <f aca="false">IF(OR(K68="",J68=""),"",(J68-K68)*100)</f>
        <v>1.4488048862598</v>
      </c>
      <c r="M68" s="21"/>
    </row>
    <row r="69" customFormat="false" ht="15" hidden="false" customHeight="false" outlineLevel="0" collapsed="false">
      <c r="A69" s="21" t="s">
        <v>189</v>
      </c>
      <c r="B69" s="21" t="s">
        <v>191</v>
      </c>
      <c r="C69" s="21" t="s">
        <v>207</v>
      </c>
      <c r="D69" s="37" t="n">
        <v>456</v>
      </c>
      <c r="E69" s="37" t="n">
        <v>424</v>
      </c>
      <c r="F69" s="63" t="n">
        <f aca="false">IF(E69="","",D69-E69)</f>
        <v>32</v>
      </c>
      <c r="G69" s="37" t="n">
        <v>172</v>
      </c>
      <c r="H69" s="37" t="n">
        <v>188</v>
      </c>
      <c r="I69" s="63" t="n">
        <f aca="false">IF(H69="","",G69-H69)</f>
        <v>-16</v>
      </c>
      <c r="J69" s="52" t="n">
        <f aca="false">IF(OR(D69="",D69+G69=0),"",D69/(D69+G69))</f>
        <v>0.726114649681529</v>
      </c>
      <c r="K69" s="52" t="n">
        <f aca="false">IF(E69="","",E69/(E69+H69))</f>
        <v>0.69281045751634</v>
      </c>
      <c r="L69" s="64" t="n">
        <f aca="false">IF(OR(K69="",J69=""),"",(J69-K69)*100)</f>
        <v>3.33041921651888</v>
      </c>
      <c r="M69" s="21"/>
    </row>
    <row r="70" customFormat="false" ht="15" hidden="false" customHeight="false" outlineLevel="0" collapsed="false">
      <c r="A70" s="21" t="s">
        <v>189</v>
      </c>
      <c r="B70" s="21" t="s">
        <v>191</v>
      </c>
      <c r="C70" s="21" t="s">
        <v>208</v>
      </c>
      <c r="D70" s="37" t="n">
        <v>372</v>
      </c>
      <c r="E70" s="37" t="n">
        <v>330</v>
      </c>
      <c r="F70" s="63" t="n">
        <f aca="false">IF(E70="","",D70-E70)</f>
        <v>42</v>
      </c>
      <c r="G70" s="37" t="n">
        <v>171</v>
      </c>
      <c r="H70" s="37" t="n">
        <v>195</v>
      </c>
      <c r="I70" s="63" t="n">
        <f aca="false">IF(H70="","",G70-H70)</f>
        <v>-24</v>
      </c>
      <c r="J70" s="52" t="n">
        <f aca="false">IF(OR(D70="",D70+G70=0),"",D70/(D70+G70))</f>
        <v>0.685082872928177</v>
      </c>
      <c r="K70" s="52" t="n">
        <f aca="false">IF(E70="","",E70/(E70+H70))</f>
        <v>0.628571428571429</v>
      </c>
      <c r="L70" s="64" t="n">
        <f aca="false">IF(OR(K70="",J70=""),"",(J70-K70)*100)</f>
        <v>5.65114443567483</v>
      </c>
      <c r="M70" s="21"/>
    </row>
    <row r="71" customFormat="false" ht="15" hidden="false" customHeight="false" outlineLevel="0" collapsed="false">
      <c r="A71" s="21" t="s">
        <v>189</v>
      </c>
      <c r="B71" s="21" t="s">
        <v>191</v>
      </c>
      <c r="C71" s="21" t="s">
        <v>209</v>
      </c>
      <c r="D71" s="37" t="n">
        <v>455</v>
      </c>
      <c r="E71" s="37" t="n">
        <v>441</v>
      </c>
      <c r="F71" s="63" t="n">
        <f aca="false">IF(E71="","",D71-E71)</f>
        <v>14</v>
      </c>
      <c r="G71" s="37" t="n">
        <v>235</v>
      </c>
      <c r="H71" s="37" t="n">
        <v>232</v>
      </c>
      <c r="I71" s="63" t="n">
        <f aca="false">IF(H71="","",G71-H71)</f>
        <v>3</v>
      </c>
      <c r="J71" s="52" t="n">
        <f aca="false">IF(OR(D71="",D71+G71=0),"",D71/(D71+G71))</f>
        <v>0.659420289855073</v>
      </c>
      <c r="K71" s="52" t="n">
        <f aca="false">IF(E71="","",E71/(E71+H71))</f>
        <v>0.655274888558692</v>
      </c>
      <c r="L71" s="64" t="n">
        <f aca="false">IF(OR(K71="",J71=""),"",(J71-K71)*100)</f>
        <v>0.414540129638008</v>
      </c>
      <c r="M71" s="21"/>
    </row>
    <row r="72" customFormat="false" ht="15" hidden="false" customHeight="false" outlineLevel="0" collapsed="false">
      <c r="A72" s="21" t="s">
        <v>189</v>
      </c>
      <c r="B72" s="21" t="s">
        <v>191</v>
      </c>
      <c r="C72" s="21" t="s">
        <v>210</v>
      </c>
      <c r="D72" s="37" t="n">
        <v>315</v>
      </c>
      <c r="E72" s="37" t="n">
        <v>313</v>
      </c>
      <c r="F72" s="63" t="n">
        <f aca="false">IF(E72="","",D72-E72)</f>
        <v>2</v>
      </c>
      <c r="G72" s="37" t="n">
        <v>143</v>
      </c>
      <c r="H72" s="37" t="n">
        <v>155</v>
      </c>
      <c r="I72" s="63" t="n">
        <f aca="false">IF(H72="","",G72-H72)</f>
        <v>-12</v>
      </c>
      <c r="J72" s="52" t="n">
        <f aca="false">IF(OR(D72="",D72+G72=0),"",D72/(D72+G72))</f>
        <v>0.687772925764192</v>
      </c>
      <c r="K72" s="52" t="n">
        <f aca="false">IF(E72="","",E72/(E72+H72))</f>
        <v>0.668803418803419</v>
      </c>
      <c r="L72" s="64" t="n">
        <f aca="false">IF(OR(K72="",J72=""),"",(J72-K72)*100)</f>
        <v>1.89695069607734</v>
      </c>
      <c r="M72" s="21"/>
    </row>
    <row r="73" customFormat="false" ht="15" hidden="false" customHeight="false" outlineLevel="0" collapsed="false">
      <c r="A73" s="21" t="s">
        <v>189</v>
      </c>
      <c r="B73" s="21" t="s">
        <v>191</v>
      </c>
      <c r="C73" s="21" t="s">
        <v>211</v>
      </c>
      <c r="D73" s="37" t="n">
        <v>674</v>
      </c>
      <c r="E73" s="37" t="n">
        <v>658</v>
      </c>
      <c r="F73" s="63" t="n">
        <f aca="false">IF(E73="","",D73-E73)</f>
        <v>16</v>
      </c>
      <c r="G73" s="37" t="n">
        <v>396</v>
      </c>
      <c r="H73" s="37" t="n">
        <v>375</v>
      </c>
      <c r="I73" s="63" t="n">
        <f aca="false">IF(H73="","",G73-H73)</f>
        <v>21</v>
      </c>
      <c r="J73" s="52" t="n">
        <f aca="false">IF(OR(D73="",D73+G73=0),"",D73/(D73+G73))</f>
        <v>0.629906542056075</v>
      </c>
      <c r="K73" s="52" t="n">
        <f aca="false">IF(E73="","",E73/(E73+H73))</f>
        <v>0.636979670861568</v>
      </c>
      <c r="L73" s="64" t="n">
        <f aca="false">IF(OR(K73="",J73=""),"",(J73-K73)*100)</f>
        <v>-0.707312880549349</v>
      </c>
      <c r="M73" s="21"/>
    </row>
    <row r="74" customFormat="false" ht="15" hidden="false" customHeight="false" outlineLevel="0" collapsed="false">
      <c r="A74" s="21" t="s">
        <v>189</v>
      </c>
      <c r="B74" s="21" t="s">
        <v>191</v>
      </c>
      <c r="C74" s="21" t="s">
        <v>212</v>
      </c>
      <c r="D74" s="37" t="n">
        <v>784</v>
      </c>
      <c r="E74" s="37" t="n">
        <v>693</v>
      </c>
      <c r="F74" s="63" t="n">
        <f aca="false">IF(E74="","",D74-E74)</f>
        <v>91</v>
      </c>
      <c r="G74" s="37" t="n">
        <v>366</v>
      </c>
      <c r="H74" s="37" t="n">
        <v>389</v>
      </c>
      <c r="I74" s="63" t="n">
        <f aca="false">IF(H74="","",G74-H74)</f>
        <v>-23</v>
      </c>
      <c r="J74" s="52" t="n">
        <f aca="false">IF(OR(D74="",D74+G74=0),"",D74/(D74+G74))</f>
        <v>0.681739130434783</v>
      </c>
      <c r="K74" s="52" t="n">
        <f aca="false">IF(E74="","",E74/(E74+H74))</f>
        <v>0.640480591497227</v>
      </c>
      <c r="L74" s="64" t="n">
        <f aca="false">IF(OR(K74="",J74=""),"",(J74-K74)*100)</f>
        <v>4.12585389375553</v>
      </c>
      <c r="M74" s="21"/>
    </row>
    <row r="75" customFormat="false" ht="15" hidden="false" customHeight="false" outlineLevel="0" collapsed="false">
      <c r="A75" s="21" t="s">
        <v>189</v>
      </c>
      <c r="B75" s="21" t="s">
        <v>191</v>
      </c>
      <c r="C75" s="21" t="s">
        <v>213</v>
      </c>
      <c r="D75" s="37" t="n">
        <v>487</v>
      </c>
      <c r="E75" s="37" t="n">
        <v>446</v>
      </c>
      <c r="F75" s="63" t="n">
        <f aca="false">IF(E75="","",D75-E75)</f>
        <v>41</v>
      </c>
      <c r="G75" s="37" t="n">
        <v>346</v>
      </c>
      <c r="H75" s="37" t="n">
        <v>382</v>
      </c>
      <c r="I75" s="63" t="n">
        <f aca="false">IF(H75="","",G75-H75)</f>
        <v>-36</v>
      </c>
      <c r="J75" s="52" t="n">
        <f aca="false">IF(OR(D75="",D75+G75=0),"",D75/(D75+G75))</f>
        <v>0.584633853541417</v>
      </c>
      <c r="K75" s="52" t="n">
        <f aca="false">IF(E75="","",E75/(E75+H75))</f>
        <v>0.538647342995169</v>
      </c>
      <c r="L75" s="64" t="n">
        <f aca="false">IF(OR(K75="",J75=""),"",(J75-K75)*100)</f>
        <v>4.59865105462476</v>
      </c>
      <c r="M75" s="21"/>
    </row>
    <row r="76" customFormat="false" ht="15" hidden="false" customHeight="false" outlineLevel="0" collapsed="false">
      <c r="A76" s="21" t="s">
        <v>189</v>
      </c>
      <c r="B76" s="21" t="s">
        <v>191</v>
      </c>
      <c r="C76" s="21" t="s">
        <v>214</v>
      </c>
      <c r="D76" s="37" t="n">
        <v>623</v>
      </c>
      <c r="E76" s="37" t="n">
        <v>627</v>
      </c>
      <c r="F76" s="63" t="n">
        <f aca="false">IF(E76="","",D76-E76)</f>
        <v>-4</v>
      </c>
      <c r="G76" s="37" t="n">
        <v>387</v>
      </c>
      <c r="H76" s="37" t="n">
        <v>389</v>
      </c>
      <c r="I76" s="63" t="n">
        <f aca="false">IF(H76="","",G76-H76)</f>
        <v>-2</v>
      </c>
      <c r="J76" s="52" t="n">
        <f aca="false">IF(OR(D76="",D76+G76=0),"",D76/(D76+G76))</f>
        <v>0.616831683168317</v>
      </c>
      <c r="K76" s="52" t="n">
        <f aca="false">IF(E76="","",E76/(E76+H76))</f>
        <v>0.617125984251969</v>
      </c>
      <c r="L76" s="64" t="n">
        <f aca="false">IF(OR(K76="",J76=""),"",(J76-K76)*100)</f>
        <v>-0.0294301083651694</v>
      </c>
      <c r="M76" s="21"/>
    </row>
    <row r="77" customFormat="false" ht="15" hidden="false" customHeight="false" outlineLevel="0" collapsed="false">
      <c r="A77" s="21" t="s">
        <v>189</v>
      </c>
      <c r="B77" s="21" t="s">
        <v>191</v>
      </c>
      <c r="C77" s="21" t="s">
        <v>215</v>
      </c>
      <c r="D77" s="37" t="n">
        <v>634</v>
      </c>
      <c r="E77" s="37" t="n">
        <v>645</v>
      </c>
      <c r="F77" s="63" t="n">
        <f aca="false">IF(E77="","",D77-E77)</f>
        <v>-11</v>
      </c>
      <c r="G77" s="37" t="n">
        <v>397</v>
      </c>
      <c r="H77" s="37" t="n">
        <v>418</v>
      </c>
      <c r="I77" s="63" t="n">
        <f aca="false">IF(H77="","",G77-H77)</f>
        <v>-21</v>
      </c>
      <c r="J77" s="52" t="n">
        <f aca="false">IF(OR(D77="",D77+G77=0),"",D77/(D77+G77))</f>
        <v>0.614936954413191</v>
      </c>
      <c r="K77" s="52" t="n">
        <f aca="false">IF(E77="","",E77/(E77+H77))</f>
        <v>0.606773283160865</v>
      </c>
      <c r="L77" s="64" t="n">
        <f aca="false">IF(OR(K77="",J77=""),"",(J77-K77)*100)</f>
        <v>0.816367125232564</v>
      </c>
      <c r="M77" s="21"/>
    </row>
    <row r="78" customFormat="false" ht="15" hidden="false" customHeight="false" outlineLevel="0" collapsed="false">
      <c r="A78" s="21" t="s">
        <v>189</v>
      </c>
      <c r="B78" s="21" t="s">
        <v>191</v>
      </c>
      <c r="C78" s="21" t="s">
        <v>216</v>
      </c>
      <c r="D78" s="37" t="n">
        <v>493</v>
      </c>
      <c r="E78" s="37" t="n">
        <v>452</v>
      </c>
      <c r="F78" s="63" t="n">
        <f aca="false">IF(E78="","",D78-E78)</f>
        <v>41</v>
      </c>
      <c r="G78" s="37" t="n">
        <v>317</v>
      </c>
      <c r="H78" s="37" t="n">
        <v>341</v>
      </c>
      <c r="I78" s="63" t="n">
        <f aca="false">IF(H78="","",G78-H78)</f>
        <v>-24</v>
      </c>
      <c r="J78" s="52" t="n">
        <f aca="false">IF(OR(D78="",D78+G78=0),"",D78/(D78+G78))</f>
        <v>0.608641975308642</v>
      </c>
      <c r="K78" s="52" t="n">
        <f aca="false">IF(E78="","",E78/(E78+H78))</f>
        <v>0.569987389659521</v>
      </c>
      <c r="L78" s="64" t="n">
        <f aca="false">IF(OR(K78="",J78=""),"",(J78-K78)*100)</f>
        <v>3.86545856491212</v>
      </c>
      <c r="M78" s="21"/>
    </row>
    <row r="79" customFormat="false" ht="15" hidden="false" customHeight="false" outlineLevel="0" collapsed="false">
      <c r="A79" s="21" t="s">
        <v>189</v>
      </c>
      <c r="B79" s="21" t="s">
        <v>191</v>
      </c>
      <c r="C79" s="21" t="s">
        <v>217</v>
      </c>
      <c r="D79" s="37" t="n">
        <v>560</v>
      </c>
      <c r="E79" s="37" t="n">
        <v>541</v>
      </c>
      <c r="F79" s="63" t="n">
        <f aca="false">IF(E79="","",D79-E79)</f>
        <v>19</v>
      </c>
      <c r="G79" s="37" t="n">
        <v>349</v>
      </c>
      <c r="H79" s="37" t="n">
        <v>325</v>
      </c>
      <c r="I79" s="63" t="n">
        <f aca="false">IF(H79="","",G79-H79)</f>
        <v>24</v>
      </c>
      <c r="J79" s="52" t="n">
        <f aca="false">IF(OR(D79="",D79+G79=0),"",D79/(D79+G79))</f>
        <v>0.616061606160616</v>
      </c>
      <c r="K79" s="52" t="n">
        <f aca="false">IF(E79="","",E79/(E79+H79))</f>
        <v>0.624711316397229</v>
      </c>
      <c r="L79" s="64" t="n">
        <f aca="false">IF(OR(K79="",J79=""),"",(J79-K79)*100)</f>
        <v>-0.864971023661254</v>
      </c>
      <c r="M79" s="21"/>
    </row>
    <row r="80" customFormat="false" ht="15" hidden="false" customHeight="false" outlineLevel="0" collapsed="false">
      <c r="A80" s="21" t="s">
        <v>189</v>
      </c>
      <c r="B80" s="21" t="s">
        <v>191</v>
      </c>
      <c r="C80" s="21" t="s">
        <v>218</v>
      </c>
      <c r="D80" s="37" t="n">
        <v>796</v>
      </c>
      <c r="E80" s="37" t="n">
        <v>783</v>
      </c>
      <c r="F80" s="63" t="n">
        <f aca="false">IF(E80="","",D80-E80)</f>
        <v>13</v>
      </c>
      <c r="G80" s="37" t="n">
        <v>537</v>
      </c>
      <c r="H80" s="37" t="n">
        <v>562</v>
      </c>
      <c r="I80" s="63" t="n">
        <f aca="false">IF(H80="","",G80-H80)</f>
        <v>-25</v>
      </c>
      <c r="J80" s="52" t="n">
        <f aca="false">IF(OR(D80="",D80+G80=0),"",D80/(D80+G80))</f>
        <v>0.597149287321831</v>
      </c>
      <c r="K80" s="52" t="n">
        <f aca="false">IF(E80="","",E80/(E80+H80))</f>
        <v>0.582156133828996</v>
      </c>
      <c r="L80" s="64" t="n">
        <f aca="false">IF(OR(K80="",J80=""),"",(J80-K80)*100)</f>
        <v>1.49931534928341</v>
      </c>
      <c r="M80" s="21"/>
    </row>
    <row r="81" customFormat="false" ht="15" hidden="false" customHeight="false" outlineLevel="0" collapsed="false">
      <c r="A81" s="21" t="s">
        <v>189</v>
      </c>
      <c r="B81" s="21" t="s">
        <v>191</v>
      </c>
      <c r="C81" s="21" t="s">
        <v>219</v>
      </c>
      <c r="D81" s="37" t="n">
        <v>471</v>
      </c>
      <c r="E81" s="37" t="n">
        <v>454</v>
      </c>
      <c r="F81" s="63" t="n">
        <f aca="false">IF(E81="","",D81-E81)</f>
        <v>17</v>
      </c>
      <c r="G81" s="37" t="n">
        <v>228</v>
      </c>
      <c r="H81" s="37" t="n">
        <v>218</v>
      </c>
      <c r="I81" s="63" t="n">
        <f aca="false">IF(H81="","",G81-H81)</f>
        <v>10</v>
      </c>
      <c r="J81" s="52" t="n">
        <f aca="false">IF(OR(D81="",D81+G81=0),"",D81/(D81+G81))</f>
        <v>0.67381974248927</v>
      </c>
      <c r="K81" s="52" t="n">
        <f aca="false">IF(E81="","",E81/(E81+H81))</f>
        <v>0.675595238095238</v>
      </c>
      <c r="L81" s="64" t="n">
        <f aca="false">IF(OR(K81="",J81=""),"",(J81-K81)*100)</f>
        <v>-0.177549560596779</v>
      </c>
      <c r="M81" s="21"/>
    </row>
    <row r="82" customFormat="false" ht="15" hidden="false" customHeight="false" outlineLevel="0" collapsed="false">
      <c r="A82" s="21" t="s">
        <v>189</v>
      </c>
      <c r="B82" s="21" t="s">
        <v>191</v>
      </c>
      <c r="C82" s="21" t="s">
        <v>220</v>
      </c>
      <c r="D82" s="37" t="n">
        <v>478</v>
      </c>
      <c r="E82" s="37" t="n">
        <v>502</v>
      </c>
      <c r="F82" s="63" t="n">
        <f aca="false">IF(E82="","",D82-E82)</f>
        <v>-24</v>
      </c>
      <c r="G82" s="37" t="n">
        <v>293</v>
      </c>
      <c r="H82" s="37" t="n">
        <v>274</v>
      </c>
      <c r="I82" s="63" t="n">
        <f aca="false">IF(H82="","",G82-H82)</f>
        <v>19</v>
      </c>
      <c r="J82" s="52" t="n">
        <f aca="false">IF(OR(D82="",D82+G82=0),"",D82/(D82+G82))</f>
        <v>0.619974059662776</v>
      </c>
      <c r="K82" s="52" t="n">
        <f aca="false">IF(E82="","",E82/(E82+H82))</f>
        <v>0.646907216494845</v>
      </c>
      <c r="L82" s="64" t="n">
        <f aca="false">IF(OR(K82="",J82=""),"",(J82-K82)*100)</f>
        <v>-2.69331568320698</v>
      </c>
      <c r="M82" s="21"/>
    </row>
    <row r="83" customFormat="false" ht="15" hidden="false" customHeight="false" outlineLevel="0" collapsed="false">
      <c r="A83" s="21" t="s">
        <v>189</v>
      </c>
      <c r="B83" s="21" t="s">
        <v>191</v>
      </c>
      <c r="C83" s="21" t="s">
        <v>221</v>
      </c>
      <c r="D83" s="37" t="n">
        <v>485</v>
      </c>
      <c r="E83" s="37" t="n">
        <v>502</v>
      </c>
      <c r="F83" s="63" t="n">
        <f aca="false">IF(E83="","",D83-E83)</f>
        <v>-17</v>
      </c>
      <c r="G83" s="37" t="n">
        <v>318</v>
      </c>
      <c r="H83" s="37" t="n">
        <v>283</v>
      </c>
      <c r="I83" s="63" t="n">
        <f aca="false">IF(H83="","",G83-H83)</f>
        <v>35</v>
      </c>
      <c r="J83" s="52" t="n">
        <f aca="false">IF(OR(D83="",D83+G83=0),"",D83/(D83+G83))</f>
        <v>0.603985056039851</v>
      </c>
      <c r="K83" s="52" t="n">
        <f aca="false">IF(E83="","",E83/(E83+H83))</f>
        <v>0.639490445859873</v>
      </c>
      <c r="L83" s="64" t="n">
        <f aca="false">IF(OR(K83="",J83=""),"",(J83-K83)*100)</f>
        <v>-3.55053898200221</v>
      </c>
      <c r="M83" s="21"/>
    </row>
    <row r="84" customFormat="false" ht="15" hidden="false" customHeight="false" outlineLevel="0" collapsed="false">
      <c r="A84" s="21" t="s">
        <v>189</v>
      </c>
      <c r="B84" s="21" t="s">
        <v>191</v>
      </c>
      <c r="C84" s="21" t="s">
        <v>222</v>
      </c>
      <c r="D84" s="37" t="n">
        <v>343</v>
      </c>
      <c r="E84" s="37"/>
      <c r="F84" s="63" t="str">
        <f aca="false">IF(E84="","",D84-E84)</f>
        <v/>
      </c>
      <c r="G84" s="37" t="n">
        <v>260</v>
      </c>
      <c r="H84" s="37"/>
      <c r="I84" s="63" t="str">
        <f aca="false">IF(H84="","",G84-H84)</f>
        <v/>
      </c>
      <c r="J84" s="52" t="n">
        <f aca="false">IF(OR(D84="",D84+G84=0),"",D84/(D84+G84))</f>
        <v>0.568822553897181</v>
      </c>
      <c r="K84" s="52" t="str">
        <f aca="false">IF(E84="","",E84/(E84+H84))</f>
        <v/>
      </c>
      <c r="L84" s="64" t="str">
        <f aca="false">IF(OR(K84="",J84=""),"",(J84-K84)*100)</f>
        <v/>
      </c>
      <c r="M84" s="21" t="s">
        <v>685</v>
      </c>
    </row>
    <row r="85" customFormat="false" ht="15" hidden="false" customHeight="false" outlineLevel="0" collapsed="false">
      <c r="A85" s="21" t="s">
        <v>189</v>
      </c>
      <c r="B85" s="21" t="s">
        <v>191</v>
      </c>
      <c r="C85" s="21" t="s">
        <v>224</v>
      </c>
      <c r="D85" s="37" t="n">
        <v>939</v>
      </c>
      <c r="E85" s="37"/>
      <c r="F85" s="63" t="str">
        <f aca="false">IF(E85="","",D85-E85)</f>
        <v/>
      </c>
      <c r="G85" s="37" t="n">
        <v>720</v>
      </c>
      <c r="H85" s="37"/>
      <c r="I85" s="63" t="str">
        <f aca="false">IF(H85="","",G85-H85)</f>
        <v/>
      </c>
      <c r="J85" s="52" t="n">
        <f aca="false">IF(OR(D85="",D85+G85=0),"",D85/(D85+G85))</f>
        <v>0.566003616636528</v>
      </c>
      <c r="K85" s="52" t="str">
        <f aca="false">IF(E85="","",E85/(E85+H85))</f>
        <v/>
      </c>
      <c r="L85" s="64" t="str">
        <f aca="false">IF(OR(K85="",J85=""),"",(J85-K85)*100)</f>
        <v/>
      </c>
      <c r="M85" s="21" t="s">
        <v>685</v>
      </c>
    </row>
    <row r="86" customFormat="false" ht="15" hidden="false" customHeight="false" outlineLevel="0" collapsed="false">
      <c r="A86" s="21" t="s">
        <v>189</v>
      </c>
      <c r="B86" s="21" t="s">
        <v>191</v>
      </c>
      <c r="C86" s="21" t="s">
        <v>226</v>
      </c>
      <c r="D86" s="37" t="n">
        <v>498</v>
      </c>
      <c r="E86" s="37" t="n">
        <v>488</v>
      </c>
      <c r="F86" s="63" t="n">
        <f aca="false">IF(E86="","",D86-E86)</f>
        <v>10</v>
      </c>
      <c r="G86" s="37" t="n">
        <v>252</v>
      </c>
      <c r="H86" s="37" t="n">
        <v>252</v>
      </c>
      <c r="I86" s="63" t="n">
        <f aca="false">IF(H86="","",G86-H86)</f>
        <v>0</v>
      </c>
      <c r="J86" s="52" t="n">
        <f aca="false">IF(OR(D86="",D86+G86=0),"",D86/(D86+G86))</f>
        <v>0.664</v>
      </c>
      <c r="K86" s="52" t="n">
        <f aca="false">IF(E86="","",E86/(E86+H86))</f>
        <v>0.65945945945946</v>
      </c>
      <c r="L86" s="64" t="n">
        <f aca="false">IF(OR(K86="",J86=""),"",(J86-K86)*100)</f>
        <v>0.454054054054054</v>
      </c>
      <c r="M86" s="21"/>
    </row>
    <row r="87" customFormat="false" ht="15" hidden="false" customHeight="false" outlineLevel="0" collapsed="false">
      <c r="A87" s="21" t="s">
        <v>189</v>
      </c>
      <c r="B87" s="21" t="s">
        <v>191</v>
      </c>
      <c r="C87" s="21" t="s">
        <v>227</v>
      </c>
      <c r="D87" s="37" t="n">
        <v>615</v>
      </c>
      <c r="E87" s="37" t="n">
        <v>601</v>
      </c>
      <c r="F87" s="63" t="n">
        <f aca="false">IF(E87="","",D87-E87)</f>
        <v>14</v>
      </c>
      <c r="G87" s="37" t="n">
        <v>415</v>
      </c>
      <c r="H87" s="37" t="n">
        <v>394</v>
      </c>
      <c r="I87" s="63" t="n">
        <f aca="false">IF(H87="","",G87-H87)</f>
        <v>21</v>
      </c>
      <c r="J87" s="52" t="n">
        <f aca="false">IF(OR(D87="",D87+G87=0),"",D87/(D87+G87))</f>
        <v>0.597087378640777</v>
      </c>
      <c r="K87" s="52" t="n">
        <f aca="false">IF(E87="","",E87/(E87+H87))</f>
        <v>0.604020100502513</v>
      </c>
      <c r="L87" s="64" t="n">
        <f aca="false">IF(OR(K87="",J87=""),"",(J87-K87)*100)</f>
        <v>-0.693272186173588</v>
      </c>
      <c r="M87" s="21"/>
    </row>
    <row r="88" customFormat="false" ht="15" hidden="false" customHeight="false" outlineLevel="0" collapsed="false">
      <c r="A88" s="21" t="s">
        <v>189</v>
      </c>
      <c r="B88" s="21" t="s">
        <v>191</v>
      </c>
      <c r="C88" s="21" t="s">
        <v>228</v>
      </c>
      <c r="D88" s="37" t="n">
        <v>18</v>
      </c>
      <c r="E88" s="37"/>
      <c r="F88" s="63" t="str">
        <f aca="false">IF(E88="","",D88-E88)</f>
        <v/>
      </c>
      <c r="G88" s="37" t="n">
        <v>15</v>
      </c>
      <c r="H88" s="37"/>
      <c r="I88" s="63" t="str">
        <f aca="false">IF(H88="","",G88-H88)</f>
        <v/>
      </c>
      <c r="J88" s="52" t="n">
        <f aca="false">IF(OR(D88="",D88+G88=0),"",D88/(D88+G88))</f>
        <v>0.545454545454545</v>
      </c>
      <c r="K88" s="52" t="str">
        <f aca="false">IF(E88="","",E88/(E88+H88))</f>
        <v/>
      </c>
      <c r="L88" s="64" t="str">
        <f aca="false">IF(OR(K88="",J88=""),"",(J88-K88)*100)</f>
        <v/>
      </c>
      <c r="M88" s="21" t="s">
        <v>685</v>
      </c>
    </row>
    <row r="89" customFormat="false" ht="15" hidden="false" customHeight="false" outlineLevel="0" collapsed="false">
      <c r="A89" s="21" t="s">
        <v>189</v>
      </c>
      <c r="B89" s="21" t="s">
        <v>191</v>
      </c>
      <c r="C89" s="21" t="s">
        <v>229</v>
      </c>
      <c r="D89" s="37" t="n">
        <v>340</v>
      </c>
      <c r="E89" s="37" t="n">
        <v>330</v>
      </c>
      <c r="F89" s="63" t="n">
        <f aca="false">IF(E89="","",D89-E89)</f>
        <v>10</v>
      </c>
      <c r="G89" s="37" t="n">
        <v>263</v>
      </c>
      <c r="H89" s="37" t="n">
        <v>270</v>
      </c>
      <c r="I89" s="63" t="n">
        <f aca="false">IF(H89="","",G89-H89)</f>
        <v>-7</v>
      </c>
      <c r="J89" s="52" t="n">
        <f aca="false">IF(OR(D89="",D89+G89=0),"",D89/(D89+G89))</f>
        <v>0.563847429519071</v>
      </c>
      <c r="K89" s="52" t="n">
        <f aca="false">IF(E89="","",E89/(E89+H89))</f>
        <v>0.55</v>
      </c>
      <c r="L89" s="64" t="n">
        <f aca="false">IF(OR(K89="",J89=""),"",(J89-K89)*100)</f>
        <v>1.38474295190713</v>
      </c>
      <c r="M89" s="21"/>
    </row>
    <row r="90" customFormat="false" ht="15" hidden="false" customHeight="false" outlineLevel="0" collapsed="false">
      <c r="A90" s="21" t="s">
        <v>189</v>
      </c>
      <c r="B90" s="21" t="s">
        <v>191</v>
      </c>
      <c r="C90" s="21" t="s">
        <v>230</v>
      </c>
      <c r="D90" s="37" t="n">
        <v>635</v>
      </c>
      <c r="E90" s="37" t="n">
        <v>591</v>
      </c>
      <c r="F90" s="63" t="n">
        <f aca="false">IF(E90="","",D90-E90)</f>
        <v>44</v>
      </c>
      <c r="G90" s="37" t="n">
        <v>296</v>
      </c>
      <c r="H90" s="37" t="n">
        <v>333</v>
      </c>
      <c r="I90" s="63" t="n">
        <f aca="false">IF(H90="","",G90-H90)</f>
        <v>-37</v>
      </c>
      <c r="J90" s="52" t="n">
        <f aca="false">IF(OR(D90="",D90+G90=0),"",D90/(D90+G90))</f>
        <v>0.682062298603652</v>
      </c>
      <c r="K90" s="52" t="n">
        <f aca="false">IF(E90="","",E90/(E90+H90))</f>
        <v>0.63961038961039</v>
      </c>
      <c r="L90" s="64" t="n">
        <f aca="false">IF(OR(K90="",J90=""),"",(J90-K90)*100)</f>
        <v>4.24519089932623</v>
      </c>
      <c r="M90" s="21"/>
    </row>
    <row r="91" customFormat="false" ht="15" hidden="false" customHeight="false" outlineLevel="0" collapsed="false">
      <c r="A91" s="21" t="s">
        <v>189</v>
      </c>
      <c r="B91" s="21" t="s">
        <v>191</v>
      </c>
      <c r="C91" s="21" t="s">
        <v>231</v>
      </c>
      <c r="D91" s="37" t="n">
        <v>338</v>
      </c>
      <c r="E91" s="37" t="n">
        <v>347</v>
      </c>
      <c r="F91" s="63" t="n">
        <f aca="false">IF(E91="","",D91-E91)</f>
        <v>-9</v>
      </c>
      <c r="G91" s="37" t="n">
        <v>254</v>
      </c>
      <c r="H91" s="37" t="n">
        <v>243</v>
      </c>
      <c r="I91" s="63" t="n">
        <f aca="false">IF(H91="","",G91-H91)</f>
        <v>11</v>
      </c>
      <c r="J91" s="52" t="n">
        <f aca="false">IF(OR(D91="",D91+G91=0),"",D91/(D91+G91))</f>
        <v>0.570945945945946</v>
      </c>
      <c r="K91" s="52" t="n">
        <f aca="false">IF(E91="","",E91/(E91+H91))</f>
        <v>0.588135593220339</v>
      </c>
      <c r="L91" s="64" t="n">
        <f aca="false">IF(OR(K91="",J91=""),"",(J91-K91)*100)</f>
        <v>-1.71896472743931</v>
      </c>
      <c r="M91" s="21"/>
    </row>
    <row r="92" customFormat="false" ht="15" hidden="false" customHeight="false" outlineLevel="0" collapsed="false">
      <c r="A92" s="21" t="s">
        <v>189</v>
      </c>
      <c r="B92" s="21" t="s">
        <v>191</v>
      </c>
      <c r="C92" s="21" t="s">
        <v>232</v>
      </c>
      <c r="D92" s="37" t="n">
        <v>482</v>
      </c>
      <c r="E92" s="37" t="n">
        <v>440</v>
      </c>
      <c r="F92" s="63" t="n">
        <f aca="false">IF(E92="","",D92-E92)</f>
        <v>42</v>
      </c>
      <c r="G92" s="37" t="n">
        <v>234</v>
      </c>
      <c r="H92" s="37" t="n">
        <v>259</v>
      </c>
      <c r="I92" s="63" t="n">
        <f aca="false">IF(H92="","",G92-H92)</f>
        <v>-25</v>
      </c>
      <c r="J92" s="52" t="n">
        <f aca="false">IF(OR(D92="",D92+G92=0),"",D92/(D92+G92))</f>
        <v>0.673184357541899</v>
      </c>
      <c r="K92" s="52" t="n">
        <f aca="false">IF(E92="","",E92/(E92+H92))</f>
        <v>0.629470672389127</v>
      </c>
      <c r="L92" s="64" t="n">
        <f aca="false">IF(OR(K92="",J92=""),"",(J92-K92)*100)</f>
        <v>4.37136851527721</v>
      </c>
      <c r="M92" s="21"/>
    </row>
    <row r="93" customFormat="false" ht="15" hidden="false" customHeight="false" outlineLevel="0" collapsed="false">
      <c r="A93" s="21" t="s">
        <v>189</v>
      </c>
      <c r="B93" s="21" t="s">
        <v>191</v>
      </c>
      <c r="C93" s="21" t="s">
        <v>233</v>
      </c>
      <c r="D93" s="37" t="n">
        <v>557</v>
      </c>
      <c r="E93" s="37" t="n">
        <v>553</v>
      </c>
      <c r="F93" s="63" t="n">
        <f aca="false">IF(E93="","",D93-E93)</f>
        <v>4</v>
      </c>
      <c r="G93" s="37" t="n">
        <v>416</v>
      </c>
      <c r="H93" s="37" t="n">
        <v>367</v>
      </c>
      <c r="I93" s="63" t="n">
        <f aca="false">IF(H93="","",G93-H93)</f>
        <v>49</v>
      </c>
      <c r="J93" s="52" t="n">
        <f aca="false">IF(OR(D93="",D93+G93=0),"",D93/(D93+G93))</f>
        <v>0.57245632065776</v>
      </c>
      <c r="K93" s="52" t="n">
        <f aca="false">IF(E93="","",E93/(E93+H93))</f>
        <v>0.601086956521739</v>
      </c>
      <c r="L93" s="64" t="n">
        <f aca="false">IF(OR(K93="",J93=""),"",(J93-K93)*100)</f>
        <v>-2.86306358639796</v>
      </c>
      <c r="M93" s="21"/>
    </row>
    <row r="94" customFormat="false" ht="15" hidden="false" customHeight="false" outlineLevel="0" collapsed="false">
      <c r="A94" s="21" t="s">
        <v>189</v>
      </c>
      <c r="B94" s="21" t="s">
        <v>191</v>
      </c>
      <c r="C94" s="21" t="s">
        <v>234</v>
      </c>
      <c r="D94" s="37" t="n">
        <v>1</v>
      </c>
      <c r="E94" s="37"/>
      <c r="F94" s="63" t="str">
        <f aca="false">IF(E94="","",D94-E94)</f>
        <v/>
      </c>
      <c r="G94" s="37" t="n">
        <v>2</v>
      </c>
      <c r="H94" s="37"/>
      <c r="I94" s="63" t="str">
        <f aca="false">IF(H94="","",G94-H94)</f>
        <v/>
      </c>
      <c r="J94" s="52" t="n">
        <f aca="false">IF(OR(D94="",D94+G94=0),"",D94/(D94+G94))</f>
        <v>0.333333333333333</v>
      </c>
      <c r="K94" s="52" t="str">
        <f aca="false">IF(E94="","",E94/(E94+H94))</f>
        <v/>
      </c>
      <c r="L94" s="64" t="str">
        <f aca="false">IF(OR(K94="",J94=""),"",(J94-K94)*100)</f>
        <v/>
      </c>
      <c r="M94" s="21" t="s">
        <v>685</v>
      </c>
    </row>
    <row r="95" customFormat="false" ht="15" hidden="false" customHeight="false" outlineLevel="0" collapsed="false">
      <c r="A95" s="21" t="s">
        <v>189</v>
      </c>
      <c r="B95" s="21" t="s">
        <v>191</v>
      </c>
      <c r="C95" s="21" t="s">
        <v>235</v>
      </c>
      <c r="D95" s="37" t="n">
        <v>850</v>
      </c>
      <c r="E95" s="37" t="n">
        <v>821</v>
      </c>
      <c r="F95" s="63" t="n">
        <f aca="false">IF(E95="","",D95-E95)</f>
        <v>29</v>
      </c>
      <c r="G95" s="37" t="n">
        <v>528</v>
      </c>
      <c r="H95" s="37" t="n">
        <v>504</v>
      </c>
      <c r="I95" s="63" t="n">
        <f aca="false">IF(H95="","",G95-H95)</f>
        <v>24</v>
      </c>
      <c r="J95" s="52" t="n">
        <f aca="false">IF(OR(D95="",D95+G95=0),"",D95/(D95+G95))</f>
        <v>0.616835994194485</v>
      </c>
      <c r="K95" s="52" t="n">
        <f aca="false">IF(E95="","",E95/(E95+H95))</f>
        <v>0.619622641509434</v>
      </c>
      <c r="L95" s="64" t="n">
        <f aca="false">IF(OR(K95="",J95=""),"",(J95-K95)*100)</f>
        <v>-0.278664731494915</v>
      </c>
      <c r="M95" s="21"/>
    </row>
    <row r="96" customFormat="false" ht="15" hidden="false" customHeight="false" outlineLevel="0" collapsed="false">
      <c r="A96" s="21" t="s">
        <v>189</v>
      </c>
      <c r="B96" s="21" t="s">
        <v>191</v>
      </c>
      <c r="C96" s="21" t="s">
        <v>236</v>
      </c>
      <c r="D96" s="37" t="n">
        <v>509</v>
      </c>
      <c r="E96" s="37" t="n">
        <v>487</v>
      </c>
      <c r="F96" s="63" t="n">
        <f aca="false">IF(E96="","",D96-E96)</f>
        <v>22</v>
      </c>
      <c r="G96" s="37" t="n">
        <v>161</v>
      </c>
      <c r="H96" s="37" t="n">
        <v>191</v>
      </c>
      <c r="I96" s="63" t="n">
        <f aca="false">IF(H96="","",G96-H96)</f>
        <v>-30</v>
      </c>
      <c r="J96" s="52" t="n">
        <f aca="false">IF(OR(D96="",D96+G96=0),"",D96/(D96+G96))</f>
        <v>0.759701492537313</v>
      </c>
      <c r="K96" s="52" t="n">
        <f aca="false">IF(E96="","",E96/(E96+H96))</f>
        <v>0.718289085545723</v>
      </c>
      <c r="L96" s="64" t="n">
        <f aca="false">IF(OR(K96="",J96=""),"",(J96-K96)*100)</f>
        <v>4.14124069915908</v>
      </c>
      <c r="M96" s="21"/>
    </row>
    <row r="97" customFormat="false" ht="15" hidden="false" customHeight="false" outlineLevel="0" collapsed="false">
      <c r="A97" s="21" t="s">
        <v>189</v>
      </c>
      <c r="B97" s="21" t="s">
        <v>191</v>
      </c>
      <c r="C97" s="21" t="s">
        <v>237</v>
      </c>
      <c r="D97" s="37" t="n">
        <v>468</v>
      </c>
      <c r="E97" s="37" t="n">
        <v>418</v>
      </c>
      <c r="F97" s="63" t="n">
        <f aca="false">IF(E97="","",D97-E97)</f>
        <v>50</v>
      </c>
      <c r="G97" s="37" t="n">
        <v>164</v>
      </c>
      <c r="H97" s="37" t="n">
        <v>181</v>
      </c>
      <c r="I97" s="63" t="n">
        <f aca="false">IF(H97="","",G97-H97)</f>
        <v>-17</v>
      </c>
      <c r="J97" s="52" t="n">
        <f aca="false">IF(OR(D97="",D97+G97=0),"",D97/(D97+G97))</f>
        <v>0.740506329113924</v>
      </c>
      <c r="K97" s="52" t="n">
        <f aca="false">IF(E97="","",E97/(E97+H97))</f>
        <v>0.697829716193656</v>
      </c>
      <c r="L97" s="64" t="n">
        <f aca="false">IF(OR(K97="",J97=""),"",(J97-K97)*100)</f>
        <v>4.26766129202679</v>
      </c>
      <c r="M97" s="21"/>
    </row>
    <row r="98" customFormat="false" ht="15" hidden="false" customHeight="false" outlineLevel="0" collapsed="false">
      <c r="A98" s="21" t="s">
        <v>189</v>
      </c>
      <c r="B98" s="21" t="s">
        <v>191</v>
      </c>
      <c r="C98" s="21" t="s">
        <v>238</v>
      </c>
      <c r="D98" s="37" t="n">
        <v>651</v>
      </c>
      <c r="E98" s="37" t="n">
        <v>677</v>
      </c>
      <c r="F98" s="63" t="n">
        <f aca="false">IF(E98="","",D98-E98)</f>
        <v>-26</v>
      </c>
      <c r="G98" s="37" t="n">
        <v>215</v>
      </c>
      <c r="H98" s="37" t="n">
        <v>264</v>
      </c>
      <c r="I98" s="63" t="n">
        <f aca="false">IF(H98="","",G98-H98)</f>
        <v>-49</v>
      </c>
      <c r="J98" s="52" t="n">
        <f aca="false">IF(OR(D98="",D98+G98=0),"",D98/(D98+G98))</f>
        <v>0.751732101616628</v>
      </c>
      <c r="K98" s="52" t="n">
        <f aca="false">IF(E98="","",E98/(E98+H98))</f>
        <v>0.719447396386823</v>
      </c>
      <c r="L98" s="64" t="n">
        <f aca="false">IF(OR(K98="",J98=""),"",(J98-K98)*100)</f>
        <v>3.22847052298056</v>
      </c>
      <c r="M98" s="21"/>
    </row>
    <row r="99" customFormat="false" ht="15" hidden="false" customHeight="false" outlineLevel="0" collapsed="false">
      <c r="A99" s="21" t="s">
        <v>189</v>
      </c>
      <c r="B99" s="21" t="s">
        <v>191</v>
      </c>
      <c r="C99" s="21" t="s">
        <v>239</v>
      </c>
      <c r="D99" s="37" t="n">
        <v>297</v>
      </c>
      <c r="E99" s="37" t="n">
        <v>283</v>
      </c>
      <c r="F99" s="63" t="n">
        <f aca="false">IF(E99="","",D99-E99)</f>
        <v>14</v>
      </c>
      <c r="G99" s="37" t="n">
        <v>115</v>
      </c>
      <c r="H99" s="37" t="n">
        <v>138</v>
      </c>
      <c r="I99" s="63" t="n">
        <f aca="false">IF(H99="","",G99-H99)</f>
        <v>-23</v>
      </c>
      <c r="J99" s="52" t="n">
        <f aca="false">IF(OR(D99="",D99+G99=0),"",D99/(D99+G99))</f>
        <v>0.720873786407767</v>
      </c>
      <c r="K99" s="52" t="n">
        <f aca="false">IF(E99="","",E99/(E99+H99))</f>
        <v>0.672209026128266</v>
      </c>
      <c r="L99" s="64" t="n">
        <f aca="false">IF(OR(K99="",J99=""),"",(J99-K99)*100)</f>
        <v>4.8664760279501</v>
      </c>
      <c r="M99" s="21"/>
    </row>
    <row r="100" customFormat="false" ht="15" hidden="false" customHeight="false" outlineLevel="0" collapsed="false">
      <c r="A100" s="21" t="s">
        <v>189</v>
      </c>
      <c r="B100" s="21" t="s">
        <v>191</v>
      </c>
      <c r="C100" s="21" t="s">
        <v>240</v>
      </c>
      <c r="D100" s="37" t="n">
        <v>463</v>
      </c>
      <c r="E100" s="37" t="n">
        <v>447</v>
      </c>
      <c r="F100" s="63" t="n">
        <f aca="false">IF(E100="","",D100-E100)</f>
        <v>16</v>
      </c>
      <c r="G100" s="37" t="n">
        <v>147</v>
      </c>
      <c r="H100" s="37" t="n">
        <v>152</v>
      </c>
      <c r="I100" s="63" t="n">
        <f aca="false">IF(H100="","",G100-H100)</f>
        <v>-5</v>
      </c>
      <c r="J100" s="52" t="n">
        <f aca="false">IF(OR(D100="",D100+G100=0),"",D100/(D100+G100))</f>
        <v>0.759016393442623</v>
      </c>
      <c r="K100" s="52" t="n">
        <f aca="false">IF(E100="","",E100/(E100+H100))</f>
        <v>0.746243739565943</v>
      </c>
      <c r="L100" s="64" t="n">
        <f aca="false">IF(OR(K100="",J100=""),"",(J100-K100)*100)</f>
        <v>1.27726538766797</v>
      </c>
      <c r="M100" s="21"/>
    </row>
    <row r="101" customFormat="false" ht="15" hidden="false" customHeight="false" outlineLevel="0" collapsed="false">
      <c r="A101" s="21" t="s">
        <v>189</v>
      </c>
      <c r="B101" s="21" t="s">
        <v>191</v>
      </c>
      <c r="C101" s="21" t="s">
        <v>241</v>
      </c>
      <c r="D101" s="37" t="n">
        <v>239</v>
      </c>
      <c r="E101" s="37" t="n">
        <v>179</v>
      </c>
      <c r="F101" s="63" t="n">
        <f aca="false">IF(E101="","",D101-E101)</f>
        <v>60</v>
      </c>
      <c r="G101" s="37" t="n">
        <v>86</v>
      </c>
      <c r="H101" s="37" t="n">
        <v>112</v>
      </c>
      <c r="I101" s="63" t="n">
        <f aca="false">IF(H101="","",G101-H101)</f>
        <v>-26</v>
      </c>
      <c r="J101" s="52" t="n">
        <f aca="false">IF(OR(D101="",D101+G101=0),"",D101/(D101+G101))</f>
        <v>0.735384615384615</v>
      </c>
      <c r="K101" s="52" t="n">
        <f aca="false">IF(E101="","",E101/(E101+H101))</f>
        <v>0.615120274914089</v>
      </c>
      <c r="L101" s="64" t="n">
        <f aca="false">IF(OR(K101="",J101=""),"",(J101-K101)*100)</f>
        <v>12.0264340470526</v>
      </c>
      <c r="M101" s="21"/>
    </row>
    <row r="102" customFormat="false" ht="15" hidden="false" customHeight="false" outlineLevel="0" collapsed="false">
      <c r="A102" s="21" t="s">
        <v>189</v>
      </c>
      <c r="B102" s="21" t="s">
        <v>191</v>
      </c>
      <c r="C102" s="21" t="s">
        <v>242</v>
      </c>
      <c r="D102" s="37" t="n">
        <v>392</v>
      </c>
      <c r="E102" s="37" t="n">
        <v>357</v>
      </c>
      <c r="F102" s="63" t="n">
        <f aca="false">IF(E102="","",D102-E102)</f>
        <v>35</v>
      </c>
      <c r="G102" s="37" t="n">
        <v>176</v>
      </c>
      <c r="H102" s="37" t="n">
        <v>225</v>
      </c>
      <c r="I102" s="63" t="n">
        <f aca="false">IF(H102="","",G102-H102)</f>
        <v>-49</v>
      </c>
      <c r="J102" s="52" t="n">
        <f aca="false">IF(OR(D102="",D102+G102=0),"",D102/(D102+G102))</f>
        <v>0.690140845070423</v>
      </c>
      <c r="K102" s="52" t="n">
        <f aca="false">IF(E102="","",E102/(E102+H102))</f>
        <v>0.61340206185567</v>
      </c>
      <c r="L102" s="64" t="n">
        <f aca="false">IF(OR(K102="",J102=""),"",(J102-K102)*100)</f>
        <v>7.67387832147524</v>
      </c>
      <c r="M102" s="21"/>
    </row>
    <row r="103" customFormat="false" ht="15" hidden="false" customHeight="false" outlineLevel="0" collapsed="false">
      <c r="A103" s="21" t="s">
        <v>189</v>
      </c>
      <c r="B103" s="21" t="s">
        <v>191</v>
      </c>
      <c r="C103" s="21" t="s">
        <v>243</v>
      </c>
      <c r="D103" s="37" t="n">
        <v>581</v>
      </c>
      <c r="E103" s="37" t="n">
        <v>520</v>
      </c>
      <c r="F103" s="63" t="n">
        <f aca="false">IF(E103="","",D103-E103)</f>
        <v>61</v>
      </c>
      <c r="G103" s="37" t="n">
        <v>202</v>
      </c>
      <c r="H103" s="37" t="n">
        <v>193</v>
      </c>
      <c r="I103" s="63" t="n">
        <f aca="false">IF(H103="","",G103-H103)</f>
        <v>9</v>
      </c>
      <c r="J103" s="52" t="n">
        <f aca="false">IF(OR(D103="",D103+G103=0),"",D103/(D103+G103))</f>
        <v>0.742017879948914</v>
      </c>
      <c r="K103" s="52" t="n">
        <f aca="false">IF(E103="","",E103/(E103+H103))</f>
        <v>0.729312762973352</v>
      </c>
      <c r="L103" s="64" t="n">
        <f aca="false">IF(OR(K103="",J103=""),"",(J103-K103)*100)</f>
        <v>1.27051169755624</v>
      </c>
      <c r="M103" s="21"/>
    </row>
    <row r="104" customFormat="false" ht="15" hidden="false" customHeight="false" outlineLevel="0" collapsed="false">
      <c r="A104" s="21" t="s">
        <v>189</v>
      </c>
      <c r="B104" s="21" t="s">
        <v>191</v>
      </c>
      <c r="C104" s="21" t="s">
        <v>244</v>
      </c>
      <c r="D104" s="37" t="n">
        <v>229</v>
      </c>
      <c r="E104" s="37" t="n">
        <v>218</v>
      </c>
      <c r="F104" s="63" t="n">
        <f aca="false">IF(E104="","",D104-E104)</f>
        <v>11</v>
      </c>
      <c r="G104" s="37" t="n">
        <v>77</v>
      </c>
      <c r="H104" s="37" t="n">
        <v>86</v>
      </c>
      <c r="I104" s="63" t="n">
        <f aca="false">IF(H104="","",G104-H104)</f>
        <v>-9</v>
      </c>
      <c r="J104" s="52" t="n">
        <f aca="false">IF(OR(D104="",D104+G104=0),"",D104/(D104+G104))</f>
        <v>0.748366013071895</v>
      </c>
      <c r="K104" s="52" t="n">
        <f aca="false">IF(E104="","",E104/(E104+H104))</f>
        <v>0.717105263157895</v>
      </c>
      <c r="L104" s="64" t="n">
        <f aca="false">IF(OR(K104="",J104=""),"",(J104-K104)*100)</f>
        <v>3.12607499140007</v>
      </c>
      <c r="M104" s="21"/>
    </row>
    <row r="105" customFormat="false" ht="15" hidden="false" customHeight="false" outlineLevel="0" collapsed="false">
      <c r="A105" s="21" t="s">
        <v>189</v>
      </c>
      <c r="B105" s="21" t="s">
        <v>191</v>
      </c>
      <c r="C105" s="21" t="s">
        <v>245</v>
      </c>
      <c r="D105" s="37" t="n">
        <v>257</v>
      </c>
      <c r="E105" s="37" t="n">
        <v>262</v>
      </c>
      <c r="F105" s="63" t="n">
        <f aca="false">IF(E105="","",D105-E105)</f>
        <v>-5</v>
      </c>
      <c r="G105" s="37" t="n">
        <v>83</v>
      </c>
      <c r="H105" s="37" t="n">
        <v>109</v>
      </c>
      <c r="I105" s="63" t="n">
        <f aca="false">IF(H105="","",G105-H105)</f>
        <v>-26</v>
      </c>
      <c r="J105" s="52" t="n">
        <f aca="false">IF(OR(D105="",D105+G105=0),"",D105/(D105+G105))</f>
        <v>0.755882352941176</v>
      </c>
      <c r="K105" s="52" t="n">
        <f aca="false">IF(E105="","",E105/(E105+H105))</f>
        <v>0.706199460916442</v>
      </c>
      <c r="L105" s="64" t="n">
        <f aca="false">IF(OR(K105="",J105=""),"",(J105-K105)*100)</f>
        <v>4.96828920247344</v>
      </c>
      <c r="M105" s="21"/>
    </row>
    <row r="106" customFormat="false" ht="15" hidden="false" customHeight="false" outlineLevel="0" collapsed="false">
      <c r="A106" s="21" t="s">
        <v>189</v>
      </c>
      <c r="B106" s="21" t="s">
        <v>191</v>
      </c>
      <c r="C106" s="21" t="s">
        <v>246</v>
      </c>
      <c r="D106" s="37" t="n">
        <v>438</v>
      </c>
      <c r="E106" s="37" t="n">
        <v>424</v>
      </c>
      <c r="F106" s="63" t="n">
        <f aca="false">IF(E106="","",D106-E106)</f>
        <v>14</v>
      </c>
      <c r="G106" s="37" t="n">
        <v>147</v>
      </c>
      <c r="H106" s="37" t="n">
        <v>151</v>
      </c>
      <c r="I106" s="63" t="n">
        <f aca="false">IF(H106="","",G106-H106)</f>
        <v>-4</v>
      </c>
      <c r="J106" s="52" t="n">
        <f aca="false">IF(OR(D106="",D106+G106=0),"",D106/(D106+G106))</f>
        <v>0.748717948717949</v>
      </c>
      <c r="K106" s="52" t="n">
        <f aca="false">IF(E106="","",E106/(E106+H106))</f>
        <v>0.737391304347826</v>
      </c>
      <c r="L106" s="64" t="n">
        <f aca="false">IF(OR(K106="",J106=""),"",(J106-K106)*100)</f>
        <v>1.13266443701227</v>
      </c>
      <c r="M106" s="21"/>
    </row>
    <row r="107" customFormat="false" ht="15" hidden="false" customHeight="false" outlineLevel="0" collapsed="false">
      <c r="A107" s="21" t="s">
        <v>189</v>
      </c>
      <c r="B107" s="21" t="s">
        <v>191</v>
      </c>
      <c r="C107" s="21" t="s">
        <v>247</v>
      </c>
      <c r="D107" s="37" t="n">
        <v>530</v>
      </c>
      <c r="E107" s="37" t="n">
        <v>565</v>
      </c>
      <c r="F107" s="63" t="n">
        <f aca="false">IF(E107="","",D107-E107)</f>
        <v>-35</v>
      </c>
      <c r="G107" s="37" t="n">
        <v>276</v>
      </c>
      <c r="H107" s="37" t="n">
        <v>277</v>
      </c>
      <c r="I107" s="63" t="n">
        <f aca="false">IF(H107="","",G107-H107)</f>
        <v>-1</v>
      </c>
      <c r="J107" s="52" t="n">
        <f aca="false">IF(OR(D107="",D107+G107=0),"",D107/(D107+G107))</f>
        <v>0.6575682382134</v>
      </c>
      <c r="K107" s="52" t="n">
        <f aca="false">IF(E107="","",E107/(E107+H107))</f>
        <v>0.671021377672209</v>
      </c>
      <c r="L107" s="64" t="n">
        <f aca="false">IF(OR(K107="",J107=""),"",(J107-K107)*100)</f>
        <v>-1.34531394588095</v>
      </c>
      <c r="M107" s="21"/>
    </row>
    <row r="108" customFormat="false" ht="15" hidden="false" customHeight="false" outlineLevel="0" collapsed="false">
      <c r="A108" s="21" t="s">
        <v>189</v>
      </c>
      <c r="B108" s="21" t="s">
        <v>191</v>
      </c>
      <c r="C108" s="21" t="s">
        <v>248</v>
      </c>
      <c r="D108" s="37" t="n">
        <v>250</v>
      </c>
      <c r="E108" s="37" t="n">
        <v>260</v>
      </c>
      <c r="F108" s="63" t="n">
        <f aca="false">IF(E108="","",D108-E108)</f>
        <v>-10</v>
      </c>
      <c r="G108" s="37" t="n">
        <v>110</v>
      </c>
      <c r="H108" s="37" t="n">
        <v>121</v>
      </c>
      <c r="I108" s="63" t="n">
        <f aca="false">IF(H108="","",G108-H108)</f>
        <v>-11</v>
      </c>
      <c r="J108" s="52" t="n">
        <f aca="false">IF(OR(D108="",D108+G108=0),"",D108/(D108+G108))</f>
        <v>0.694444444444444</v>
      </c>
      <c r="K108" s="52" t="n">
        <f aca="false">IF(E108="","",E108/(E108+H108))</f>
        <v>0.68241469816273</v>
      </c>
      <c r="L108" s="64" t="n">
        <f aca="false">IF(OR(K108="",J108=""),"",(J108-K108)*100)</f>
        <v>1.20297462817147</v>
      </c>
      <c r="M108" s="21"/>
    </row>
    <row r="109" customFormat="false" ht="15" hidden="false" customHeight="false" outlineLevel="0" collapsed="false">
      <c r="A109" s="21" t="s">
        <v>189</v>
      </c>
      <c r="B109" s="21" t="s">
        <v>191</v>
      </c>
      <c r="C109" s="21" t="s">
        <v>249</v>
      </c>
      <c r="D109" s="37" t="n">
        <v>350</v>
      </c>
      <c r="E109" s="37" t="n">
        <v>317</v>
      </c>
      <c r="F109" s="63" t="n">
        <f aca="false">IF(E109="","",D109-E109)</f>
        <v>33</v>
      </c>
      <c r="G109" s="37" t="n">
        <v>126</v>
      </c>
      <c r="H109" s="37" t="n">
        <v>152</v>
      </c>
      <c r="I109" s="63" t="n">
        <f aca="false">IF(H109="","",G109-H109)</f>
        <v>-26</v>
      </c>
      <c r="J109" s="52" t="n">
        <f aca="false">IF(OR(D109="",D109+G109=0),"",D109/(D109+G109))</f>
        <v>0.735294117647059</v>
      </c>
      <c r="K109" s="52" t="n">
        <f aca="false">IF(E109="","",E109/(E109+H109))</f>
        <v>0.67590618336887</v>
      </c>
      <c r="L109" s="64" t="n">
        <f aca="false">IF(OR(K109="",J109=""),"",(J109-K109)*100)</f>
        <v>5.93879342781889</v>
      </c>
      <c r="M109" s="21"/>
    </row>
    <row r="110" customFormat="false" ht="15" hidden="false" customHeight="false" outlineLevel="0" collapsed="false">
      <c r="A110" s="21" t="s">
        <v>189</v>
      </c>
      <c r="B110" s="21" t="s">
        <v>191</v>
      </c>
      <c r="C110" s="21" t="s">
        <v>250</v>
      </c>
      <c r="D110" s="37" t="n">
        <v>422</v>
      </c>
      <c r="E110" s="37" t="n">
        <v>424</v>
      </c>
      <c r="F110" s="63" t="n">
        <f aca="false">IF(E110="","",D110-E110)</f>
        <v>-2</v>
      </c>
      <c r="G110" s="37" t="n">
        <v>264</v>
      </c>
      <c r="H110" s="37" t="n">
        <v>264</v>
      </c>
      <c r="I110" s="63" t="n">
        <f aca="false">IF(H110="","",G110-H110)</f>
        <v>0</v>
      </c>
      <c r="J110" s="52" t="n">
        <f aca="false">IF(OR(D110="",D110+G110=0),"",D110/(D110+G110))</f>
        <v>0.615160349854227</v>
      </c>
      <c r="K110" s="52" t="n">
        <f aca="false">IF(E110="","",E110/(E110+H110))</f>
        <v>0.616279069767442</v>
      </c>
      <c r="L110" s="64" t="n">
        <f aca="false">IF(OR(K110="",J110=""),"",(J110-K110)*100)</f>
        <v>-0.111871991321444</v>
      </c>
      <c r="M110" s="21"/>
    </row>
    <row r="111" customFormat="false" ht="15" hidden="false" customHeight="false" outlineLevel="0" collapsed="false">
      <c r="A111" s="21" t="s">
        <v>189</v>
      </c>
      <c r="B111" s="21" t="s">
        <v>191</v>
      </c>
      <c r="C111" s="21" t="s">
        <v>251</v>
      </c>
      <c r="D111" s="37" t="n">
        <v>482</v>
      </c>
      <c r="E111" s="37" t="n">
        <v>469</v>
      </c>
      <c r="F111" s="63" t="n">
        <f aca="false">IF(E111="","",D111-E111)</f>
        <v>13</v>
      </c>
      <c r="G111" s="37" t="n">
        <v>165</v>
      </c>
      <c r="H111" s="37" t="n">
        <v>215</v>
      </c>
      <c r="I111" s="63" t="n">
        <f aca="false">IF(H111="","",G111-H111)</f>
        <v>-50</v>
      </c>
      <c r="J111" s="52" t="n">
        <f aca="false">IF(OR(D111="",D111+G111=0),"",D111/(D111+G111))</f>
        <v>0.744976816074189</v>
      </c>
      <c r="K111" s="52" t="n">
        <f aca="false">IF(E111="","",E111/(E111+H111))</f>
        <v>0.685672514619883</v>
      </c>
      <c r="L111" s="64" t="n">
        <f aca="false">IF(OR(K111="",J111=""),"",(J111-K111)*100)</f>
        <v>5.93043014543055</v>
      </c>
      <c r="M111" s="21"/>
    </row>
    <row r="112" customFormat="false" ht="15" hidden="false" customHeight="false" outlineLevel="0" collapsed="false">
      <c r="A112" s="21" t="s">
        <v>189</v>
      </c>
      <c r="B112" s="21" t="s">
        <v>252</v>
      </c>
      <c r="C112" s="21" t="s">
        <v>253</v>
      </c>
      <c r="D112" s="37" t="n">
        <v>622</v>
      </c>
      <c r="E112" s="37" t="n">
        <v>598</v>
      </c>
      <c r="F112" s="63" t="n">
        <f aca="false">IF(E112="","",D112-E112)</f>
        <v>24</v>
      </c>
      <c r="G112" s="37" t="n">
        <v>257</v>
      </c>
      <c r="H112" s="37" t="n">
        <v>253</v>
      </c>
      <c r="I112" s="63" t="n">
        <f aca="false">IF(H112="","",G112-H112)</f>
        <v>4</v>
      </c>
      <c r="J112" s="52" t="n">
        <f aca="false">IF(OR(D112="",D112+G112=0),"",D112/(D112+G112))</f>
        <v>0.707622298065984</v>
      </c>
      <c r="K112" s="52" t="n">
        <f aca="false">IF(E112="","",E112/(E112+H112))</f>
        <v>0.702702702702703</v>
      </c>
      <c r="L112" s="64" t="n">
        <f aca="false">IF(OR(K112="",J112=""),"",(J112-K112)*100)</f>
        <v>0.491959536328135</v>
      </c>
      <c r="M112" s="21"/>
    </row>
    <row r="113" customFormat="false" ht="15" hidden="false" customHeight="false" outlineLevel="0" collapsed="false">
      <c r="A113" s="21" t="s">
        <v>189</v>
      </c>
      <c r="B113" s="21" t="s">
        <v>252</v>
      </c>
      <c r="C113" s="21" t="s">
        <v>254</v>
      </c>
      <c r="D113" s="37" t="n">
        <v>437</v>
      </c>
      <c r="E113" s="37" t="n">
        <v>420</v>
      </c>
      <c r="F113" s="63" t="n">
        <f aca="false">IF(E113="","",D113-E113)</f>
        <v>17</v>
      </c>
      <c r="G113" s="37" t="n">
        <v>213</v>
      </c>
      <c r="H113" s="37" t="n">
        <v>214</v>
      </c>
      <c r="I113" s="63" t="n">
        <f aca="false">IF(H113="","",G113-H113)</f>
        <v>-1</v>
      </c>
      <c r="J113" s="52" t="n">
        <f aca="false">IF(OR(D113="",D113+G113=0),"",D113/(D113+G113))</f>
        <v>0.672307692307692</v>
      </c>
      <c r="K113" s="52" t="n">
        <f aca="false">IF(E113="","",E113/(E113+H113))</f>
        <v>0.662460567823344</v>
      </c>
      <c r="L113" s="64" t="n">
        <f aca="false">IF(OR(K113="",J113=""),"",(J113-K113)*100)</f>
        <v>0.984712448434844</v>
      </c>
      <c r="M113" s="21"/>
    </row>
    <row r="114" customFormat="false" ht="15" hidden="false" customHeight="false" outlineLevel="0" collapsed="false">
      <c r="A114" s="21" t="s">
        <v>189</v>
      </c>
      <c r="B114" s="21" t="s">
        <v>252</v>
      </c>
      <c r="C114" s="21" t="s">
        <v>255</v>
      </c>
      <c r="D114" s="37" t="n">
        <v>453</v>
      </c>
      <c r="E114" s="37" t="n">
        <v>438</v>
      </c>
      <c r="F114" s="63" t="n">
        <f aca="false">IF(E114="","",D114-E114)</f>
        <v>15</v>
      </c>
      <c r="G114" s="37" t="n">
        <v>180</v>
      </c>
      <c r="H114" s="37" t="n">
        <v>176</v>
      </c>
      <c r="I114" s="63" t="n">
        <f aca="false">IF(H114="","",G114-H114)</f>
        <v>4</v>
      </c>
      <c r="J114" s="52" t="n">
        <f aca="false">IF(OR(D114="",D114+G114=0),"",D114/(D114+G114))</f>
        <v>0.71563981042654</v>
      </c>
      <c r="K114" s="52" t="n">
        <f aca="false">IF(E114="","",E114/(E114+H114))</f>
        <v>0.713355048859935</v>
      </c>
      <c r="L114" s="64" t="n">
        <f aca="false">IF(OR(K114="",J114=""),"",(J114-K114)*100)</f>
        <v>0.22847615666054</v>
      </c>
      <c r="M114" s="21"/>
    </row>
    <row r="115" customFormat="false" ht="15" hidden="false" customHeight="false" outlineLevel="0" collapsed="false">
      <c r="A115" s="21" t="s">
        <v>189</v>
      </c>
      <c r="B115" s="21" t="s">
        <v>252</v>
      </c>
      <c r="C115" s="21" t="s">
        <v>256</v>
      </c>
      <c r="D115" s="37" t="n">
        <v>474</v>
      </c>
      <c r="E115" s="37" t="n">
        <v>463</v>
      </c>
      <c r="F115" s="63" t="n">
        <f aca="false">IF(E115="","",D115-E115)</f>
        <v>11</v>
      </c>
      <c r="G115" s="37" t="n">
        <v>214</v>
      </c>
      <c r="H115" s="37" t="n">
        <v>219</v>
      </c>
      <c r="I115" s="63" t="n">
        <f aca="false">IF(H115="","",G115-H115)</f>
        <v>-5</v>
      </c>
      <c r="J115" s="52" t="n">
        <f aca="false">IF(OR(D115="",D115+G115=0),"",D115/(D115+G115))</f>
        <v>0.688953488372093</v>
      </c>
      <c r="K115" s="52" t="n">
        <f aca="false">IF(E115="","",E115/(E115+H115))</f>
        <v>0.678885630498534</v>
      </c>
      <c r="L115" s="64" t="n">
        <f aca="false">IF(OR(K115="",J115=""),"",(J115-K115)*100)</f>
        <v>1.00678578735594</v>
      </c>
      <c r="M115" s="21"/>
    </row>
    <row r="116" customFormat="false" ht="15" hidden="false" customHeight="false" outlineLevel="0" collapsed="false">
      <c r="A116" s="21" t="s">
        <v>189</v>
      </c>
      <c r="B116" s="21" t="s">
        <v>252</v>
      </c>
      <c r="C116" s="21" t="s">
        <v>257</v>
      </c>
      <c r="D116" s="37" t="n">
        <v>793</v>
      </c>
      <c r="E116" s="37" t="n">
        <v>782</v>
      </c>
      <c r="F116" s="63" t="n">
        <f aca="false">IF(E116="","",D116-E116)</f>
        <v>11</v>
      </c>
      <c r="G116" s="37" t="n">
        <v>470</v>
      </c>
      <c r="H116" s="37" t="n">
        <v>404</v>
      </c>
      <c r="I116" s="63" t="n">
        <f aca="false">IF(H116="","",G116-H116)</f>
        <v>66</v>
      </c>
      <c r="J116" s="52" t="n">
        <f aca="false">IF(OR(D116="",D116+G116=0),"",D116/(D116+G116))</f>
        <v>0.627870150435471</v>
      </c>
      <c r="K116" s="52" t="n">
        <f aca="false">IF(E116="","",E116/(E116+H116))</f>
        <v>0.659359190556492</v>
      </c>
      <c r="L116" s="64" t="n">
        <f aca="false">IF(OR(K116="",J116=""),"",(J116-K116)*100)</f>
        <v>-3.14890401210213</v>
      </c>
      <c r="M116" s="21"/>
    </row>
    <row r="117" customFormat="false" ht="15" hidden="false" customHeight="false" outlineLevel="0" collapsed="false">
      <c r="A117" s="21" t="s">
        <v>189</v>
      </c>
      <c r="B117" s="21" t="s">
        <v>252</v>
      </c>
      <c r="C117" s="21" t="s">
        <v>258</v>
      </c>
      <c r="D117" s="37" t="n">
        <v>518</v>
      </c>
      <c r="E117" s="37" t="n">
        <v>503</v>
      </c>
      <c r="F117" s="63" t="n">
        <f aca="false">IF(E117="","",D117-E117)</f>
        <v>15</v>
      </c>
      <c r="G117" s="37" t="n">
        <v>325</v>
      </c>
      <c r="H117" s="37" t="n">
        <v>318</v>
      </c>
      <c r="I117" s="63" t="n">
        <f aca="false">IF(H117="","",G117-H117)</f>
        <v>7</v>
      </c>
      <c r="J117" s="52" t="n">
        <f aca="false">IF(OR(D117="",D117+G117=0),"",D117/(D117+G117))</f>
        <v>0.614472123368921</v>
      </c>
      <c r="K117" s="52" t="n">
        <f aca="false">IF(E117="","",E117/(E117+H117))</f>
        <v>0.612667478684531</v>
      </c>
      <c r="L117" s="64" t="n">
        <f aca="false">IF(OR(K117="",J117=""),"",(J117-K117)*100)</f>
        <v>0.180464468438946</v>
      </c>
      <c r="M117" s="21"/>
    </row>
    <row r="118" customFormat="false" ht="15" hidden="false" customHeight="false" outlineLevel="0" collapsed="false">
      <c r="A118" s="21" t="s">
        <v>189</v>
      </c>
      <c r="B118" s="21" t="s">
        <v>252</v>
      </c>
      <c r="C118" s="21" t="s">
        <v>259</v>
      </c>
      <c r="D118" s="37" t="n">
        <v>590</v>
      </c>
      <c r="E118" s="37" t="n">
        <v>597</v>
      </c>
      <c r="F118" s="63" t="n">
        <f aca="false">IF(E118="","",D118-E118)</f>
        <v>-7</v>
      </c>
      <c r="G118" s="37" t="n">
        <v>443</v>
      </c>
      <c r="H118" s="37" t="n">
        <v>396</v>
      </c>
      <c r="I118" s="63" t="n">
        <f aca="false">IF(H118="","",G118-H118)</f>
        <v>47</v>
      </c>
      <c r="J118" s="52" t="n">
        <f aca="false">IF(OR(D118="",D118+G118=0),"",D118/(D118+G118))</f>
        <v>0.571151984511133</v>
      </c>
      <c r="K118" s="52" t="n">
        <f aca="false">IF(E118="","",E118/(E118+H118))</f>
        <v>0.601208459214502</v>
      </c>
      <c r="L118" s="64" t="n">
        <f aca="false">IF(OR(K118="",J118=""),"",(J118-K118)*100)</f>
        <v>-3.00564747033689</v>
      </c>
      <c r="M118" s="21"/>
    </row>
    <row r="119" customFormat="false" ht="15" hidden="false" customHeight="false" outlineLevel="0" collapsed="false">
      <c r="A119" s="21" t="s">
        <v>189</v>
      </c>
      <c r="B119" s="21" t="s">
        <v>252</v>
      </c>
      <c r="C119" s="21" t="s">
        <v>260</v>
      </c>
      <c r="D119" s="37" t="n">
        <v>652</v>
      </c>
      <c r="E119" s="37" t="n">
        <v>678</v>
      </c>
      <c r="F119" s="63" t="n">
        <f aca="false">IF(E119="","",D119-E119)</f>
        <v>-26</v>
      </c>
      <c r="G119" s="37" t="n">
        <v>455</v>
      </c>
      <c r="H119" s="37" t="n">
        <v>451</v>
      </c>
      <c r="I119" s="63" t="n">
        <f aca="false">IF(H119="","",G119-H119)</f>
        <v>4</v>
      </c>
      <c r="J119" s="52" t="n">
        <f aca="false">IF(OR(D119="",D119+G119=0),"",D119/(D119+G119))</f>
        <v>0.588979223125565</v>
      </c>
      <c r="K119" s="52" t="n">
        <f aca="false">IF(E119="","",E119/(E119+H119))</f>
        <v>0.600531443755536</v>
      </c>
      <c r="L119" s="64" t="n">
        <f aca="false">IF(OR(K119="",J119=""),"",(J119-K119)*100)</f>
        <v>-1.15522206299713</v>
      </c>
      <c r="M119" s="21"/>
    </row>
    <row r="120" customFormat="false" ht="15" hidden="false" customHeight="false" outlineLevel="0" collapsed="false">
      <c r="A120" s="21" t="s">
        <v>189</v>
      </c>
      <c r="B120" s="21" t="s">
        <v>252</v>
      </c>
      <c r="C120" s="21" t="s">
        <v>261</v>
      </c>
      <c r="D120" s="37" t="n">
        <v>513</v>
      </c>
      <c r="E120" s="37" t="n">
        <v>524</v>
      </c>
      <c r="F120" s="63" t="n">
        <f aca="false">IF(E120="","",D120-E120)</f>
        <v>-11</v>
      </c>
      <c r="G120" s="37" t="n">
        <v>352</v>
      </c>
      <c r="H120" s="37" t="n">
        <v>327</v>
      </c>
      <c r="I120" s="63" t="n">
        <f aca="false">IF(H120="","",G120-H120)</f>
        <v>25</v>
      </c>
      <c r="J120" s="52" t="n">
        <f aca="false">IF(OR(D120="",D120+G120=0),"",D120/(D120+G120))</f>
        <v>0.593063583815029</v>
      </c>
      <c r="K120" s="52" t="n">
        <f aca="false">IF(E120="","",E120/(E120+H120))</f>
        <v>0.615746180963572</v>
      </c>
      <c r="L120" s="64" t="n">
        <f aca="false">IF(OR(K120="",J120=""),"",(J120-K120)*100)</f>
        <v>-2.26825971485434</v>
      </c>
      <c r="M120" s="21"/>
    </row>
    <row r="121" customFormat="false" ht="15" hidden="false" customHeight="false" outlineLevel="0" collapsed="false">
      <c r="A121" s="21" t="s">
        <v>189</v>
      </c>
      <c r="B121" s="21" t="s">
        <v>252</v>
      </c>
      <c r="C121" s="21" t="s">
        <v>262</v>
      </c>
      <c r="D121" s="37" t="n">
        <v>406</v>
      </c>
      <c r="E121" s="37" t="n">
        <v>437</v>
      </c>
      <c r="F121" s="63" t="n">
        <f aca="false">IF(E121="","",D121-E121)</f>
        <v>-31</v>
      </c>
      <c r="G121" s="37" t="n">
        <v>339</v>
      </c>
      <c r="H121" s="37" t="n">
        <v>344</v>
      </c>
      <c r="I121" s="63" t="n">
        <f aca="false">IF(H121="","",G121-H121)</f>
        <v>-5</v>
      </c>
      <c r="J121" s="52" t="n">
        <f aca="false">IF(OR(D121="",D121+G121=0),"",D121/(D121+G121))</f>
        <v>0.54496644295302</v>
      </c>
      <c r="K121" s="52" t="n">
        <f aca="false">IF(E121="","",E121/(E121+H121))</f>
        <v>0.559539052496799</v>
      </c>
      <c r="L121" s="64" t="n">
        <f aca="false">IF(OR(K121="",J121=""),"",(J121-K121)*100)</f>
        <v>-1.45726095437789</v>
      </c>
      <c r="M121" s="21"/>
    </row>
    <row r="122" customFormat="false" ht="15" hidden="false" customHeight="false" outlineLevel="0" collapsed="false">
      <c r="A122" s="21" t="s">
        <v>189</v>
      </c>
      <c r="B122" s="21" t="s">
        <v>252</v>
      </c>
      <c r="C122" s="21" t="s">
        <v>263</v>
      </c>
      <c r="D122" s="37" t="n">
        <v>574</v>
      </c>
      <c r="E122" s="37" t="n">
        <v>581</v>
      </c>
      <c r="F122" s="63" t="n">
        <f aca="false">IF(E122="","",D122-E122)</f>
        <v>-7</v>
      </c>
      <c r="G122" s="37" t="n">
        <v>360</v>
      </c>
      <c r="H122" s="37" t="n">
        <v>342</v>
      </c>
      <c r="I122" s="63" t="n">
        <f aca="false">IF(H122="","",G122-H122)</f>
        <v>18</v>
      </c>
      <c r="J122" s="52" t="n">
        <f aca="false">IF(OR(D122="",D122+G122=0),"",D122/(D122+G122))</f>
        <v>0.614561027837259</v>
      </c>
      <c r="K122" s="52" t="n">
        <f aca="false">IF(E122="","",E122/(E122+H122))</f>
        <v>0.629469122426869</v>
      </c>
      <c r="L122" s="64" t="n">
        <f aca="false">IF(OR(K122="",J122=""),"",(J122-K122)*100)</f>
        <v>-1.49080945896098</v>
      </c>
      <c r="M122" s="21"/>
    </row>
    <row r="123" customFormat="false" ht="15" hidden="false" customHeight="false" outlineLevel="0" collapsed="false">
      <c r="A123" s="21" t="s">
        <v>189</v>
      </c>
      <c r="B123" s="21" t="s">
        <v>252</v>
      </c>
      <c r="C123" s="21" t="s">
        <v>264</v>
      </c>
      <c r="D123" s="37" t="n">
        <v>591</v>
      </c>
      <c r="E123" s="37" t="n">
        <v>591</v>
      </c>
      <c r="F123" s="63" t="n">
        <f aca="false">IF(E123="","",D123-E123)</f>
        <v>0</v>
      </c>
      <c r="G123" s="37" t="n">
        <v>418</v>
      </c>
      <c r="H123" s="37" t="n">
        <v>390</v>
      </c>
      <c r="I123" s="63" t="n">
        <f aca="false">IF(H123="","",G123-H123)</f>
        <v>28</v>
      </c>
      <c r="J123" s="52" t="n">
        <f aca="false">IF(OR(D123="",D123+G123=0),"",D123/(D123+G123))</f>
        <v>0.585728444003964</v>
      </c>
      <c r="K123" s="52" t="n">
        <f aca="false">IF(E123="","",E123/(E123+H123))</f>
        <v>0.602446483180428</v>
      </c>
      <c r="L123" s="64" t="n">
        <f aca="false">IF(OR(K123="",J123=""),"",(J123-K123)*100)</f>
        <v>-1.67180391764639</v>
      </c>
      <c r="M123" s="21"/>
    </row>
    <row r="124" customFormat="false" ht="15" hidden="false" customHeight="false" outlineLevel="0" collapsed="false">
      <c r="A124" s="21" t="s">
        <v>189</v>
      </c>
      <c r="B124" s="21" t="s">
        <v>265</v>
      </c>
      <c r="C124" s="21" t="s">
        <v>266</v>
      </c>
      <c r="D124" s="37" t="n">
        <v>530</v>
      </c>
      <c r="E124" s="37" t="n">
        <v>557</v>
      </c>
      <c r="F124" s="63" t="n">
        <f aca="false">IF(E124="","",D124-E124)</f>
        <v>-27</v>
      </c>
      <c r="G124" s="37" t="n">
        <v>431</v>
      </c>
      <c r="H124" s="37" t="n">
        <v>454</v>
      </c>
      <c r="I124" s="63" t="n">
        <f aca="false">IF(H124="","",G124-H124)</f>
        <v>-23</v>
      </c>
      <c r="J124" s="52" t="n">
        <f aca="false">IF(OR(D124="",D124+G124=0),"",D124/(D124+G124))</f>
        <v>0.551508844953174</v>
      </c>
      <c r="K124" s="52" t="n">
        <f aca="false">IF(E124="","",E124/(E124+H124))</f>
        <v>0.550939663699308</v>
      </c>
      <c r="L124" s="64" t="n">
        <f aca="false">IF(OR(K124="",J124=""),"",(J124-K124)*100)</f>
        <v>0.056918125386618</v>
      </c>
      <c r="M124" s="21"/>
    </row>
    <row r="125" customFormat="false" ht="15" hidden="false" customHeight="false" outlineLevel="0" collapsed="false">
      <c r="A125" s="21" t="s">
        <v>189</v>
      </c>
      <c r="B125" s="21" t="s">
        <v>265</v>
      </c>
      <c r="C125" s="21" t="s">
        <v>267</v>
      </c>
      <c r="D125" s="37" t="n">
        <v>513</v>
      </c>
      <c r="E125" s="37" t="n">
        <v>467</v>
      </c>
      <c r="F125" s="63" t="n">
        <f aca="false">IF(E125="","",D125-E125)</f>
        <v>46</v>
      </c>
      <c r="G125" s="37" t="n">
        <v>538</v>
      </c>
      <c r="H125" s="37" t="n">
        <v>513</v>
      </c>
      <c r="I125" s="63" t="n">
        <f aca="false">IF(H125="","",G125-H125)</f>
        <v>25</v>
      </c>
      <c r="J125" s="52" t="n">
        <f aca="false">IF(OR(D125="",D125+G125=0),"",D125/(D125+G125))</f>
        <v>0.488106565176023</v>
      </c>
      <c r="K125" s="52" t="n">
        <f aca="false">IF(E125="","",E125/(E125+H125))</f>
        <v>0.476530612244898</v>
      </c>
      <c r="L125" s="64" t="n">
        <f aca="false">IF(OR(K125="",J125=""),"",(J125-K125)*100)</f>
        <v>1.15759529311249</v>
      </c>
      <c r="M125" s="21"/>
    </row>
    <row r="126" customFormat="false" ht="15" hidden="false" customHeight="false" outlineLevel="0" collapsed="false">
      <c r="A126" s="21" t="s">
        <v>189</v>
      </c>
      <c r="B126" s="21" t="s">
        <v>265</v>
      </c>
      <c r="C126" s="21" t="s">
        <v>268</v>
      </c>
      <c r="D126" s="37" t="n">
        <v>533</v>
      </c>
      <c r="E126" s="37" t="n">
        <v>536</v>
      </c>
      <c r="F126" s="63" t="n">
        <f aca="false">IF(E126="","",D126-E126)</f>
        <v>-3</v>
      </c>
      <c r="G126" s="37" t="n">
        <v>546</v>
      </c>
      <c r="H126" s="37" t="n">
        <v>524</v>
      </c>
      <c r="I126" s="63" t="n">
        <f aca="false">IF(H126="","",G126-H126)</f>
        <v>22</v>
      </c>
      <c r="J126" s="52" t="n">
        <f aca="false">IF(OR(D126="",D126+G126=0),"",D126/(D126+G126))</f>
        <v>0.493975903614458</v>
      </c>
      <c r="K126" s="52" t="n">
        <f aca="false">IF(E126="","",E126/(E126+H126))</f>
        <v>0.505660377358491</v>
      </c>
      <c r="L126" s="64" t="n">
        <f aca="false">IF(OR(K126="",J126=""),"",(J126-K126)*100)</f>
        <v>-1.16844737440328</v>
      </c>
      <c r="M126" s="21"/>
    </row>
    <row r="127" customFormat="false" ht="15" hidden="false" customHeight="false" outlineLevel="0" collapsed="false">
      <c r="A127" s="21" t="s">
        <v>189</v>
      </c>
      <c r="B127" s="21" t="s">
        <v>269</v>
      </c>
      <c r="C127" s="21" t="s">
        <v>269</v>
      </c>
      <c r="D127" s="37" t="n">
        <v>762</v>
      </c>
      <c r="E127" s="37" t="n">
        <v>735</v>
      </c>
      <c r="F127" s="63" t="n">
        <f aca="false">IF(E127="","",D127-E127)</f>
        <v>27</v>
      </c>
      <c r="G127" s="37" t="n">
        <v>810</v>
      </c>
      <c r="H127" s="37" t="n">
        <v>804</v>
      </c>
      <c r="I127" s="63" t="n">
        <f aca="false">IF(H127="","",G127-H127)</f>
        <v>6</v>
      </c>
      <c r="J127" s="52" t="n">
        <f aca="false">IF(OR(D127="",D127+G127=0),"",D127/(D127+G127))</f>
        <v>0.484732824427481</v>
      </c>
      <c r="K127" s="52" t="n">
        <f aca="false">IF(E127="","",E127/(E127+H127))</f>
        <v>0.477582846003899</v>
      </c>
      <c r="L127" s="64" t="n">
        <f aca="false">IF(OR(K127="",J127=""),"",(J127-K127)*100)</f>
        <v>0.714997842358228</v>
      </c>
      <c r="M127" s="21"/>
    </row>
    <row r="128" customFormat="false" ht="15" hidden="false" customHeight="false" outlineLevel="0" collapsed="false">
      <c r="A128" s="21" t="s">
        <v>189</v>
      </c>
      <c r="B128" s="21" t="s">
        <v>270</v>
      </c>
      <c r="C128" s="21" t="s">
        <v>271</v>
      </c>
      <c r="D128" s="37" t="n">
        <v>399</v>
      </c>
      <c r="E128" s="37" t="n">
        <v>372</v>
      </c>
      <c r="F128" s="63" t="n">
        <f aca="false">IF(E128="","",D128-E128)</f>
        <v>27</v>
      </c>
      <c r="G128" s="37" t="n">
        <v>408</v>
      </c>
      <c r="H128" s="37" t="n">
        <v>383</v>
      </c>
      <c r="I128" s="63" t="n">
        <f aca="false">IF(H128="","",G128-H128)</f>
        <v>25</v>
      </c>
      <c r="J128" s="52" t="n">
        <f aca="false">IF(OR(D128="",D128+G128=0),"",D128/(D128+G128))</f>
        <v>0.494423791821561</v>
      </c>
      <c r="K128" s="52" t="n">
        <f aca="false">IF(E128="","",E128/(E128+H128))</f>
        <v>0.492715231788079</v>
      </c>
      <c r="L128" s="64" t="n">
        <f aca="false">IF(OR(K128="",J128=""),"",(J128-K128)*100)</f>
        <v>0.170856003348185</v>
      </c>
      <c r="M128" s="21"/>
    </row>
    <row r="129" customFormat="false" ht="15" hidden="false" customHeight="false" outlineLevel="0" collapsed="false">
      <c r="A129" s="21" t="s">
        <v>189</v>
      </c>
      <c r="B129" s="21" t="s">
        <v>270</v>
      </c>
      <c r="C129" s="21" t="s">
        <v>272</v>
      </c>
      <c r="D129" s="37" t="n">
        <v>525</v>
      </c>
      <c r="E129" s="37" t="n">
        <v>527</v>
      </c>
      <c r="F129" s="63" t="n">
        <f aca="false">IF(E129="","",D129-E129)</f>
        <v>-2</v>
      </c>
      <c r="G129" s="37" t="n">
        <v>506</v>
      </c>
      <c r="H129" s="37" t="n">
        <v>515</v>
      </c>
      <c r="I129" s="63" t="n">
        <f aca="false">IF(H129="","",G129-H129)</f>
        <v>-9</v>
      </c>
      <c r="J129" s="52" t="n">
        <f aca="false">IF(OR(D129="",D129+G129=0),"",D129/(D129+G129))</f>
        <v>0.50921435499515</v>
      </c>
      <c r="K129" s="52" t="n">
        <f aca="false">IF(E129="","",E129/(E129+H129))</f>
        <v>0.505758157389635</v>
      </c>
      <c r="L129" s="64" t="n">
        <f aca="false">IF(OR(K129="",J129=""),"",(J129-K129)*100)</f>
        <v>0.345619760551497</v>
      </c>
      <c r="M129" s="21"/>
    </row>
    <row r="130" customFormat="false" ht="15" hidden="false" customHeight="false" outlineLevel="0" collapsed="false">
      <c r="A130" s="21" t="s">
        <v>189</v>
      </c>
      <c r="B130" s="21" t="s">
        <v>273</v>
      </c>
      <c r="C130" s="21" t="s">
        <v>274</v>
      </c>
      <c r="D130" s="37" t="n">
        <v>553</v>
      </c>
      <c r="E130" s="37" t="n">
        <v>562</v>
      </c>
      <c r="F130" s="63" t="n">
        <f aca="false">IF(E130="","",D130-E130)</f>
        <v>-9</v>
      </c>
      <c r="G130" s="37" t="n">
        <v>497</v>
      </c>
      <c r="H130" s="37" t="n">
        <v>497</v>
      </c>
      <c r="I130" s="63" t="n">
        <f aca="false">IF(H130="","",G130-H130)</f>
        <v>0</v>
      </c>
      <c r="J130" s="52" t="n">
        <f aca="false">IF(OR(D130="",D130+G130=0),"",D130/(D130+G130))</f>
        <v>0.526666666666667</v>
      </c>
      <c r="K130" s="52" t="n">
        <f aca="false">IF(E130="","",E130/(E130+H130))</f>
        <v>0.530689329556185</v>
      </c>
      <c r="L130" s="64" t="n">
        <f aca="false">IF(OR(K130="",J130=""),"",(J130-K130)*100)</f>
        <v>-0.402266288951847</v>
      </c>
      <c r="M130" s="21"/>
    </row>
    <row r="131" customFormat="false" ht="15" hidden="false" customHeight="false" outlineLevel="0" collapsed="false">
      <c r="A131" s="21" t="s">
        <v>189</v>
      </c>
      <c r="B131" s="21" t="s">
        <v>273</v>
      </c>
      <c r="C131" s="21" t="s">
        <v>275</v>
      </c>
      <c r="D131" s="37" t="n">
        <v>563</v>
      </c>
      <c r="E131" s="37" t="n">
        <v>566</v>
      </c>
      <c r="F131" s="63" t="n">
        <f aca="false">IF(E131="","",D131-E131)</f>
        <v>-3</v>
      </c>
      <c r="G131" s="37" t="n">
        <v>516</v>
      </c>
      <c r="H131" s="37" t="n">
        <v>509</v>
      </c>
      <c r="I131" s="63" t="n">
        <f aca="false">IF(H131="","",G131-H131)</f>
        <v>7</v>
      </c>
      <c r="J131" s="52" t="n">
        <f aca="false">IF(OR(D131="",D131+G131=0),"",D131/(D131+G131))</f>
        <v>0.521779425393883</v>
      </c>
      <c r="K131" s="52" t="n">
        <f aca="false">IF(E131="","",E131/(E131+H131))</f>
        <v>0.526511627906977</v>
      </c>
      <c r="L131" s="64" t="n">
        <f aca="false">IF(OR(K131="",J131=""),"",(J131-K131)*100)</f>
        <v>-0.473220251309348</v>
      </c>
      <c r="M131" s="21"/>
    </row>
    <row r="132" customFormat="false" ht="15" hidden="false" customHeight="false" outlineLevel="0" collapsed="false">
      <c r="A132" s="21" t="s">
        <v>189</v>
      </c>
      <c r="B132" s="21" t="s">
        <v>273</v>
      </c>
      <c r="C132" s="21" t="s">
        <v>276</v>
      </c>
      <c r="D132" s="37" t="n">
        <v>798</v>
      </c>
      <c r="E132" s="37" t="n">
        <v>826</v>
      </c>
      <c r="F132" s="63" t="n">
        <f aca="false">IF(E132="","",D132-E132)</f>
        <v>-28</v>
      </c>
      <c r="G132" s="37" t="n">
        <v>800</v>
      </c>
      <c r="H132" s="37" t="n">
        <v>801</v>
      </c>
      <c r="I132" s="63" t="n">
        <f aca="false">IF(H132="","",G132-H132)</f>
        <v>-1</v>
      </c>
      <c r="J132" s="52" t="n">
        <f aca="false">IF(OR(D132="",D132+G132=0),"",D132/(D132+G132))</f>
        <v>0.499374217772215</v>
      </c>
      <c r="K132" s="52" t="n">
        <f aca="false">IF(E132="","",E132/(E132+H132))</f>
        <v>0.507682851874616</v>
      </c>
      <c r="L132" s="64" t="n">
        <f aca="false">IF(OR(K132="",J132=""),"",(J132-K132)*100)</f>
        <v>-0.830863410240057</v>
      </c>
      <c r="M132" s="21"/>
    </row>
    <row r="133" customFormat="false" ht="15" hidden="false" customHeight="false" outlineLevel="0" collapsed="false">
      <c r="A133" s="21" t="s">
        <v>189</v>
      </c>
      <c r="B133" s="21" t="s">
        <v>273</v>
      </c>
      <c r="C133" s="21" t="s">
        <v>277</v>
      </c>
      <c r="D133" s="37" t="n">
        <v>677</v>
      </c>
      <c r="E133" s="37" t="n">
        <v>686</v>
      </c>
      <c r="F133" s="63" t="n">
        <f aca="false">IF(E133="","",D133-E133)</f>
        <v>-9</v>
      </c>
      <c r="G133" s="37" t="n">
        <v>579</v>
      </c>
      <c r="H133" s="37" t="n">
        <v>580</v>
      </c>
      <c r="I133" s="63" t="n">
        <f aca="false">IF(H133="","",G133-H133)</f>
        <v>-1</v>
      </c>
      <c r="J133" s="52" t="n">
        <f aca="false">IF(OR(D133="",D133+G133=0),"",D133/(D133+G133))</f>
        <v>0.539012738853503</v>
      </c>
      <c r="K133" s="52" t="n">
        <f aca="false">IF(E133="","",E133/(E133+H133))</f>
        <v>0.541864139020537</v>
      </c>
      <c r="L133" s="64" t="n">
        <f aca="false">IF(OR(K133="",J133=""),"",(J133-K133)*100)</f>
        <v>-0.285140016703389</v>
      </c>
      <c r="M133" s="21"/>
    </row>
    <row r="134" customFormat="false" ht="15" hidden="false" customHeight="false" outlineLevel="0" collapsed="false">
      <c r="A134" s="21" t="s">
        <v>189</v>
      </c>
      <c r="B134" s="21" t="s">
        <v>273</v>
      </c>
      <c r="C134" s="21" t="s">
        <v>278</v>
      </c>
      <c r="D134" s="37" t="n">
        <v>337</v>
      </c>
      <c r="E134" s="37" t="n">
        <v>332</v>
      </c>
      <c r="F134" s="63" t="n">
        <f aca="false">IF(E134="","",D134-E134)</f>
        <v>5</v>
      </c>
      <c r="G134" s="37" t="n">
        <v>343</v>
      </c>
      <c r="H134" s="37" t="n">
        <v>340</v>
      </c>
      <c r="I134" s="63" t="n">
        <f aca="false">IF(H134="","",G134-H134)</f>
        <v>3</v>
      </c>
      <c r="J134" s="52" t="n">
        <f aca="false">IF(OR(D134="",D134+G134=0),"",D134/(D134+G134))</f>
        <v>0.495588235294118</v>
      </c>
      <c r="K134" s="52" t="n">
        <f aca="false">IF(E134="","",E134/(E134+H134))</f>
        <v>0.494047619047619</v>
      </c>
      <c r="L134" s="64" t="n">
        <f aca="false">IF(OR(K134="",J134=""),"",(J134-K134)*100)</f>
        <v>0.154061624649859</v>
      </c>
      <c r="M134" s="21"/>
    </row>
    <row r="135" customFormat="false" ht="15" hidden="false" customHeight="false" outlineLevel="0" collapsed="false">
      <c r="A135" s="21" t="s">
        <v>189</v>
      </c>
      <c r="B135" s="21" t="s">
        <v>273</v>
      </c>
      <c r="C135" s="21" t="s">
        <v>279</v>
      </c>
      <c r="D135" s="37" t="n">
        <v>668</v>
      </c>
      <c r="E135" s="37" t="n">
        <v>691</v>
      </c>
      <c r="F135" s="63" t="n">
        <f aca="false">IF(E135="","",D135-E135)</f>
        <v>-23</v>
      </c>
      <c r="G135" s="37" t="n">
        <v>531</v>
      </c>
      <c r="H135" s="37" t="n">
        <v>509</v>
      </c>
      <c r="I135" s="63" t="n">
        <f aca="false">IF(H135="","",G135-H135)</f>
        <v>22</v>
      </c>
      <c r="J135" s="52" t="n">
        <f aca="false">IF(OR(D135="",D135+G135=0),"",D135/(D135+G135))</f>
        <v>0.557130942452043</v>
      </c>
      <c r="K135" s="52" t="n">
        <f aca="false">IF(E135="","",E135/(E135+H135))</f>
        <v>0.575833333333333</v>
      </c>
      <c r="L135" s="64" t="n">
        <f aca="false">IF(OR(K135="",J135=""),"",(J135-K135)*100)</f>
        <v>-1.87023908812899</v>
      </c>
      <c r="M135" s="21"/>
    </row>
    <row r="136" customFormat="false" ht="15" hidden="false" customHeight="false" outlineLevel="0" collapsed="false">
      <c r="A136" s="21" t="s">
        <v>189</v>
      </c>
      <c r="B136" s="21" t="s">
        <v>280</v>
      </c>
      <c r="C136" s="21" t="s">
        <v>281</v>
      </c>
      <c r="D136" s="37" t="n">
        <v>642</v>
      </c>
      <c r="E136" s="37" t="n">
        <v>579</v>
      </c>
      <c r="F136" s="63" t="n">
        <f aca="false">IF(E136="","",D136-E136)</f>
        <v>63</v>
      </c>
      <c r="G136" s="37" t="n">
        <v>300</v>
      </c>
      <c r="H136" s="37" t="n">
        <v>292</v>
      </c>
      <c r="I136" s="63" t="n">
        <f aca="false">IF(H136="","",G136-H136)</f>
        <v>8</v>
      </c>
      <c r="J136" s="52" t="n">
        <f aca="false">IF(OR(D136="",D136+G136=0),"",D136/(D136+G136))</f>
        <v>0.681528662420382</v>
      </c>
      <c r="K136" s="52" t="n">
        <f aca="false">IF(E136="","",E136/(E136+H136))</f>
        <v>0.664753157290471</v>
      </c>
      <c r="L136" s="64" t="n">
        <f aca="false">IF(OR(K136="",J136=""),"",(J136-K136)*100)</f>
        <v>1.67755051299114</v>
      </c>
      <c r="M136" s="21"/>
    </row>
    <row r="137" customFormat="false" ht="15" hidden="false" customHeight="false" outlineLevel="0" collapsed="false">
      <c r="A137" s="21" t="s">
        <v>189</v>
      </c>
      <c r="B137" s="21" t="s">
        <v>280</v>
      </c>
      <c r="C137" s="21" t="s">
        <v>282</v>
      </c>
      <c r="D137" s="37" t="n">
        <v>448</v>
      </c>
      <c r="E137" s="37" t="n">
        <v>440</v>
      </c>
      <c r="F137" s="63" t="n">
        <f aca="false">IF(E137="","",D137-E137)</f>
        <v>8</v>
      </c>
      <c r="G137" s="37" t="n">
        <v>269</v>
      </c>
      <c r="H137" s="37" t="n">
        <v>262</v>
      </c>
      <c r="I137" s="63" t="n">
        <f aca="false">IF(H137="","",G137-H137)</f>
        <v>7</v>
      </c>
      <c r="J137" s="52" t="n">
        <f aca="false">IF(OR(D137="",D137+G137=0),"",D137/(D137+G137))</f>
        <v>0.624825662482566</v>
      </c>
      <c r="K137" s="52" t="n">
        <f aca="false">IF(E137="","",E137/(E137+H137))</f>
        <v>0.626780626780627</v>
      </c>
      <c r="L137" s="64" t="n">
        <f aca="false">IF(OR(K137="",J137=""),"",(J137-K137)*100)</f>
        <v>-0.195496429806052</v>
      </c>
      <c r="M137" s="21"/>
    </row>
    <row r="138" customFormat="false" ht="15" hidden="false" customHeight="false" outlineLevel="0" collapsed="false">
      <c r="A138" s="21" t="s">
        <v>189</v>
      </c>
      <c r="B138" s="21" t="s">
        <v>280</v>
      </c>
      <c r="C138" s="21" t="s">
        <v>283</v>
      </c>
      <c r="D138" s="37" t="n">
        <v>449</v>
      </c>
      <c r="E138" s="37" t="n">
        <v>414</v>
      </c>
      <c r="F138" s="63" t="n">
        <f aca="false">IF(E138="","",D138-E138)</f>
        <v>35</v>
      </c>
      <c r="G138" s="37" t="n">
        <v>232</v>
      </c>
      <c r="H138" s="37" t="n">
        <v>239</v>
      </c>
      <c r="I138" s="63" t="n">
        <f aca="false">IF(H138="","",G138-H138)</f>
        <v>-7</v>
      </c>
      <c r="J138" s="52" t="n">
        <f aca="false">IF(OR(D138="",D138+G138=0),"",D138/(D138+G138))</f>
        <v>0.659324522760646</v>
      </c>
      <c r="K138" s="52" t="n">
        <f aca="false">IF(E138="","",E138/(E138+H138))</f>
        <v>0.633996937212864</v>
      </c>
      <c r="L138" s="64" t="n">
        <f aca="false">IF(OR(K138="",J138=""),"",(J138-K138)*100)</f>
        <v>2.53275855477825</v>
      </c>
      <c r="M138" s="21"/>
    </row>
    <row r="139" customFormat="false" ht="15" hidden="false" customHeight="false" outlineLevel="0" collapsed="false">
      <c r="A139" s="21" t="s">
        <v>189</v>
      </c>
      <c r="B139" s="21" t="s">
        <v>284</v>
      </c>
      <c r="C139" s="21" t="s">
        <v>284</v>
      </c>
      <c r="D139" s="37" t="n">
        <v>393</v>
      </c>
      <c r="E139" s="37" t="n">
        <v>379</v>
      </c>
      <c r="F139" s="63" t="n">
        <f aca="false">IF(E139="","",D139-E139)</f>
        <v>14</v>
      </c>
      <c r="G139" s="37" t="n">
        <v>348</v>
      </c>
      <c r="H139" s="37" t="n">
        <v>330</v>
      </c>
      <c r="I139" s="63" t="n">
        <f aca="false">IF(H139="","",G139-H139)</f>
        <v>18</v>
      </c>
      <c r="J139" s="52" t="n">
        <f aca="false">IF(OR(D139="",D139+G139=0),"",D139/(D139+G139))</f>
        <v>0.530364372469636</v>
      </c>
      <c r="K139" s="52" t="n">
        <f aca="false">IF(E139="","",E139/(E139+H139))</f>
        <v>0.534555712270804</v>
      </c>
      <c r="L139" s="64" t="n">
        <f aca="false">IF(OR(K139="",J139=""),"",(J139-K139)*100)</f>
        <v>-0.419133980116826</v>
      </c>
      <c r="M139" s="21"/>
    </row>
    <row r="140" customFormat="false" ht="15" hidden="false" customHeight="false" outlineLevel="0" collapsed="false">
      <c r="A140" s="21" t="s">
        <v>189</v>
      </c>
      <c r="B140" s="21" t="s">
        <v>285</v>
      </c>
      <c r="C140" s="21" t="s">
        <v>285</v>
      </c>
      <c r="D140" s="37" t="n">
        <v>648</v>
      </c>
      <c r="E140" s="37" t="n">
        <v>654</v>
      </c>
      <c r="F140" s="63" t="n">
        <f aca="false">IF(E140="","",D140-E140)</f>
        <v>-6</v>
      </c>
      <c r="G140" s="37" t="n">
        <v>1410</v>
      </c>
      <c r="H140" s="37" t="n">
        <v>1439</v>
      </c>
      <c r="I140" s="63" t="n">
        <f aca="false">IF(H140="","",G140-H140)</f>
        <v>-29</v>
      </c>
      <c r="J140" s="52" t="n">
        <f aca="false">IF(OR(D140="",D140+G140=0),"",D140/(D140+G140))</f>
        <v>0.314868804664723</v>
      </c>
      <c r="K140" s="52" t="n">
        <f aca="false">IF(E140="","",E140/(E140+H140))</f>
        <v>0.312470138557095</v>
      </c>
      <c r="L140" s="64" t="n">
        <f aca="false">IF(OR(K140="",J140=""),"",(J140-K140)*100)</f>
        <v>0.239866610762796</v>
      </c>
      <c r="M140" s="21"/>
    </row>
    <row r="141" customFormat="false" ht="15" hidden="false" customHeight="false" outlineLevel="0" collapsed="false">
      <c r="A141" s="21" t="s">
        <v>189</v>
      </c>
      <c r="B141" s="21" t="s">
        <v>286</v>
      </c>
      <c r="C141" s="21" t="s">
        <v>287</v>
      </c>
      <c r="D141" s="37" t="n">
        <v>941</v>
      </c>
      <c r="E141" s="37" t="n">
        <v>928</v>
      </c>
      <c r="F141" s="63" t="n">
        <f aca="false">IF(E141="","",D141-E141)</f>
        <v>13</v>
      </c>
      <c r="G141" s="37" t="n">
        <v>995</v>
      </c>
      <c r="H141" s="37" t="n">
        <v>988</v>
      </c>
      <c r="I141" s="63" t="n">
        <f aca="false">IF(H141="","",G141-H141)</f>
        <v>7</v>
      </c>
      <c r="J141" s="52" t="n">
        <f aca="false">IF(OR(D141="",D141+G141=0),"",D141/(D141+G141))</f>
        <v>0.486053719008264</v>
      </c>
      <c r="K141" s="52" t="n">
        <f aca="false">IF(E141="","",E141/(E141+H141))</f>
        <v>0.484342379958246</v>
      </c>
      <c r="L141" s="64" t="n">
        <f aca="false">IF(OR(K141="",J141=""),"",(J141-K141)*100)</f>
        <v>0.171133905001808</v>
      </c>
      <c r="M141" s="21"/>
    </row>
    <row r="142" customFormat="false" ht="15" hidden="false" customHeight="false" outlineLevel="0" collapsed="false">
      <c r="A142" s="21" t="s">
        <v>189</v>
      </c>
      <c r="B142" s="21" t="s">
        <v>286</v>
      </c>
      <c r="C142" s="21" t="s">
        <v>288</v>
      </c>
      <c r="D142" s="37" t="n">
        <v>1121</v>
      </c>
      <c r="E142" s="37" t="n">
        <v>1082</v>
      </c>
      <c r="F142" s="63" t="n">
        <f aca="false">IF(E142="","",D142-E142)</f>
        <v>39</v>
      </c>
      <c r="G142" s="37" t="n">
        <v>1134</v>
      </c>
      <c r="H142" s="37" t="n">
        <v>1101</v>
      </c>
      <c r="I142" s="63" t="n">
        <f aca="false">IF(H142="","",G142-H142)</f>
        <v>33</v>
      </c>
      <c r="J142" s="52" t="n">
        <f aca="false">IF(OR(D142="",D142+G142=0),"",D142/(D142+G142))</f>
        <v>0.497117516629712</v>
      </c>
      <c r="K142" s="52" t="n">
        <f aca="false">IF(E142="","",E142/(E142+H142))</f>
        <v>0.495648190563445</v>
      </c>
      <c r="L142" s="64" t="n">
        <f aca="false">IF(OR(K142="",J142=""),"",(J142-K142)*100)</f>
        <v>0.146932606626699</v>
      </c>
      <c r="M142" s="21"/>
    </row>
    <row r="143" customFormat="false" ht="15" hidden="false" customHeight="false" outlineLevel="0" collapsed="false">
      <c r="A143" s="21" t="s">
        <v>189</v>
      </c>
      <c r="B143" s="21" t="s">
        <v>286</v>
      </c>
      <c r="C143" s="21" t="s">
        <v>289</v>
      </c>
      <c r="D143" s="37" t="n">
        <v>1826</v>
      </c>
      <c r="E143" s="37" t="n">
        <v>1799</v>
      </c>
      <c r="F143" s="63" t="n">
        <f aca="false">IF(E143="","",D143-E143)</f>
        <v>27</v>
      </c>
      <c r="G143" s="37" t="n">
        <v>1889</v>
      </c>
      <c r="H143" s="37" t="n">
        <v>1810</v>
      </c>
      <c r="I143" s="63" t="n">
        <f aca="false">IF(H143="","",G143-H143)</f>
        <v>79</v>
      </c>
      <c r="J143" s="52" t="n">
        <f aca="false">IF(OR(D143="",D143+G143=0),"",D143/(D143+G143))</f>
        <v>0.491520861372813</v>
      </c>
      <c r="K143" s="52" t="n">
        <f aca="false">IF(E143="","",E143/(E143+H143))</f>
        <v>0.498476032141868</v>
      </c>
      <c r="L143" s="64" t="n">
        <f aca="false">IF(OR(K143="",J143=""),"",(J143-K143)*100)</f>
        <v>-0.695517076905461</v>
      </c>
      <c r="M143" s="21"/>
    </row>
    <row r="144" customFormat="false" ht="15" hidden="false" customHeight="false" outlineLevel="0" collapsed="false">
      <c r="A144" s="21" t="s">
        <v>189</v>
      </c>
      <c r="B144" s="21" t="s">
        <v>286</v>
      </c>
      <c r="C144" s="21" t="s">
        <v>290</v>
      </c>
      <c r="D144" s="37" t="n">
        <v>928</v>
      </c>
      <c r="E144" s="37" t="n">
        <v>906</v>
      </c>
      <c r="F144" s="63" t="n">
        <f aca="false">IF(E144="","",D144-E144)</f>
        <v>22</v>
      </c>
      <c r="G144" s="37" t="n">
        <v>962</v>
      </c>
      <c r="H144" s="37" t="n">
        <v>980</v>
      </c>
      <c r="I144" s="63" t="n">
        <f aca="false">IF(H144="","",G144-H144)</f>
        <v>-18</v>
      </c>
      <c r="J144" s="52" t="n">
        <f aca="false">IF(OR(D144="",D144+G144=0),"",D144/(D144+G144))</f>
        <v>0.491005291005291</v>
      </c>
      <c r="K144" s="52" t="n">
        <f aca="false">IF(E144="","",E144/(E144+H144))</f>
        <v>0.480381760339343</v>
      </c>
      <c r="L144" s="64" t="n">
        <f aca="false">IF(OR(K144="",J144=""),"",(J144-K144)*100)</f>
        <v>1.06235306659485</v>
      </c>
      <c r="M144" s="21"/>
    </row>
    <row r="145" customFormat="false" ht="15" hidden="false" customHeight="false" outlineLevel="0" collapsed="false">
      <c r="A145" s="21" t="s">
        <v>189</v>
      </c>
      <c r="B145" s="21" t="s">
        <v>286</v>
      </c>
      <c r="C145" s="21" t="s">
        <v>291</v>
      </c>
      <c r="D145" s="37" t="n">
        <v>862</v>
      </c>
      <c r="E145" s="37" t="n">
        <v>852</v>
      </c>
      <c r="F145" s="63" t="n">
        <f aca="false">IF(E145="","",D145-E145)</f>
        <v>10</v>
      </c>
      <c r="G145" s="37" t="n">
        <v>894</v>
      </c>
      <c r="H145" s="37" t="n">
        <v>912</v>
      </c>
      <c r="I145" s="63" t="n">
        <f aca="false">IF(H145="","",G145-H145)</f>
        <v>-18</v>
      </c>
      <c r="J145" s="52" t="n">
        <f aca="false">IF(OR(D145="",D145+G145=0),"",D145/(D145+G145))</f>
        <v>0.490888382687927</v>
      </c>
      <c r="K145" s="52" t="n">
        <f aca="false">IF(E145="","",E145/(E145+H145))</f>
        <v>0.482993197278912</v>
      </c>
      <c r="L145" s="64" t="n">
        <f aca="false">IF(OR(K145="",J145=""),"",(J145-K145)*100)</f>
        <v>0.789518540901557</v>
      </c>
      <c r="M145" s="21"/>
    </row>
    <row r="146" customFormat="false" ht="15" hidden="false" customHeight="false" outlineLevel="0" collapsed="false">
      <c r="A146" s="21" t="s">
        <v>189</v>
      </c>
      <c r="B146" s="21" t="s">
        <v>286</v>
      </c>
      <c r="C146" s="21" t="s">
        <v>292</v>
      </c>
      <c r="D146" s="37" t="n">
        <v>692</v>
      </c>
      <c r="E146" s="37" t="n">
        <v>715</v>
      </c>
      <c r="F146" s="63" t="n">
        <f aca="false">IF(E146="","",D146-E146)</f>
        <v>-23</v>
      </c>
      <c r="G146" s="37" t="n">
        <v>697</v>
      </c>
      <c r="H146" s="37" t="n">
        <v>677</v>
      </c>
      <c r="I146" s="63" t="n">
        <f aca="false">IF(H146="","",G146-H146)</f>
        <v>20</v>
      </c>
      <c r="J146" s="52" t="n">
        <f aca="false">IF(OR(D146="",D146+G146=0),"",D146/(D146+G146))</f>
        <v>0.498200143988481</v>
      </c>
      <c r="K146" s="52" t="n">
        <f aca="false">IF(E146="","",E146/(E146+H146))</f>
        <v>0.513649425287356</v>
      </c>
      <c r="L146" s="64" t="n">
        <f aca="false">IF(OR(K146="",J146=""),"",(J146-K146)*100)</f>
        <v>-1.54492812988754</v>
      </c>
      <c r="M146" s="21"/>
    </row>
    <row r="147" customFormat="false" ht="15" hidden="false" customHeight="false" outlineLevel="0" collapsed="false">
      <c r="A147" s="21" t="s">
        <v>189</v>
      </c>
      <c r="B147" s="21" t="s">
        <v>286</v>
      </c>
      <c r="C147" s="21" t="s">
        <v>293</v>
      </c>
      <c r="D147" s="37" t="n">
        <v>1573</v>
      </c>
      <c r="E147" s="37" t="n">
        <v>1480</v>
      </c>
      <c r="F147" s="63" t="n">
        <f aca="false">IF(E147="","",D147-E147)</f>
        <v>93</v>
      </c>
      <c r="G147" s="37" t="n">
        <v>1576</v>
      </c>
      <c r="H147" s="37" t="n">
        <v>1588</v>
      </c>
      <c r="I147" s="63" t="n">
        <f aca="false">IF(H147="","",G147-H147)</f>
        <v>-12</v>
      </c>
      <c r="J147" s="52" t="n">
        <f aca="false">IF(OR(D147="",D147+G147=0),"",D147/(D147+G147))</f>
        <v>0.499523658304224</v>
      </c>
      <c r="K147" s="52" t="n">
        <f aca="false">IF(E147="","",E147/(E147+H147))</f>
        <v>0.482398956975228</v>
      </c>
      <c r="L147" s="64" t="n">
        <f aca="false">IF(OR(K147="",J147=""),"",(J147-K147)*100)</f>
        <v>1.71247013289954</v>
      </c>
      <c r="M147" s="21"/>
    </row>
    <row r="148" customFormat="false" ht="15" hidden="false" customHeight="false" outlineLevel="0" collapsed="false">
      <c r="A148" s="21" t="s">
        <v>189</v>
      </c>
      <c r="B148" s="21" t="s">
        <v>286</v>
      </c>
      <c r="C148" s="21" t="s">
        <v>294</v>
      </c>
      <c r="D148" s="37" t="n">
        <v>881</v>
      </c>
      <c r="E148" s="37" t="n">
        <v>890</v>
      </c>
      <c r="F148" s="63" t="n">
        <f aca="false">IF(E148="","",D148-E148)</f>
        <v>-9</v>
      </c>
      <c r="G148" s="37" t="n">
        <v>808</v>
      </c>
      <c r="H148" s="37" t="n">
        <v>789</v>
      </c>
      <c r="I148" s="63" t="n">
        <f aca="false">IF(H148="","",G148-H148)</f>
        <v>19</v>
      </c>
      <c r="J148" s="52" t="n">
        <f aca="false">IF(OR(D148="",D148+G148=0),"",D148/(D148+G148))</f>
        <v>0.521610420367081</v>
      </c>
      <c r="K148" s="52" t="n">
        <f aca="false">IF(E148="","",E148/(E148+H148))</f>
        <v>0.530077427039905</v>
      </c>
      <c r="L148" s="64" t="n">
        <f aca="false">IF(OR(K148="",J148=""),"",(J148-K148)*100)</f>
        <v>-0.846700667282352</v>
      </c>
      <c r="M148" s="21"/>
    </row>
    <row r="149" customFormat="false" ht="15" hidden="false" customHeight="false" outlineLevel="0" collapsed="false">
      <c r="A149" s="21" t="s">
        <v>189</v>
      </c>
      <c r="B149" s="21" t="s">
        <v>286</v>
      </c>
      <c r="C149" s="21" t="s">
        <v>295</v>
      </c>
      <c r="D149" s="37" t="n">
        <v>795</v>
      </c>
      <c r="E149" s="37" t="n">
        <v>817</v>
      </c>
      <c r="F149" s="63" t="n">
        <f aca="false">IF(E149="","",D149-E149)</f>
        <v>-22</v>
      </c>
      <c r="G149" s="37" t="n">
        <v>788</v>
      </c>
      <c r="H149" s="37" t="n">
        <v>798</v>
      </c>
      <c r="I149" s="63" t="n">
        <f aca="false">IF(H149="","",G149-H149)</f>
        <v>-10</v>
      </c>
      <c r="J149" s="52" t="n">
        <f aca="false">IF(OR(D149="",D149+G149=0),"",D149/(D149+G149))</f>
        <v>0.502210991787745</v>
      </c>
      <c r="K149" s="52" t="n">
        <f aca="false">IF(E149="","",E149/(E149+H149))</f>
        <v>0.505882352941176</v>
      </c>
      <c r="L149" s="64" t="n">
        <f aca="false">IF(OR(K149="",J149=""),"",(J149-K149)*100)</f>
        <v>-0.36713611534317</v>
      </c>
      <c r="M149" s="21"/>
    </row>
    <row r="150" customFormat="false" ht="15" hidden="false" customHeight="false" outlineLevel="0" collapsed="false">
      <c r="A150" s="21" t="s">
        <v>189</v>
      </c>
      <c r="B150" s="21" t="s">
        <v>286</v>
      </c>
      <c r="C150" s="21" t="s">
        <v>296</v>
      </c>
      <c r="D150" s="37" t="n">
        <v>571</v>
      </c>
      <c r="E150" s="37" t="n">
        <v>552</v>
      </c>
      <c r="F150" s="63" t="n">
        <f aca="false">IF(E150="","",D150-E150)</f>
        <v>19</v>
      </c>
      <c r="G150" s="37" t="n">
        <v>541</v>
      </c>
      <c r="H150" s="37" t="n">
        <v>556</v>
      </c>
      <c r="I150" s="63" t="n">
        <f aca="false">IF(H150="","",G150-H150)</f>
        <v>-15</v>
      </c>
      <c r="J150" s="52" t="n">
        <f aca="false">IF(OR(D150="",D150+G150=0),"",D150/(D150+G150))</f>
        <v>0.513489208633094</v>
      </c>
      <c r="K150" s="52" t="n">
        <f aca="false">IF(E150="","",E150/(E150+H150))</f>
        <v>0.498194945848375</v>
      </c>
      <c r="L150" s="64" t="n">
        <f aca="false">IF(OR(K150="",J150=""),"",(J150-K150)*100)</f>
        <v>1.52942627847181</v>
      </c>
      <c r="M150" s="21"/>
    </row>
    <row r="151" customFormat="false" ht="15" hidden="false" customHeight="false" outlineLevel="0" collapsed="false">
      <c r="A151" s="21" t="s">
        <v>189</v>
      </c>
      <c r="B151" s="21" t="s">
        <v>297</v>
      </c>
      <c r="C151" s="21" t="s">
        <v>297</v>
      </c>
      <c r="D151" s="37" t="n">
        <v>955</v>
      </c>
      <c r="E151" s="37" t="n">
        <v>985</v>
      </c>
      <c r="F151" s="63" t="n">
        <f aca="false">IF(E151="","",D151-E151)</f>
        <v>-30</v>
      </c>
      <c r="G151" s="37" t="n">
        <v>1651</v>
      </c>
      <c r="H151" s="37" t="n">
        <v>1586</v>
      </c>
      <c r="I151" s="63" t="n">
        <f aca="false">IF(H151="","",G151-H151)</f>
        <v>65</v>
      </c>
      <c r="J151" s="52" t="n">
        <f aca="false">IF(OR(D151="",D151+G151=0),"",D151/(D151+G151))</f>
        <v>0.366462010744436</v>
      </c>
      <c r="K151" s="52" t="n">
        <f aca="false">IF(E151="","",E151/(E151+H151))</f>
        <v>0.383119408790354</v>
      </c>
      <c r="L151" s="64" t="n">
        <f aca="false">IF(OR(K151="",J151=""),"",(J151-K151)*100)</f>
        <v>-1.6657398045918</v>
      </c>
      <c r="M151" s="21"/>
    </row>
    <row r="152" customFormat="false" ht="15" hidden="false" customHeight="false" outlineLevel="0" collapsed="false">
      <c r="A152" s="21" t="s">
        <v>189</v>
      </c>
      <c r="B152" s="21" t="s">
        <v>298</v>
      </c>
      <c r="C152" s="21" t="s">
        <v>298</v>
      </c>
      <c r="D152" s="37" t="n">
        <v>550</v>
      </c>
      <c r="E152" s="37" t="n">
        <v>543</v>
      </c>
      <c r="F152" s="63" t="n">
        <f aca="false">IF(E152="","",D152-E152)</f>
        <v>7</v>
      </c>
      <c r="G152" s="37" t="n">
        <v>1014</v>
      </c>
      <c r="H152" s="37" t="n">
        <v>990</v>
      </c>
      <c r="I152" s="63" t="n">
        <f aca="false">IF(H152="","",G152-H152)</f>
        <v>24</v>
      </c>
      <c r="J152" s="52" t="n">
        <f aca="false">IF(OR(D152="",D152+G152=0),"",D152/(D152+G152))</f>
        <v>0.351662404092072</v>
      </c>
      <c r="K152" s="52" t="n">
        <f aca="false">IF(E152="","",E152/(E152+H152))</f>
        <v>0.354207436399217</v>
      </c>
      <c r="L152" s="64" t="n">
        <f aca="false">IF(OR(K152="",J152=""),"",(J152-K152)*100)</f>
        <v>-0.254503230714559</v>
      </c>
      <c r="M152" s="21"/>
    </row>
    <row r="153" customFormat="false" ht="15" hidden="false" customHeight="false" outlineLevel="0" collapsed="false">
      <c r="A153" s="21" t="s">
        <v>189</v>
      </c>
      <c r="B153" s="21" t="s">
        <v>299</v>
      </c>
      <c r="C153" s="21" t="s">
        <v>300</v>
      </c>
      <c r="D153" s="37" t="n">
        <v>196</v>
      </c>
      <c r="E153" s="37" t="n">
        <v>181</v>
      </c>
      <c r="F153" s="63" t="n">
        <f aca="false">IF(E153="","",D153-E153)</f>
        <v>15</v>
      </c>
      <c r="G153" s="37" t="n">
        <v>483</v>
      </c>
      <c r="H153" s="37" t="n">
        <v>482</v>
      </c>
      <c r="I153" s="63" t="n">
        <f aca="false">IF(H153="","",G153-H153)</f>
        <v>1</v>
      </c>
      <c r="J153" s="52" t="n">
        <f aca="false">IF(OR(D153="",D153+G153=0),"",D153/(D153+G153))</f>
        <v>0.288659793814433</v>
      </c>
      <c r="K153" s="52" t="n">
        <f aca="false">IF(E153="","",E153/(E153+H153))</f>
        <v>0.273001508295626</v>
      </c>
      <c r="L153" s="64" t="n">
        <f aca="false">IF(OR(K153="",J153=""),"",(J153-K153)*100)</f>
        <v>1.5658285518807</v>
      </c>
      <c r="M153" s="21"/>
    </row>
    <row r="154" customFormat="false" ht="15" hidden="false" customHeight="false" outlineLevel="0" collapsed="false">
      <c r="A154" s="21" t="s">
        <v>189</v>
      </c>
      <c r="B154" s="21" t="s">
        <v>299</v>
      </c>
      <c r="C154" s="21" t="s">
        <v>301</v>
      </c>
      <c r="D154" s="37" t="n">
        <v>144</v>
      </c>
      <c r="E154" s="37" t="n">
        <v>147</v>
      </c>
      <c r="F154" s="63" t="n">
        <f aca="false">IF(E154="","",D154-E154)</f>
        <v>-3</v>
      </c>
      <c r="G154" s="37" t="n">
        <v>317</v>
      </c>
      <c r="H154" s="37" t="n">
        <v>314</v>
      </c>
      <c r="I154" s="63" t="n">
        <f aca="false">IF(H154="","",G154-H154)</f>
        <v>3</v>
      </c>
      <c r="J154" s="52" t="n">
        <f aca="false">IF(OR(D154="",D154+G154=0),"",D154/(D154+G154))</f>
        <v>0.31236442516269</v>
      </c>
      <c r="K154" s="52" t="n">
        <f aca="false">IF(E154="","",E154/(E154+H154))</f>
        <v>0.318872017353579</v>
      </c>
      <c r="L154" s="64" t="n">
        <f aca="false">IF(OR(K154="",J154=""),"",(J154-K154)*100)</f>
        <v>-0.650759219088937</v>
      </c>
      <c r="M154" s="21"/>
    </row>
    <row r="155" customFormat="false" ht="15" hidden="false" customHeight="false" outlineLevel="0" collapsed="false">
      <c r="A155" s="21" t="s">
        <v>189</v>
      </c>
      <c r="B155" s="21" t="s">
        <v>299</v>
      </c>
      <c r="C155" s="21" t="s">
        <v>302</v>
      </c>
      <c r="D155" s="37" t="n">
        <v>514</v>
      </c>
      <c r="E155" s="37" t="n">
        <v>522</v>
      </c>
      <c r="F155" s="63" t="n">
        <f aca="false">IF(E155="","",D155-E155)</f>
        <v>-8</v>
      </c>
      <c r="G155" s="37" t="n">
        <v>1051</v>
      </c>
      <c r="H155" s="37" t="n">
        <v>1060</v>
      </c>
      <c r="I155" s="63" t="n">
        <f aca="false">IF(H155="","",G155-H155)</f>
        <v>-9</v>
      </c>
      <c r="J155" s="52" t="n">
        <f aca="false">IF(OR(D155="",D155+G155=0),"",D155/(D155+G155))</f>
        <v>0.328434504792332</v>
      </c>
      <c r="K155" s="52" t="n">
        <f aca="false">IF(E155="","",E155/(E155+H155))</f>
        <v>0.329962073324905</v>
      </c>
      <c r="L155" s="64" t="n">
        <f aca="false">IF(OR(K155="",J155=""),"",(J155-K155)*100)</f>
        <v>-0.152756853257291</v>
      </c>
      <c r="M155" s="21"/>
    </row>
    <row r="156" customFormat="false" ht="15" hidden="false" customHeight="false" outlineLevel="0" collapsed="false">
      <c r="A156" s="21" t="s">
        <v>189</v>
      </c>
      <c r="B156" s="21" t="s">
        <v>303</v>
      </c>
      <c r="C156" s="21" t="s">
        <v>303</v>
      </c>
      <c r="D156" s="37" t="n">
        <v>999</v>
      </c>
      <c r="E156" s="37" t="n">
        <v>980</v>
      </c>
      <c r="F156" s="63" t="n">
        <f aca="false">IF(E156="","",D156-E156)</f>
        <v>19</v>
      </c>
      <c r="G156" s="37" t="n">
        <v>901</v>
      </c>
      <c r="H156" s="37" t="n">
        <v>872</v>
      </c>
      <c r="I156" s="63" t="n">
        <f aca="false">IF(H156="","",G156-H156)</f>
        <v>29</v>
      </c>
      <c r="J156" s="52" t="n">
        <f aca="false">IF(OR(D156="",D156+G156=0),"",D156/(D156+G156))</f>
        <v>0.525789473684211</v>
      </c>
      <c r="K156" s="52" t="n">
        <f aca="false">IF(E156="","",E156/(E156+H156))</f>
        <v>0.529157667386609</v>
      </c>
      <c r="L156" s="64" t="n">
        <f aca="false">IF(OR(K156="",J156=""),"",(J156-K156)*100)</f>
        <v>-0.33681937023986</v>
      </c>
      <c r="M156" s="21"/>
    </row>
    <row r="157" customFormat="false" ht="15" hidden="false" customHeight="false" outlineLevel="0" collapsed="false">
      <c r="A157" s="21" t="s">
        <v>189</v>
      </c>
      <c r="B157" s="21" t="s">
        <v>304</v>
      </c>
      <c r="C157" s="21" t="s">
        <v>305</v>
      </c>
      <c r="D157" s="37" t="n">
        <v>989</v>
      </c>
      <c r="E157" s="37" t="n">
        <v>1010</v>
      </c>
      <c r="F157" s="63" t="n">
        <f aca="false">IF(E157="","",D157-E157)</f>
        <v>-21</v>
      </c>
      <c r="G157" s="37" t="n">
        <v>1372</v>
      </c>
      <c r="H157" s="37" t="n">
        <v>1334</v>
      </c>
      <c r="I157" s="63" t="n">
        <f aca="false">IF(H157="","",G157-H157)</f>
        <v>38</v>
      </c>
      <c r="J157" s="52" t="n">
        <f aca="false">IF(OR(D157="",D157+G157=0),"",D157/(D157+G157))</f>
        <v>0.418890300720034</v>
      </c>
      <c r="K157" s="52" t="n">
        <f aca="false">IF(E157="","",E157/(E157+H157))</f>
        <v>0.430887372013652</v>
      </c>
      <c r="L157" s="64" t="n">
        <f aca="false">IF(OR(K157="",J157=""),"",(J157-K157)*100)</f>
        <v>-1.1997071293618</v>
      </c>
      <c r="M157" s="21"/>
    </row>
    <row r="158" customFormat="false" ht="15" hidden="false" customHeight="false" outlineLevel="0" collapsed="false">
      <c r="A158" s="21" t="s">
        <v>189</v>
      </c>
      <c r="B158" s="21" t="s">
        <v>304</v>
      </c>
      <c r="C158" s="21" t="s">
        <v>306</v>
      </c>
      <c r="D158" s="37" t="n">
        <v>860</v>
      </c>
      <c r="E158" s="37" t="n">
        <v>860</v>
      </c>
      <c r="F158" s="63" t="n">
        <f aca="false">IF(E158="","",D158-E158)</f>
        <v>0</v>
      </c>
      <c r="G158" s="37" t="n">
        <v>1362</v>
      </c>
      <c r="H158" s="37" t="n">
        <v>1332</v>
      </c>
      <c r="I158" s="63" t="n">
        <f aca="false">IF(H158="","",G158-H158)</f>
        <v>30</v>
      </c>
      <c r="J158" s="52" t="n">
        <f aca="false">IF(OR(D158="",D158+G158=0),"",D158/(D158+G158))</f>
        <v>0.387038703870387</v>
      </c>
      <c r="K158" s="52" t="n">
        <f aca="false">IF(E158="","",E158/(E158+H158))</f>
        <v>0.392335766423358</v>
      </c>
      <c r="L158" s="64" t="n">
        <f aca="false">IF(OR(K158="",J158=""),"",(J158-K158)*100)</f>
        <v>-0.529706255297063</v>
      </c>
      <c r="M158" s="21"/>
    </row>
    <row r="159" customFormat="false" ht="15" hidden="false" customHeight="false" outlineLevel="0" collapsed="false">
      <c r="A159" s="21" t="s">
        <v>189</v>
      </c>
      <c r="B159" s="21" t="s">
        <v>304</v>
      </c>
      <c r="C159" s="21" t="s">
        <v>307</v>
      </c>
      <c r="D159" s="37" t="n">
        <v>454</v>
      </c>
      <c r="E159" s="37" t="n">
        <v>449</v>
      </c>
      <c r="F159" s="63" t="n">
        <f aca="false">IF(E159="","",D159-E159)</f>
        <v>5</v>
      </c>
      <c r="G159" s="37" t="n">
        <v>689</v>
      </c>
      <c r="H159" s="37" t="n">
        <v>705</v>
      </c>
      <c r="I159" s="63" t="n">
        <f aca="false">IF(H159="","",G159-H159)</f>
        <v>-16</v>
      </c>
      <c r="J159" s="52" t="n">
        <f aca="false">IF(OR(D159="",D159+G159=0),"",D159/(D159+G159))</f>
        <v>0.397200349956255</v>
      </c>
      <c r="K159" s="52" t="n">
        <f aca="false">IF(E159="","",E159/(E159+H159))</f>
        <v>0.389081455805893</v>
      </c>
      <c r="L159" s="64" t="n">
        <f aca="false">IF(OR(K159="",J159=""),"",(J159-K159)*100)</f>
        <v>0.811889415036293</v>
      </c>
      <c r="M159" s="21"/>
    </row>
    <row r="160" customFormat="false" ht="15" hidden="false" customHeight="false" outlineLevel="0" collapsed="false">
      <c r="A160" s="21" t="s">
        <v>189</v>
      </c>
      <c r="B160" s="21" t="s">
        <v>304</v>
      </c>
      <c r="C160" s="21" t="s">
        <v>308</v>
      </c>
      <c r="D160" s="37" t="n">
        <v>654</v>
      </c>
      <c r="E160" s="37" t="n">
        <v>654</v>
      </c>
      <c r="F160" s="63" t="n">
        <f aca="false">IF(E160="","",D160-E160)</f>
        <v>0</v>
      </c>
      <c r="G160" s="37" t="n">
        <v>995</v>
      </c>
      <c r="H160" s="37" t="n">
        <v>979</v>
      </c>
      <c r="I160" s="63" t="n">
        <f aca="false">IF(H160="","",G160-H160)</f>
        <v>16</v>
      </c>
      <c r="J160" s="52" t="n">
        <f aca="false">IF(OR(D160="",D160+G160=0),"",D160/(D160+G160))</f>
        <v>0.396604002425713</v>
      </c>
      <c r="K160" s="52" t="n">
        <f aca="false">IF(E160="","",E160/(E160+H160))</f>
        <v>0.400489895897122</v>
      </c>
      <c r="L160" s="64" t="n">
        <f aca="false">IF(OR(K160="",J160=""),"",(J160-K160)*100)</f>
        <v>-0.388589347140933</v>
      </c>
      <c r="M160" s="21"/>
    </row>
    <row r="161" customFormat="false" ht="15" hidden="false" customHeight="false" outlineLevel="0" collapsed="false">
      <c r="A161" s="21" t="s">
        <v>189</v>
      </c>
      <c r="B161" s="21" t="s">
        <v>304</v>
      </c>
      <c r="C161" s="21" t="s">
        <v>309</v>
      </c>
      <c r="D161" s="37" t="n">
        <v>562</v>
      </c>
      <c r="E161" s="37" t="n">
        <v>557</v>
      </c>
      <c r="F161" s="63" t="n">
        <f aca="false">IF(E161="","",D161-E161)</f>
        <v>5</v>
      </c>
      <c r="G161" s="37" t="n">
        <v>911</v>
      </c>
      <c r="H161" s="37" t="n">
        <v>890</v>
      </c>
      <c r="I161" s="63" t="n">
        <f aca="false">IF(H161="","",G161-H161)</f>
        <v>21</v>
      </c>
      <c r="J161" s="52" t="n">
        <f aca="false">IF(OR(D161="",D161+G161=0),"",D161/(D161+G161))</f>
        <v>0.38153428377461</v>
      </c>
      <c r="K161" s="52" t="n">
        <f aca="false">IF(E161="","",E161/(E161+H161))</f>
        <v>0.384934346924672</v>
      </c>
      <c r="L161" s="64" t="n">
        <f aca="false">IF(OR(K161="",J161=""),"",(J161-K161)*100)</f>
        <v>-0.340006315006208</v>
      </c>
      <c r="M161" s="21"/>
    </row>
    <row r="162" customFormat="false" ht="15" hidden="false" customHeight="false" outlineLevel="0" collapsed="false">
      <c r="A162" s="21" t="s">
        <v>189</v>
      </c>
      <c r="B162" s="21" t="s">
        <v>304</v>
      </c>
      <c r="C162" s="21" t="s">
        <v>310</v>
      </c>
      <c r="D162" s="37" t="n">
        <v>510</v>
      </c>
      <c r="E162" s="37" t="n">
        <v>492</v>
      </c>
      <c r="F162" s="63" t="n">
        <f aca="false">IF(E162="","",D162-E162)</f>
        <v>18</v>
      </c>
      <c r="G162" s="37" t="n">
        <v>689</v>
      </c>
      <c r="H162" s="37" t="n">
        <v>675</v>
      </c>
      <c r="I162" s="63" t="n">
        <f aca="false">IF(H162="","",G162-H162)</f>
        <v>14</v>
      </c>
      <c r="J162" s="52" t="n">
        <f aca="false">IF(OR(D162="",D162+G162=0),"",D162/(D162+G162))</f>
        <v>0.42535446205171</v>
      </c>
      <c r="K162" s="52" t="n">
        <f aca="false">IF(E162="","",E162/(E162+H162))</f>
        <v>0.42159383033419</v>
      </c>
      <c r="L162" s="64" t="n">
        <f aca="false">IF(OR(K162="",J162=""),"",(J162-K162)*100)</f>
        <v>0.37606317175195</v>
      </c>
      <c r="M162" s="21"/>
    </row>
    <row r="163" customFormat="false" ht="15" hidden="false" customHeight="false" outlineLevel="0" collapsed="false">
      <c r="A163" s="21" t="s">
        <v>189</v>
      </c>
      <c r="B163" s="21" t="s">
        <v>311</v>
      </c>
      <c r="C163" s="21" t="s">
        <v>312</v>
      </c>
      <c r="D163" s="37" t="n">
        <v>672</v>
      </c>
      <c r="E163" s="37" t="n">
        <v>668</v>
      </c>
      <c r="F163" s="63" t="n">
        <f aca="false">IF(E163="","",D163-E163)</f>
        <v>4</v>
      </c>
      <c r="G163" s="37" t="n">
        <v>717</v>
      </c>
      <c r="H163" s="37" t="n">
        <v>693</v>
      </c>
      <c r="I163" s="63" t="n">
        <f aca="false">IF(H163="","",G163-H163)</f>
        <v>24</v>
      </c>
      <c r="J163" s="52" t="n">
        <f aca="false">IF(OR(D163="",D163+G163=0),"",D163/(D163+G163))</f>
        <v>0.483801295896328</v>
      </c>
      <c r="K163" s="52" t="n">
        <f aca="false">IF(E163="","",E163/(E163+H163))</f>
        <v>0.490815576781778</v>
      </c>
      <c r="L163" s="64" t="n">
        <f aca="false">IF(OR(K163="",J163=""),"",(J163-K163)*100)</f>
        <v>-0.701428088544981</v>
      </c>
      <c r="M163" s="21"/>
    </row>
    <row r="164" customFormat="false" ht="15" hidden="false" customHeight="false" outlineLevel="0" collapsed="false">
      <c r="A164" s="21" t="s">
        <v>189</v>
      </c>
      <c r="B164" s="21" t="s">
        <v>311</v>
      </c>
      <c r="C164" s="21" t="s">
        <v>313</v>
      </c>
      <c r="D164" s="37" t="n">
        <v>812</v>
      </c>
      <c r="E164" s="37" t="n">
        <v>803</v>
      </c>
      <c r="F164" s="63" t="n">
        <f aca="false">IF(E164="","",D164-E164)</f>
        <v>9</v>
      </c>
      <c r="G164" s="37" t="n">
        <v>810</v>
      </c>
      <c r="H164" s="37" t="n">
        <v>818</v>
      </c>
      <c r="I164" s="63" t="n">
        <f aca="false">IF(H164="","",G164-H164)</f>
        <v>-8</v>
      </c>
      <c r="J164" s="52" t="n">
        <f aca="false">IF(OR(D164="",D164+G164=0),"",D164/(D164+G164))</f>
        <v>0.500616522811344</v>
      </c>
      <c r="K164" s="52" t="n">
        <f aca="false">IF(E164="","",E164/(E164+H164))</f>
        <v>0.495373226403455</v>
      </c>
      <c r="L164" s="64" t="n">
        <f aca="false">IF(OR(K164="",J164=""),"",(J164-K164)*100)</f>
        <v>0.52432964078894</v>
      </c>
      <c r="M164" s="21"/>
    </row>
    <row r="165" customFormat="false" ht="15" hidden="false" customHeight="false" outlineLevel="0" collapsed="false">
      <c r="A165" s="21" t="s">
        <v>189</v>
      </c>
      <c r="B165" s="21" t="s">
        <v>311</v>
      </c>
      <c r="C165" s="21" t="s">
        <v>314</v>
      </c>
      <c r="D165" s="37" t="n">
        <v>347</v>
      </c>
      <c r="E165" s="37" t="n">
        <v>342</v>
      </c>
      <c r="F165" s="63" t="n">
        <f aca="false">IF(E165="","",D165-E165)</f>
        <v>5</v>
      </c>
      <c r="G165" s="37" t="n">
        <v>347</v>
      </c>
      <c r="H165" s="37" t="n">
        <v>358</v>
      </c>
      <c r="I165" s="63" t="n">
        <f aca="false">IF(H165="","",G165-H165)</f>
        <v>-11</v>
      </c>
      <c r="J165" s="52" t="n">
        <f aca="false">IF(OR(D165="",D165+G165=0),"",D165/(D165+G165))</f>
        <v>0.5</v>
      </c>
      <c r="K165" s="52" t="n">
        <f aca="false">IF(E165="","",E165/(E165+H165))</f>
        <v>0.488571428571429</v>
      </c>
      <c r="L165" s="64" t="n">
        <f aca="false">IF(OR(K165="",J165=""),"",(J165-K165)*100)</f>
        <v>1.14285714285715</v>
      </c>
      <c r="M165" s="21"/>
    </row>
    <row r="166" customFormat="false" ht="15" hidden="false" customHeight="false" outlineLevel="0" collapsed="false">
      <c r="A166" s="21" t="s">
        <v>189</v>
      </c>
      <c r="B166" s="21" t="s">
        <v>311</v>
      </c>
      <c r="C166" s="21" t="s">
        <v>315</v>
      </c>
      <c r="D166" s="37" t="n">
        <v>411</v>
      </c>
      <c r="E166" s="37" t="n">
        <v>411</v>
      </c>
      <c r="F166" s="63" t="n">
        <f aca="false">IF(E166="","",D166-E166)</f>
        <v>0</v>
      </c>
      <c r="G166" s="37" t="n">
        <v>416</v>
      </c>
      <c r="H166" s="37" t="n">
        <v>417</v>
      </c>
      <c r="I166" s="63" t="n">
        <f aca="false">IF(H166="","",G166-H166)</f>
        <v>-1</v>
      </c>
      <c r="J166" s="52" t="n">
        <f aca="false">IF(OR(D166="",D166+G166=0),"",D166/(D166+G166))</f>
        <v>0.496977025392987</v>
      </c>
      <c r="K166" s="52" t="n">
        <f aca="false">IF(E166="","",E166/(E166+H166))</f>
        <v>0.496376811594203</v>
      </c>
      <c r="L166" s="64" t="n">
        <f aca="false">IF(OR(K166="",J166=""),"",(J166-K166)*100)</f>
        <v>0.0600213798783833</v>
      </c>
      <c r="M166" s="21"/>
    </row>
    <row r="167" customFormat="false" ht="15" hidden="false" customHeight="false" outlineLevel="0" collapsed="false">
      <c r="A167" s="21" t="s">
        <v>189</v>
      </c>
      <c r="B167" s="21" t="s">
        <v>311</v>
      </c>
      <c r="C167" s="21" t="s">
        <v>316</v>
      </c>
      <c r="D167" s="37" t="n">
        <v>512</v>
      </c>
      <c r="E167" s="37" t="n">
        <v>525</v>
      </c>
      <c r="F167" s="63" t="n">
        <f aca="false">IF(E167="","",D167-E167)</f>
        <v>-13</v>
      </c>
      <c r="G167" s="37" t="n">
        <v>574</v>
      </c>
      <c r="H167" s="37" t="n">
        <v>552</v>
      </c>
      <c r="I167" s="63" t="n">
        <f aca="false">IF(H167="","",G167-H167)</f>
        <v>22</v>
      </c>
      <c r="J167" s="52" t="n">
        <f aca="false">IF(OR(D167="",D167+G167=0),"",D167/(D167+G167))</f>
        <v>0.471454880294659</v>
      </c>
      <c r="K167" s="52" t="n">
        <f aca="false">IF(E167="","",E167/(E167+H167))</f>
        <v>0.487465181058496</v>
      </c>
      <c r="L167" s="64" t="n">
        <f aca="false">IF(OR(K167="",J167=""),"",(J167-K167)*100)</f>
        <v>-1.60103007638365</v>
      </c>
      <c r="M167" s="21"/>
    </row>
    <row r="168" customFormat="false" ht="15" hidden="false" customHeight="false" outlineLevel="0" collapsed="false">
      <c r="A168" s="21" t="s">
        <v>189</v>
      </c>
      <c r="B168" s="21" t="s">
        <v>311</v>
      </c>
      <c r="C168" s="21" t="s">
        <v>317</v>
      </c>
      <c r="D168" s="37" t="n">
        <v>338</v>
      </c>
      <c r="E168" s="37" t="n">
        <v>313</v>
      </c>
      <c r="F168" s="63" t="n">
        <f aca="false">IF(E168="","",D168-E168)</f>
        <v>25</v>
      </c>
      <c r="G168" s="37" t="n">
        <v>373</v>
      </c>
      <c r="H168" s="37" t="n">
        <v>360</v>
      </c>
      <c r="I168" s="63" t="n">
        <f aca="false">IF(H168="","",G168-H168)</f>
        <v>13</v>
      </c>
      <c r="J168" s="52" t="n">
        <f aca="false">IF(OR(D168="",D168+G168=0),"",D168/(D168+G168))</f>
        <v>0.475386779184248</v>
      </c>
      <c r="K168" s="52" t="n">
        <f aca="false">IF(E168="","",E168/(E168+H168))</f>
        <v>0.465081723625557</v>
      </c>
      <c r="L168" s="64" t="n">
        <f aca="false">IF(OR(K168="",J168=""),"",(J168-K168)*100)</f>
        <v>1.03050555586903</v>
      </c>
      <c r="M168" s="21"/>
    </row>
    <row r="169" customFormat="false" ht="15" hidden="false" customHeight="false" outlineLevel="0" collapsed="false">
      <c r="A169" s="21" t="s">
        <v>189</v>
      </c>
      <c r="B169" s="21" t="s">
        <v>311</v>
      </c>
      <c r="C169" s="21" t="s">
        <v>318</v>
      </c>
      <c r="D169" s="37" t="n">
        <v>398</v>
      </c>
      <c r="E169" s="37" t="n">
        <v>415</v>
      </c>
      <c r="F169" s="63" t="n">
        <f aca="false">IF(E169="","",D169-E169)</f>
        <v>-17</v>
      </c>
      <c r="G169" s="37" t="n">
        <v>378</v>
      </c>
      <c r="H169" s="37" t="n">
        <v>371</v>
      </c>
      <c r="I169" s="63" t="n">
        <f aca="false">IF(H169="","",G169-H169)</f>
        <v>7</v>
      </c>
      <c r="J169" s="52" t="n">
        <f aca="false">IF(OR(D169="",D169+G169=0),"",D169/(D169+G169))</f>
        <v>0.512886597938144</v>
      </c>
      <c r="K169" s="52" t="n">
        <f aca="false">IF(E169="","",E169/(E169+H169))</f>
        <v>0.527989821882952</v>
      </c>
      <c r="L169" s="64" t="n">
        <f aca="false">IF(OR(K169="",J169=""),"",(J169-K169)*100)</f>
        <v>-1.51032239448073</v>
      </c>
      <c r="M169" s="21"/>
    </row>
    <row r="170" customFormat="false" ht="15" hidden="false" customHeight="false" outlineLevel="0" collapsed="false">
      <c r="A170" s="21" t="s">
        <v>189</v>
      </c>
      <c r="B170" s="21" t="s">
        <v>311</v>
      </c>
      <c r="C170" s="21" t="s">
        <v>319</v>
      </c>
      <c r="D170" s="37" t="n">
        <v>530</v>
      </c>
      <c r="E170" s="37" t="n">
        <v>533</v>
      </c>
      <c r="F170" s="63" t="n">
        <f aca="false">IF(E170="","",D170-E170)</f>
        <v>-3</v>
      </c>
      <c r="G170" s="37" t="n">
        <v>540</v>
      </c>
      <c r="H170" s="37" t="n">
        <v>535</v>
      </c>
      <c r="I170" s="63" t="n">
        <f aca="false">IF(H170="","",G170-H170)</f>
        <v>5</v>
      </c>
      <c r="J170" s="52" t="n">
        <f aca="false">IF(OR(D170="",D170+G170=0),"",D170/(D170+G170))</f>
        <v>0.495327102803738</v>
      </c>
      <c r="K170" s="52" t="n">
        <f aca="false">IF(E170="","",E170/(E170+H170))</f>
        <v>0.499063670411985</v>
      </c>
      <c r="L170" s="64" t="n">
        <f aca="false">IF(OR(K170="",J170=""),"",(J170-K170)*100)</f>
        <v>-0.37365676082467</v>
      </c>
      <c r="M170" s="21"/>
    </row>
    <row r="171" customFormat="false" ht="15" hidden="false" customHeight="false" outlineLevel="0" collapsed="false">
      <c r="A171" s="21" t="s">
        <v>189</v>
      </c>
      <c r="B171" s="21" t="s">
        <v>320</v>
      </c>
      <c r="C171" s="21" t="s">
        <v>321</v>
      </c>
      <c r="D171" s="37" t="n">
        <v>258</v>
      </c>
      <c r="E171" s="37" t="n">
        <v>242</v>
      </c>
      <c r="F171" s="63" t="n">
        <f aca="false">IF(E171="","",D171-E171)</f>
        <v>16</v>
      </c>
      <c r="G171" s="37" t="n">
        <v>327</v>
      </c>
      <c r="H171" s="37" t="n">
        <v>337</v>
      </c>
      <c r="I171" s="63" t="n">
        <f aca="false">IF(H171="","",G171-H171)</f>
        <v>-10</v>
      </c>
      <c r="J171" s="52" t="n">
        <f aca="false">IF(OR(D171="",D171+G171=0),"",D171/(D171+G171))</f>
        <v>0.441025641025641</v>
      </c>
      <c r="K171" s="52" t="n">
        <f aca="false">IF(E171="","",E171/(E171+H171))</f>
        <v>0.417962003454231</v>
      </c>
      <c r="L171" s="64" t="n">
        <f aca="false">IF(OR(K171="",J171=""),"",(J171-K171)*100)</f>
        <v>2.30636375714096</v>
      </c>
      <c r="M171" s="21"/>
    </row>
    <row r="172" customFormat="false" ht="15" hidden="false" customHeight="false" outlineLevel="0" collapsed="false">
      <c r="A172" s="21" t="s">
        <v>189</v>
      </c>
      <c r="B172" s="21" t="s">
        <v>320</v>
      </c>
      <c r="C172" s="21" t="s">
        <v>322</v>
      </c>
      <c r="D172" s="37" t="n">
        <v>203</v>
      </c>
      <c r="E172" s="37" t="n">
        <v>187</v>
      </c>
      <c r="F172" s="63" t="n">
        <f aca="false">IF(E172="","",D172-E172)</f>
        <v>16</v>
      </c>
      <c r="G172" s="37" t="n">
        <v>287</v>
      </c>
      <c r="H172" s="37" t="n">
        <v>292</v>
      </c>
      <c r="I172" s="63" t="n">
        <f aca="false">IF(H172="","",G172-H172)</f>
        <v>-5</v>
      </c>
      <c r="J172" s="52" t="n">
        <f aca="false">IF(OR(D172="",D172+G172=0),"",D172/(D172+G172))</f>
        <v>0.414285714285714</v>
      </c>
      <c r="K172" s="52" t="n">
        <f aca="false">IF(E172="","",E172/(E172+H172))</f>
        <v>0.390396659707724</v>
      </c>
      <c r="L172" s="64" t="n">
        <f aca="false">IF(OR(K172="",J172=""),"",(J172-K172)*100)</f>
        <v>2.38890545779899</v>
      </c>
      <c r="M172" s="21"/>
    </row>
    <row r="173" customFormat="false" ht="15" hidden="false" customHeight="false" outlineLevel="0" collapsed="false">
      <c r="A173" s="21" t="s">
        <v>189</v>
      </c>
      <c r="B173" s="21" t="s">
        <v>320</v>
      </c>
      <c r="C173" s="21" t="s">
        <v>323</v>
      </c>
      <c r="D173" s="37" t="n">
        <v>387</v>
      </c>
      <c r="E173" s="37" t="n">
        <v>371</v>
      </c>
      <c r="F173" s="63" t="n">
        <f aca="false">IF(E173="","",D173-E173)</f>
        <v>16</v>
      </c>
      <c r="G173" s="37" t="n">
        <v>537</v>
      </c>
      <c r="H173" s="37" t="n">
        <v>527</v>
      </c>
      <c r="I173" s="63" t="n">
        <f aca="false">IF(H173="","",G173-H173)</f>
        <v>10</v>
      </c>
      <c r="J173" s="52" t="n">
        <f aca="false">IF(OR(D173="",D173+G173=0),"",D173/(D173+G173))</f>
        <v>0.418831168831169</v>
      </c>
      <c r="K173" s="52" t="n">
        <f aca="false">IF(E173="","",E173/(E173+H173))</f>
        <v>0.413140311804009</v>
      </c>
      <c r="L173" s="64" t="n">
        <f aca="false">IF(OR(K173="",J173=""),"",(J173-K173)*100)</f>
        <v>0.569085702715994</v>
      </c>
      <c r="M173" s="21"/>
    </row>
    <row r="174" customFormat="false" ht="15" hidden="false" customHeight="false" outlineLevel="0" collapsed="false">
      <c r="A174" s="21" t="s">
        <v>189</v>
      </c>
      <c r="B174" s="21" t="s">
        <v>324</v>
      </c>
      <c r="C174" s="21" t="s">
        <v>325</v>
      </c>
      <c r="D174" s="37" t="n">
        <v>925</v>
      </c>
      <c r="E174" s="37" t="n">
        <v>912</v>
      </c>
      <c r="F174" s="63" t="n">
        <f aca="false">IF(E174="","",D174-E174)</f>
        <v>13</v>
      </c>
      <c r="G174" s="37" t="n">
        <v>939</v>
      </c>
      <c r="H174" s="37" t="n">
        <v>964</v>
      </c>
      <c r="I174" s="63" t="n">
        <f aca="false">IF(H174="","",G174-H174)</f>
        <v>-25</v>
      </c>
      <c r="J174" s="52" t="n">
        <f aca="false">IF(OR(D174="",D174+G174=0),"",D174/(D174+G174))</f>
        <v>0.496244635193133</v>
      </c>
      <c r="K174" s="52" t="n">
        <f aca="false">IF(E174="","",E174/(E174+H174))</f>
        <v>0.486140724946695</v>
      </c>
      <c r="L174" s="64" t="n">
        <f aca="false">IF(OR(K174="",J174=""),"",(J174-K174)*100)</f>
        <v>1.0103910246438</v>
      </c>
      <c r="M174" s="21"/>
    </row>
    <row r="175" customFormat="false" ht="15" hidden="false" customHeight="false" outlineLevel="0" collapsed="false">
      <c r="A175" s="21" t="s">
        <v>189</v>
      </c>
      <c r="B175" s="21" t="s">
        <v>324</v>
      </c>
      <c r="C175" s="21" t="s">
        <v>326</v>
      </c>
      <c r="D175" s="37" t="n">
        <v>458</v>
      </c>
      <c r="E175" s="37" t="n">
        <v>449</v>
      </c>
      <c r="F175" s="63" t="n">
        <f aca="false">IF(E175="","",D175-E175)</f>
        <v>9</v>
      </c>
      <c r="G175" s="37" t="n">
        <v>477</v>
      </c>
      <c r="H175" s="37" t="n">
        <v>448</v>
      </c>
      <c r="I175" s="63" t="n">
        <f aca="false">IF(H175="","",G175-H175)</f>
        <v>29</v>
      </c>
      <c r="J175" s="52" t="n">
        <f aca="false">IF(OR(D175="",D175+G175=0),"",D175/(D175+G175))</f>
        <v>0.489839572192513</v>
      </c>
      <c r="K175" s="52" t="n">
        <f aca="false">IF(E175="","",E175/(E175+H175))</f>
        <v>0.500557413600892</v>
      </c>
      <c r="L175" s="64" t="n">
        <f aca="false">IF(OR(K175="",J175=""),"",(J175-K175)*100)</f>
        <v>-1.07178414083785</v>
      </c>
      <c r="M175" s="21"/>
    </row>
    <row r="176" customFormat="false" ht="15" hidden="false" customHeight="false" outlineLevel="0" collapsed="false">
      <c r="A176" s="21" t="s">
        <v>189</v>
      </c>
      <c r="B176" s="21" t="s">
        <v>324</v>
      </c>
      <c r="C176" s="21" t="s">
        <v>327</v>
      </c>
      <c r="D176" s="37" t="n">
        <v>1206</v>
      </c>
      <c r="E176" s="37" t="n">
        <v>1161</v>
      </c>
      <c r="F176" s="63" t="n">
        <f aca="false">IF(E176="","",D176-E176)</f>
        <v>45</v>
      </c>
      <c r="G176" s="37" t="n">
        <v>975</v>
      </c>
      <c r="H176" s="37" t="n">
        <v>915</v>
      </c>
      <c r="I176" s="63" t="n">
        <f aca="false">IF(H176="","",G176-H176)</f>
        <v>60</v>
      </c>
      <c r="J176" s="52" t="n">
        <f aca="false">IF(OR(D176="",D176+G176=0),"",D176/(D176+G176))</f>
        <v>0.552957359009629</v>
      </c>
      <c r="K176" s="52" t="n">
        <f aca="false">IF(E176="","",E176/(E176+H176))</f>
        <v>0.559248554913295</v>
      </c>
      <c r="L176" s="64" t="n">
        <f aca="false">IF(OR(K176="",J176=""),"",(J176-K176)*100)</f>
        <v>-0.629119590366623</v>
      </c>
      <c r="M176" s="21"/>
    </row>
    <row r="177" customFormat="false" ht="15" hidden="false" customHeight="false" outlineLevel="0" collapsed="false">
      <c r="A177" s="21" t="s">
        <v>189</v>
      </c>
      <c r="B177" s="21" t="s">
        <v>324</v>
      </c>
      <c r="C177" s="21" t="s">
        <v>328</v>
      </c>
      <c r="D177" s="37" t="n">
        <v>538</v>
      </c>
      <c r="E177" s="37" t="n">
        <v>534</v>
      </c>
      <c r="F177" s="63" t="n">
        <f aca="false">IF(E177="","",D177-E177)</f>
        <v>4</v>
      </c>
      <c r="G177" s="37" t="n">
        <v>565</v>
      </c>
      <c r="H177" s="37" t="n">
        <v>577</v>
      </c>
      <c r="I177" s="63" t="n">
        <f aca="false">IF(H177="","",G177-H177)</f>
        <v>-12</v>
      </c>
      <c r="J177" s="52" t="n">
        <f aca="false">IF(OR(D177="",D177+G177=0),"",D177/(D177+G177))</f>
        <v>0.487760652765186</v>
      </c>
      <c r="K177" s="52" t="n">
        <f aca="false">IF(E177="","",E177/(E177+H177))</f>
        <v>0.480648064806481</v>
      </c>
      <c r="L177" s="64" t="n">
        <f aca="false">IF(OR(K177="",J177=""),"",(J177-K177)*100)</f>
        <v>0.711258795870523</v>
      </c>
      <c r="M177" s="21"/>
    </row>
    <row r="178" customFormat="false" ht="15" hidden="false" customHeight="false" outlineLevel="0" collapsed="false">
      <c r="A178" s="21" t="s">
        <v>189</v>
      </c>
      <c r="B178" s="21" t="s">
        <v>324</v>
      </c>
      <c r="C178" s="21" t="s">
        <v>329</v>
      </c>
      <c r="D178" s="37" t="n">
        <v>1064</v>
      </c>
      <c r="E178" s="37" t="n">
        <v>1123</v>
      </c>
      <c r="F178" s="63" t="n">
        <f aca="false">IF(E178="","",D178-E178)</f>
        <v>-59</v>
      </c>
      <c r="G178" s="37" t="n">
        <v>780</v>
      </c>
      <c r="H178" s="37" t="n">
        <v>741</v>
      </c>
      <c r="I178" s="63" t="n">
        <f aca="false">IF(H178="","",G178-H178)</f>
        <v>39</v>
      </c>
      <c r="J178" s="52" t="n">
        <f aca="false">IF(OR(D178="",D178+G178=0),"",D178/(D178+G178))</f>
        <v>0.577006507592191</v>
      </c>
      <c r="K178" s="52" t="n">
        <f aca="false">IF(E178="","",E178/(E178+H178))</f>
        <v>0.602467811158798</v>
      </c>
      <c r="L178" s="64" t="n">
        <f aca="false">IF(OR(K178="",J178=""),"",(J178-K178)*100)</f>
        <v>-2.54613035666075</v>
      </c>
      <c r="M178" s="21"/>
    </row>
    <row r="179" customFormat="false" ht="15" hidden="false" customHeight="false" outlineLevel="0" collapsed="false">
      <c r="A179" s="21" t="s">
        <v>189</v>
      </c>
      <c r="B179" s="21" t="s">
        <v>324</v>
      </c>
      <c r="C179" s="21" t="s">
        <v>330</v>
      </c>
      <c r="D179" s="37" t="n">
        <v>1003</v>
      </c>
      <c r="E179" s="37" t="n">
        <v>1054</v>
      </c>
      <c r="F179" s="63" t="n">
        <f aca="false">IF(E179="","",D179-E179)</f>
        <v>-51</v>
      </c>
      <c r="G179" s="37" t="n">
        <v>740</v>
      </c>
      <c r="H179" s="37" t="n">
        <v>706</v>
      </c>
      <c r="I179" s="63" t="n">
        <f aca="false">IF(H179="","",G179-H179)</f>
        <v>34</v>
      </c>
      <c r="J179" s="52" t="n">
        <f aca="false">IF(OR(D179="",D179+G179=0),"",D179/(D179+G179))</f>
        <v>0.5754446356856</v>
      </c>
      <c r="K179" s="52" t="n">
        <f aca="false">IF(E179="","",E179/(E179+H179))</f>
        <v>0.598863636363636</v>
      </c>
      <c r="L179" s="64" t="n">
        <f aca="false">IF(OR(K179="",J179=""),"",(J179-K179)*100)</f>
        <v>-2.34190006780368</v>
      </c>
      <c r="M179" s="21"/>
    </row>
    <row r="180" customFormat="false" ht="15" hidden="false" customHeight="false" outlineLevel="0" collapsed="false">
      <c r="A180" s="21" t="s">
        <v>189</v>
      </c>
      <c r="B180" s="21" t="s">
        <v>324</v>
      </c>
      <c r="C180" s="21" t="s">
        <v>331</v>
      </c>
      <c r="D180" s="37" t="n">
        <v>487</v>
      </c>
      <c r="E180" s="37" t="n">
        <v>469</v>
      </c>
      <c r="F180" s="63" t="n">
        <f aca="false">IF(E180="","",D180-E180)</f>
        <v>18</v>
      </c>
      <c r="G180" s="37" t="n">
        <v>442</v>
      </c>
      <c r="H180" s="37" t="n">
        <v>468</v>
      </c>
      <c r="I180" s="63" t="n">
        <f aca="false">IF(H180="","",G180-H180)</f>
        <v>-26</v>
      </c>
      <c r="J180" s="52" t="n">
        <f aca="false">IF(OR(D180="",D180+G180=0),"",D180/(D180+G180))</f>
        <v>0.524219590958019</v>
      </c>
      <c r="K180" s="52" t="n">
        <f aca="false">IF(E180="","",E180/(E180+H180))</f>
        <v>0.500533617929562</v>
      </c>
      <c r="L180" s="64" t="n">
        <f aca="false">IF(OR(K180="",J180=""),"",(J180-K180)*100)</f>
        <v>2.3685973028457</v>
      </c>
      <c r="M180" s="21"/>
    </row>
    <row r="181" customFormat="false" ht="15" hidden="false" customHeight="false" outlineLevel="0" collapsed="false">
      <c r="A181" s="21" t="s">
        <v>189</v>
      </c>
      <c r="B181" s="21" t="s">
        <v>324</v>
      </c>
      <c r="C181" s="21" t="s">
        <v>332</v>
      </c>
      <c r="D181" s="37" t="n">
        <v>1305</v>
      </c>
      <c r="E181" s="37" t="n">
        <v>1317</v>
      </c>
      <c r="F181" s="63" t="n">
        <f aca="false">IF(E181="","",D181-E181)</f>
        <v>-12</v>
      </c>
      <c r="G181" s="37" t="n">
        <v>1317</v>
      </c>
      <c r="H181" s="37" t="n">
        <v>1291</v>
      </c>
      <c r="I181" s="63" t="n">
        <f aca="false">IF(H181="","",G181-H181)</f>
        <v>26</v>
      </c>
      <c r="J181" s="52" t="n">
        <f aca="false">IF(OR(D181="",D181+G181=0),"",D181/(D181+G181))</f>
        <v>0.497711670480549</v>
      </c>
      <c r="K181" s="52" t="n">
        <f aca="false">IF(E181="","",E181/(E181+H181))</f>
        <v>0.504984662576687</v>
      </c>
      <c r="L181" s="64" t="n">
        <f aca="false">IF(OR(K181="",J181=""),"",(J181-K181)*100)</f>
        <v>-0.727299209613797</v>
      </c>
      <c r="M181" s="21"/>
    </row>
    <row r="182" customFormat="false" ht="15" hidden="false" customHeight="false" outlineLevel="0" collapsed="false">
      <c r="A182" s="21" t="s">
        <v>189</v>
      </c>
      <c r="B182" s="21" t="s">
        <v>333</v>
      </c>
      <c r="C182" s="21" t="s">
        <v>334</v>
      </c>
      <c r="D182" s="37" t="n">
        <v>998</v>
      </c>
      <c r="E182" s="37" t="n">
        <v>992</v>
      </c>
      <c r="F182" s="63" t="n">
        <f aca="false">IF(E182="","",D182-E182)</f>
        <v>6</v>
      </c>
      <c r="G182" s="37" t="n">
        <v>993</v>
      </c>
      <c r="H182" s="37" t="n">
        <v>983</v>
      </c>
      <c r="I182" s="63" t="n">
        <f aca="false">IF(H182="","",G182-H182)</f>
        <v>10</v>
      </c>
      <c r="J182" s="52" t="n">
        <f aca="false">IF(OR(D182="",D182+G182=0),"",D182/(D182+G182))</f>
        <v>0.501255650426921</v>
      </c>
      <c r="K182" s="52" t="n">
        <f aca="false">IF(E182="","",E182/(E182+H182))</f>
        <v>0.502278481012658</v>
      </c>
      <c r="L182" s="64" t="n">
        <f aca="false">IF(OR(K182="",J182=""),"",(J182-K182)*100)</f>
        <v>-0.102283058573716</v>
      </c>
      <c r="M182" s="21"/>
    </row>
    <row r="183" customFormat="false" ht="15" hidden="false" customHeight="false" outlineLevel="0" collapsed="false">
      <c r="A183" s="21" t="s">
        <v>189</v>
      </c>
      <c r="B183" s="21" t="s">
        <v>333</v>
      </c>
      <c r="C183" s="21" t="s">
        <v>335</v>
      </c>
      <c r="D183" s="37" t="n">
        <v>1275</v>
      </c>
      <c r="E183" s="37" t="n">
        <v>1311</v>
      </c>
      <c r="F183" s="63" t="n">
        <f aca="false">IF(E183="","",D183-E183)</f>
        <v>-36</v>
      </c>
      <c r="G183" s="37" t="n">
        <v>1288</v>
      </c>
      <c r="H183" s="37" t="n">
        <v>1258</v>
      </c>
      <c r="I183" s="63" t="n">
        <f aca="false">IF(H183="","",G183-H183)</f>
        <v>30</v>
      </c>
      <c r="J183" s="52" t="n">
        <f aca="false">IF(OR(D183="",D183+G183=0),"",D183/(D183+G183))</f>
        <v>0.497463909481077</v>
      </c>
      <c r="K183" s="52" t="n">
        <f aca="false">IF(E183="","",E183/(E183+H183))</f>
        <v>0.510315297781238</v>
      </c>
      <c r="L183" s="64" t="n">
        <f aca="false">IF(OR(K183="",J183=""),"",(J183-K183)*100)</f>
        <v>-1.2851388300161</v>
      </c>
      <c r="M183" s="21"/>
    </row>
    <row r="184" customFormat="false" ht="15" hidden="false" customHeight="false" outlineLevel="0" collapsed="false">
      <c r="A184" s="21" t="s">
        <v>189</v>
      </c>
      <c r="B184" s="21" t="s">
        <v>333</v>
      </c>
      <c r="C184" s="21" t="s">
        <v>336</v>
      </c>
      <c r="D184" s="37" t="n">
        <v>956</v>
      </c>
      <c r="E184" s="37" t="n">
        <v>914</v>
      </c>
      <c r="F184" s="63" t="n">
        <f aca="false">IF(E184="","",D184-E184)</f>
        <v>42</v>
      </c>
      <c r="G184" s="37" t="n">
        <v>1083</v>
      </c>
      <c r="H184" s="37" t="n">
        <v>1075</v>
      </c>
      <c r="I184" s="63" t="n">
        <f aca="false">IF(H184="","",G184-H184)</f>
        <v>8</v>
      </c>
      <c r="J184" s="52" t="n">
        <f aca="false">IF(OR(D184="",D184+G184=0),"",D184/(D184+G184))</f>
        <v>0.468857282981854</v>
      </c>
      <c r="K184" s="52" t="n">
        <f aca="false">IF(E184="","",E184/(E184+H184))</f>
        <v>0.459527400703871</v>
      </c>
      <c r="L184" s="64" t="n">
        <f aca="false">IF(OR(K184="",J184=""),"",(J184-K184)*100)</f>
        <v>0.932988227798259</v>
      </c>
      <c r="M184" s="21"/>
    </row>
    <row r="185" customFormat="false" ht="15" hidden="false" customHeight="false" outlineLevel="0" collapsed="false">
      <c r="A185" s="21" t="s">
        <v>189</v>
      </c>
      <c r="B185" s="21" t="s">
        <v>333</v>
      </c>
      <c r="C185" s="21" t="s">
        <v>337</v>
      </c>
      <c r="D185" s="37" t="n">
        <v>755</v>
      </c>
      <c r="E185" s="37" t="n">
        <v>735</v>
      </c>
      <c r="F185" s="63" t="n">
        <f aca="false">IF(E185="","",D185-E185)</f>
        <v>20</v>
      </c>
      <c r="G185" s="37" t="n">
        <v>647</v>
      </c>
      <c r="H185" s="37" t="n">
        <v>653</v>
      </c>
      <c r="I185" s="63" t="n">
        <f aca="false">IF(H185="","",G185-H185)</f>
        <v>-6</v>
      </c>
      <c r="J185" s="52" t="n">
        <f aca="false">IF(OR(D185="",D185+G185=0),"",D185/(D185+G185))</f>
        <v>0.538516405135521</v>
      </c>
      <c r="K185" s="52" t="n">
        <f aca="false">IF(E185="","",E185/(E185+H185))</f>
        <v>0.529538904899136</v>
      </c>
      <c r="L185" s="64" t="n">
        <f aca="false">IF(OR(K185="",J185=""),"",(J185-K185)*100)</f>
        <v>0.897750023638522</v>
      </c>
      <c r="M185" s="21"/>
    </row>
    <row r="186" customFormat="false" ht="15" hidden="false" customHeight="false" outlineLevel="0" collapsed="false">
      <c r="A186" s="21" t="s">
        <v>189</v>
      </c>
      <c r="B186" s="21" t="s">
        <v>333</v>
      </c>
      <c r="C186" s="21" t="s">
        <v>338</v>
      </c>
      <c r="D186" s="37" t="n">
        <v>2005</v>
      </c>
      <c r="E186" s="37" t="n">
        <v>1929</v>
      </c>
      <c r="F186" s="63" t="n">
        <f aca="false">IF(E186="","",D186-E186)</f>
        <v>76</v>
      </c>
      <c r="G186" s="37" t="n">
        <v>1751</v>
      </c>
      <c r="H186" s="37" t="n">
        <v>1679</v>
      </c>
      <c r="I186" s="63" t="n">
        <f aca="false">IF(H186="","",G186-H186)</f>
        <v>72</v>
      </c>
      <c r="J186" s="52" t="n">
        <f aca="false">IF(OR(D186="",D186+G186=0),"",D186/(D186+G186))</f>
        <v>0.53381256656017</v>
      </c>
      <c r="K186" s="52" t="n">
        <f aca="false">IF(E186="","",E186/(E186+H186))</f>
        <v>0.534645232815965</v>
      </c>
      <c r="L186" s="64" t="n">
        <f aca="false">IF(OR(K186="",J186=""),"",(J186-K186)*100)</f>
        <v>-0.0832666255794146</v>
      </c>
      <c r="M186" s="21"/>
    </row>
    <row r="187" customFormat="false" ht="15" hidden="false" customHeight="false" outlineLevel="0" collapsed="false">
      <c r="A187" s="21" t="s">
        <v>189</v>
      </c>
      <c r="B187" s="21" t="s">
        <v>333</v>
      </c>
      <c r="C187" s="21" t="s">
        <v>339</v>
      </c>
      <c r="D187" s="37" t="n">
        <v>715</v>
      </c>
      <c r="E187" s="37" t="n">
        <v>696</v>
      </c>
      <c r="F187" s="63" t="n">
        <f aca="false">IF(E187="","",D187-E187)</f>
        <v>19</v>
      </c>
      <c r="G187" s="37" t="n">
        <v>686</v>
      </c>
      <c r="H187" s="37" t="n">
        <v>666</v>
      </c>
      <c r="I187" s="63" t="n">
        <f aca="false">IF(H187="","",G187-H187)</f>
        <v>20</v>
      </c>
      <c r="J187" s="52" t="n">
        <f aca="false">IF(OR(D187="",D187+G187=0),"",D187/(D187+G187))</f>
        <v>0.510349750178444</v>
      </c>
      <c r="K187" s="52" t="n">
        <f aca="false">IF(E187="","",E187/(E187+H187))</f>
        <v>0.511013215859031</v>
      </c>
      <c r="L187" s="64" t="n">
        <f aca="false">IF(OR(K187="",J187=""),"",(J187-K187)*100)</f>
        <v>-0.0663465680586839</v>
      </c>
      <c r="M187" s="21"/>
    </row>
    <row r="188" customFormat="false" ht="15" hidden="false" customHeight="false" outlineLevel="0" collapsed="false">
      <c r="A188" s="21" t="s">
        <v>189</v>
      </c>
      <c r="B188" s="21" t="s">
        <v>333</v>
      </c>
      <c r="C188" s="21" t="s">
        <v>340</v>
      </c>
      <c r="D188" s="37" t="n">
        <v>736</v>
      </c>
      <c r="E188" s="37" t="n">
        <v>715</v>
      </c>
      <c r="F188" s="63" t="n">
        <f aca="false">IF(E188="","",D188-E188)</f>
        <v>21</v>
      </c>
      <c r="G188" s="37" t="n">
        <v>636</v>
      </c>
      <c r="H188" s="37" t="n">
        <v>601</v>
      </c>
      <c r="I188" s="63" t="n">
        <f aca="false">IF(H188="","",G188-H188)</f>
        <v>35</v>
      </c>
      <c r="J188" s="52" t="n">
        <f aca="false">IF(OR(D188="",D188+G188=0),"",D188/(D188+G188))</f>
        <v>0.536443148688047</v>
      </c>
      <c r="K188" s="52" t="n">
        <f aca="false">IF(E188="","",E188/(E188+H188))</f>
        <v>0.543313069908815</v>
      </c>
      <c r="L188" s="64" t="n">
        <f aca="false">IF(OR(K188="",J188=""),"",(J188-K188)*100)</f>
        <v>-0.686992122076791</v>
      </c>
      <c r="M188" s="21"/>
    </row>
    <row r="189" customFormat="false" ht="15" hidden="false" customHeight="false" outlineLevel="0" collapsed="false">
      <c r="A189" s="21" t="s">
        <v>189</v>
      </c>
      <c r="B189" s="21" t="s">
        <v>333</v>
      </c>
      <c r="C189" s="21" t="s">
        <v>341</v>
      </c>
      <c r="D189" s="37" t="n">
        <v>758</v>
      </c>
      <c r="E189" s="37" t="n">
        <v>728</v>
      </c>
      <c r="F189" s="63" t="n">
        <f aca="false">IF(E189="","",D189-E189)</f>
        <v>30</v>
      </c>
      <c r="G189" s="37" t="n">
        <v>728</v>
      </c>
      <c r="H189" s="37" t="n">
        <v>692</v>
      </c>
      <c r="I189" s="63" t="n">
        <f aca="false">IF(H189="","",G189-H189)</f>
        <v>36</v>
      </c>
      <c r="J189" s="52" t="n">
        <f aca="false">IF(OR(D189="",D189+G189=0),"",D189/(D189+G189))</f>
        <v>0.510094212651413</v>
      </c>
      <c r="K189" s="52" t="n">
        <f aca="false">IF(E189="","",E189/(E189+H189))</f>
        <v>0.512676056338028</v>
      </c>
      <c r="L189" s="64" t="n">
        <f aca="false">IF(OR(K189="",J189=""),"",(J189-K189)*100)</f>
        <v>-0.258184368661496</v>
      </c>
      <c r="M189" s="21"/>
    </row>
    <row r="190" customFormat="false" ht="15" hidden="false" customHeight="false" outlineLevel="0" collapsed="false">
      <c r="A190" s="21" t="s">
        <v>189</v>
      </c>
      <c r="B190" s="21" t="s">
        <v>342</v>
      </c>
      <c r="C190" s="21" t="s">
        <v>343</v>
      </c>
      <c r="D190" s="37" t="n">
        <v>1475</v>
      </c>
      <c r="E190" s="37" t="n">
        <v>1473</v>
      </c>
      <c r="F190" s="63" t="n">
        <f aca="false">IF(E190="","",D190-E190)</f>
        <v>2</v>
      </c>
      <c r="G190" s="37" t="n">
        <v>1684</v>
      </c>
      <c r="H190" s="37" t="n">
        <v>1690</v>
      </c>
      <c r="I190" s="63" t="n">
        <f aca="false">IF(H190="","",G190-H190)</f>
        <v>-6</v>
      </c>
      <c r="J190" s="52" t="n">
        <f aca="false">IF(OR(D190="",D190+G190=0),"",D190/(D190+G190))</f>
        <v>0.466919911364356</v>
      </c>
      <c r="K190" s="52" t="n">
        <f aca="false">IF(E190="","",E190/(E190+H190))</f>
        <v>0.465697122984508</v>
      </c>
      <c r="L190" s="64" t="n">
        <f aca="false">IF(OR(K190="",J190=""),"",(J190-K190)*100)</f>
        <v>0.122278837984741</v>
      </c>
      <c r="M190" s="21"/>
    </row>
    <row r="191" customFormat="false" ht="15" hidden="false" customHeight="false" outlineLevel="0" collapsed="false">
      <c r="A191" s="21" t="s">
        <v>189</v>
      </c>
      <c r="B191" s="21" t="s">
        <v>342</v>
      </c>
      <c r="C191" s="21" t="s">
        <v>344</v>
      </c>
      <c r="D191" s="37" t="n">
        <v>898</v>
      </c>
      <c r="E191" s="37" t="n">
        <v>907</v>
      </c>
      <c r="F191" s="63" t="n">
        <f aca="false">IF(E191="","",D191-E191)</f>
        <v>-9</v>
      </c>
      <c r="G191" s="37" t="n">
        <v>1410</v>
      </c>
      <c r="H191" s="37" t="n">
        <v>1445</v>
      </c>
      <c r="I191" s="63" t="n">
        <f aca="false">IF(H191="","",G191-H191)</f>
        <v>-35</v>
      </c>
      <c r="J191" s="52" t="n">
        <f aca="false">IF(OR(D191="",D191+G191=0),"",D191/(D191+G191))</f>
        <v>0.389081455805893</v>
      </c>
      <c r="K191" s="52" t="n">
        <f aca="false">IF(E191="","",E191/(E191+H191))</f>
        <v>0.38562925170068</v>
      </c>
      <c r="L191" s="64" t="n">
        <f aca="false">IF(OR(K191="",J191=""),"",(J191-K191)*100)</f>
        <v>0.345220410521224</v>
      </c>
      <c r="M191" s="21"/>
    </row>
    <row r="192" customFormat="false" ht="15" hidden="false" customHeight="false" outlineLevel="0" collapsed="false">
      <c r="A192" s="21" t="s">
        <v>189</v>
      </c>
      <c r="B192" s="21" t="s">
        <v>345</v>
      </c>
      <c r="C192" s="21" t="s">
        <v>346</v>
      </c>
      <c r="D192" s="37" t="n">
        <v>1019</v>
      </c>
      <c r="E192" s="37" t="n">
        <v>1017</v>
      </c>
      <c r="F192" s="63" t="n">
        <f aca="false">IF(E192="","",D192-E192)</f>
        <v>2</v>
      </c>
      <c r="G192" s="37" t="n">
        <v>1056</v>
      </c>
      <c r="H192" s="37" t="n">
        <v>1074</v>
      </c>
      <c r="I192" s="63" t="n">
        <f aca="false">IF(H192="","",G192-H192)</f>
        <v>-18</v>
      </c>
      <c r="J192" s="52" t="n">
        <f aca="false">IF(OR(D192="",D192+G192=0),"",D192/(D192+G192))</f>
        <v>0.491084337349398</v>
      </c>
      <c r="K192" s="52" t="n">
        <f aca="false">IF(E192="","",E192/(E192+H192))</f>
        <v>0.486370157819225</v>
      </c>
      <c r="L192" s="64" t="n">
        <f aca="false">IF(OR(K192="",J192=""),"",(J192-K192)*100)</f>
        <v>0.471417953017234</v>
      </c>
      <c r="M192" s="21"/>
    </row>
    <row r="193" customFormat="false" ht="15" hidden="false" customHeight="false" outlineLevel="0" collapsed="false">
      <c r="A193" s="21" t="s">
        <v>189</v>
      </c>
      <c r="B193" s="21" t="s">
        <v>345</v>
      </c>
      <c r="C193" s="21" t="s">
        <v>347</v>
      </c>
      <c r="D193" s="37" t="n">
        <v>736</v>
      </c>
      <c r="E193" s="37" t="n">
        <v>753</v>
      </c>
      <c r="F193" s="63" t="n">
        <f aca="false">IF(E193="","",D193-E193)</f>
        <v>-17</v>
      </c>
      <c r="G193" s="37" t="n">
        <v>847</v>
      </c>
      <c r="H193" s="37" t="n">
        <v>851</v>
      </c>
      <c r="I193" s="63" t="n">
        <f aca="false">IF(H193="","",G193-H193)</f>
        <v>-4</v>
      </c>
      <c r="J193" s="52" t="n">
        <f aca="false">IF(OR(D193="",D193+G193=0),"",D193/(D193+G193))</f>
        <v>0.464939987365761</v>
      </c>
      <c r="K193" s="52" t="n">
        <f aca="false">IF(E193="","",E193/(E193+H193))</f>
        <v>0.469451371571072</v>
      </c>
      <c r="L193" s="64" t="n">
        <f aca="false">IF(OR(K193="",J193=""),"",(J193-K193)*100)</f>
        <v>-0.451138420531111</v>
      </c>
      <c r="M193" s="21"/>
    </row>
    <row r="194" customFormat="false" ht="15" hidden="false" customHeight="false" outlineLevel="0" collapsed="false">
      <c r="A194" s="21" t="s">
        <v>189</v>
      </c>
      <c r="B194" s="21" t="s">
        <v>345</v>
      </c>
      <c r="C194" s="21" t="s">
        <v>348</v>
      </c>
      <c r="D194" s="37" t="n">
        <v>690</v>
      </c>
      <c r="E194" s="37" t="n">
        <v>713</v>
      </c>
      <c r="F194" s="63" t="n">
        <f aca="false">IF(E194="","",D194-E194)</f>
        <v>-23</v>
      </c>
      <c r="G194" s="37" t="n">
        <v>763</v>
      </c>
      <c r="H194" s="37" t="n">
        <v>780</v>
      </c>
      <c r="I194" s="63" t="n">
        <f aca="false">IF(H194="","",G194-H194)</f>
        <v>-17</v>
      </c>
      <c r="J194" s="52" t="n">
        <f aca="false">IF(OR(D194="",D194+G194=0),"",D194/(D194+G194))</f>
        <v>0.474879559532003</v>
      </c>
      <c r="K194" s="52" t="n">
        <f aca="false">IF(E194="","",E194/(E194+H194))</f>
        <v>0.477561955793704</v>
      </c>
      <c r="L194" s="64" t="n">
        <f aca="false">IF(OR(K194="",J194=""),"",(J194-K194)*100)</f>
        <v>-0.268239626170125</v>
      </c>
      <c r="M194" s="21"/>
    </row>
    <row r="195" customFormat="false" ht="15" hidden="false" customHeight="false" outlineLevel="0" collapsed="false">
      <c r="A195" s="21" t="s">
        <v>189</v>
      </c>
      <c r="B195" s="21" t="s">
        <v>345</v>
      </c>
      <c r="C195" s="21" t="s">
        <v>349</v>
      </c>
      <c r="D195" s="37" t="n">
        <v>1641</v>
      </c>
      <c r="E195" s="37" t="n">
        <v>1648</v>
      </c>
      <c r="F195" s="63" t="n">
        <f aca="false">IF(E195="","",D195-E195)</f>
        <v>-7</v>
      </c>
      <c r="G195" s="37" t="n">
        <v>1830</v>
      </c>
      <c r="H195" s="37" t="n">
        <v>1789</v>
      </c>
      <c r="I195" s="63" t="n">
        <f aca="false">IF(H195="","",G195-H195)</f>
        <v>41</v>
      </c>
      <c r="J195" s="52" t="n">
        <f aca="false">IF(OR(D195="",D195+G195=0),"",D195/(D195+G195))</f>
        <v>0.472774416594641</v>
      </c>
      <c r="K195" s="52" t="n">
        <f aca="false">IF(E195="","",E195/(E195+H195))</f>
        <v>0.479487925516439</v>
      </c>
      <c r="L195" s="64" t="n">
        <f aca="false">IF(OR(K195="",J195=""),"",(J195-K195)*100)</f>
        <v>-0.671350892179745</v>
      </c>
      <c r="M195" s="21"/>
    </row>
    <row r="196" customFormat="false" ht="15" hidden="false" customHeight="false" outlineLevel="0" collapsed="false">
      <c r="A196" s="21" t="s">
        <v>189</v>
      </c>
      <c r="B196" s="21" t="s">
        <v>345</v>
      </c>
      <c r="C196" s="21" t="s">
        <v>350</v>
      </c>
      <c r="D196" s="37" t="n">
        <v>678</v>
      </c>
      <c r="E196" s="37" t="n">
        <v>683</v>
      </c>
      <c r="F196" s="63" t="n">
        <f aca="false">IF(E196="","",D196-E196)</f>
        <v>-5</v>
      </c>
      <c r="G196" s="37" t="n">
        <v>715</v>
      </c>
      <c r="H196" s="37" t="n">
        <v>663</v>
      </c>
      <c r="I196" s="63" t="n">
        <f aca="false">IF(H196="","",G196-H196)</f>
        <v>52</v>
      </c>
      <c r="J196" s="52" t="n">
        <f aca="false">IF(OR(D196="",D196+G196=0),"",D196/(D196+G196))</f>
        <v>0.486719310839914</v>
      </c>
      <c r="K196" s="52" t="n">
        <f aca="false">IF(E196="","",E196/(E196+H196))</f>
        <v>0.507429420505201</v>
      </c>
      <c r="L196" s="64" t="n">
        <f aca="false">IF(OR(K196="",J196=""),"",(J196-K196)*100)</f>
        <v>-2.07101096652867</v>
      </c>
      <c r="M196" s="21"/>
    </row>
    <row r="197" customFormat="false" ht="15" hidden="false" customHeight="false" outlineLevel="0" collapsed="false">
      <c r="A197" s="21" t="s">
        <v>189</v>
      </c>
      <c r="B197" s="21" t="s">
        <v>345</v>
      </c>
      <c r="C197" s="21" t="s">
        <v>351</v>
      </c>
      <c r="D197" s="37" t="n">
        <v>637</v>
      </c>
      <c r="E197" s="37" t="n">
        <v>648</v>
      </c>
      <c r="F197" s="63" t="n">
        <f aca="false">IF(E197="","",D197-E197)</f>
        <v>-11</v>
      </c>
      <c r="G197" s="37" t="n">
        <v>618</v>
      </c>
      <c r="H197" s="37" t="n">
        <v>583</v>
      </c>
      <c r="I197" s="63" t="n">
        <f aca="false">IF(H197="","",G197-H197)</f>
        <v>35</v>
      </c>
      <c r="J197" s="52" t="n">
        <f aca="false">IF(OR(D197="",D197+G197=0),"",D197/(D197+G197))</f>
        <v>0.507569721115538</v>
      </c>
      <c r="K197" s="52" t="n">
        <f aca="false">IF(E197="","",E197/(E197+H197))</f>
        <v>0.526401299756296</v>
      </c>
      <c r="L197" s="64" t="n">
        <f aca="false">IF(OR(K197="",J197=""),"",(J197-K197)*100)</f>
        <v>-1.88315786407578</v>
      </c>
      <c r="M197" s="21"/>
    </row>
    <row r="198" customFormat="false" ht="15" hidden="false" customHeight="false" outlineLevel="0" collapsed="false">
      <c r="A198" s="21" t="s">
        <v>189</v>
      </c>
      <c r="B198" s="21" t="s">
        <v>352</v>
      </c>
      <c r="C198" s="21" t="s">
        <v>353</v>
      </c>
      <c r="D198" s="37" t="n">
        <v>247</v>
      </c>
      <c r="E198" s="37" t="n">
        <v>243</v>
      </c>
      <c r="F198" s="63" t="n">
        <f aca="false">IF(E198="","",D198-E198)</f>
        <v>4</v>
      </c>
      <c r="G198" s="37" t="n">
        <v>536</v>
      </c>
      <c r="H198" s="37" t="n">
        <v>532</v>
      </c>
      <c r="I198" s="63" t="n">
        <f aca="false">IF(H198="","",G198-H198)</f>
        <v>4</v>
      </c>
      <c r="J198" s="52" t="n">
        <f aca="false">IF(OR(D198="",D198+G198=0),"",D198/(D198+G198))</f>
        <v>0.315453384418902</v>
      </c>
      <c r="K198" s="52" t="n">
        <f aca="false">IF(E198="","",E198/(E198+H198))</f>
        <v>0.313548387096774</v>
      </c>
      <c r="L198" s="64" t="n">
        <f aca="false">IF(OR(K198="",J198=""),"",(J198-K198)*100)</f>
        <v>0.190499732212746</v>
      </c>
      <c r="M198" s="21"/>
    </row>
    <row r="199" customFormat="false" ht="15" hidden="false" customHeight="false" outlineLevel="0" collapsed="false">
      <c r="A199" s="21" t="s">
        <v>189</v>
      </c>
      <c r="B199" s="21" t="s">
        <v>352</v>
      </c>
      <c r="C199" s="21" t="s">
        <v>354</v>
      </c>
      <c r="D199" s="37" t="n">
        <v>835</v>
      </c>
      <c r="E199" s="37" t="n">
        <v>841</v>
      </c>
      <c r="F199" s="63" t="n">
        <f aca="false">IF(E199="","",D199-E199)</f>
        <v>-6</v>
      </c>
      <c r="G199" s="37" t="n">
        <v>1647</v>
      </c>
      <c r="H199" s="37" t="n">
        <v>1653</v>
      </c>
      <c r="I199" s="63" t="n">
        <f aca="false">IF(H199="","",G199-H199)</f>
        <v>-6</v>
      </c>
      <c r="J199" s="52" t="n">
        <f aca="false">IF(OR(D199="",D199+G199=0),"",D199/(D199+G199))</f>
        <v>0.336422240128928</v>
      </c>
      <c r="K199" s="52" t="n">
        <f aca="false">IF(E199="","",E199/(E199+H199))</f>
        <v>0.337209302325581</v>
      </c>
      <c r="L199" s="64" t="n">
        <f aca="false">IF(OR(K199="",J199=""),"",(J199-K199)*100)</f>
        <v>-0.0787062196653088</v>
      </c>
      <c r="M199" s="21"/>
    </row>
    <row r="200" customFormat="false" ht="15" hidden="false" customHeight="false" outlineLevel="0" collapsed="false">
      <c r="A200" s="21" t="s">
        <v>189</v>
      </c>
      <c r="B200" s="21" t="s">
        <v>352</v>
      </c>
      <c r="C200" s="21" t="s">
        <v>355</v>
      </c>
      <c r="D200" s="37" t="n">
        <v>210</v>
      </c>
      <c r="E200" s="37" t="n">
        <v>182</v>
      </c>
      <c r="F200" s="63" t="n">
        <f aca="false">IF(E200="","",D200-E200)</f>
        <v>28</v>
      </c>
      <c r="G200" s="37" t="n">
        <v>463</v>
      </c>
      <c r="H200" s="37" t="n">
        <v>484</v>
      </c>
      <c r="I200" s="63" t="n">
        <f aca="false">IF(H200="","",G200-H200)</f>
        <v>-21</v>
      </c>
      <c r="J200" s="52" t="n">
        <f aca="false">IF(OR(D200="",D200+G200=0),"",D200/(D200+G200))</f>
        <v>0.312035661218425</v>
      </c>
      <c r="K200" s="52" t="n">
        <f aca="false">IF(E200="","",E200/(E200+H200))</f>
        <v>0.273273273273273</v>
      </c>
      <c r="L200" s="64" t="n">
        <f aca="false">IF(OR(K200="",J200=""),"",(J200-K200)*100)</f>
        <v>3.87623879451517</v>
      </c>
      <c r="M200" s="21"/>
    </row>
    <row r="201" customFormat="false" ht="15" hidden="false" customHeight="false" outlineLevel="0" collapsed="false">
      <c r="A201" s="21" t="s">
        <v>189</v>
      </c>
      <c r="B201" s="21" t="s">
        <v>356</v>
      </c>
      <c r="C201" s="21" t="s">
        <v>356</v>
      </c>
      <c r="D201" s="37" t="n">
        <v>1156</v>
      </c>
      <c r="E201" s="37" t="n">
        <v>1172</v>
      </c>
      <c r="F201" s="63" t="n">
        <f aca="false">IF(E201="","",D201-E201)</f>
        <v>-16</v>
      </c>
      <c r="G201" s="37" t="n">
        <v>2229</v>
      </c>
      <c r="H201" s="37" t="n">
        <v>2201</v>
      </c>
      <c r="I201" s="63" t="n">
        <f aca="false">IF(H201="","",G201-H201)</f>
        <v>28</v>
      </c>
      <c r="J201" s="52" t="n">
        <f aca="false">IF(OR(D201="",D201+G201=0),"",D201/(D201+G201))</f>
        <v>0.341506646971935</v>
      </c>
      <c r="K201" s="52" t="n">
        <f aca="false">IF(E201="","",E201/(E201+H201))</f>
        <v>0.347465164541951</v>
      </c>
      <c r="L201" s="64" t="n">
        <f aca="false">IF(OR(K201="",J201=""),"",(J201-K201)*100)</f>
        <v>-0.595851757001581</v>
      </c>
      <c r="M201" s="21"/>
    </row>
    <row r="202" customFormat="false" ht="15" hidden="false" customHeight="false" outlineLevel="0" collapsed="false">
      <c r="A202" s="21" t="s">
        <v>189</v>
      </c>
      <c r="B202" s="21" t="s">
        <v>357</v>
      </c>
      <c r="C202" s="21" t="s">
        <v>358</v>
      </c>
      <c r="D202" s="37" t="n">
        <v>794</v>
      </c>
      <c r="E202" s="37" t="n">
        <v>811</v>
      </c>
      <c r="F202" s="63" t="n">
        <f aca="false">IF(E202="","",D202-E202)</f>
        <v>-17</v>
      </c>
      <c r="G202" s="37" t="n">
        <v>923</v>
      </c>
      <c r="H202" s="37" t="n">
        <v>918</v>
      </c>
      <c r="I202" s="63" t="n">
        <f aca="false">IF(H202="","",G202-H202)</f>
        <v>5</v>
      </c>
      <c r="J202" s="52" t="n">
        <f aca="false">IF(OR(D202="",D202+G202=0),"",D202/(D202+G202))</f>
        <v>0.462434478741992</v>
      </c>
      <c r="K202" s="52" t="n">
        <f aca="false">IF(E202="","",E202/(E202+H202))</f>
        <v>0.469057258530943</v>
      </c>
      <c r="L202" s="64" t="n">
        <f aca="false">IF(OR(K202="",J202=""),"",(J202-K202)*100)</f>
        <v>-0.662277978895093</v>
      </c>
      <c r="M202" s="21"/>
    </row>
    <row r="203" customFormat="false" ht="15" hidden="false" customHeight="false" outlineLevel="0" collapsed="false">
      <c r="A203" s="21" t="s">
        <v>189</v>
      </c>
      <c r="B203" s="21" t="s">
        <v>357</v>
      </c>
      <c r="C203" s="21" t="s">
        <v>359</v>
      </c>
      <c r="D203" s="37" t="n">
        <v>608</v>
      </c>
      <c r="E203" s="37" t="n">
        <v>606</v>
      </c>
      <c r="F203" s="63" t="n">
        <f aca="false">IF(E203="","",D203-E203)</f>
        <v>2</v>
      </c>
      <c r="G203" s="37" t="n">
        <v>696</v>
      </c>
      <c r="H203" s="37" t="n">
        <v>669</v>
      </c>
      <c r="I203" s="63" t="n">
        <f aca="false">IF(H203="","",G203-H203)</f>
        <v>27</v>
      </c>
      <c r="J203" s="52" t="n">
        <f aca="false">IF(OR(D203="",D203+G203=0),"",D203/(D203+G203))</f>
        <v>0.466257668711656</v>
      </c>
      <c r="K203" s="52" t="n">
        <f aca="false">IF(E203="","",E203/(E203+H203))</f>
        <v>0.475294117647059</v>
      </c>
      <c r="L203" s="64" t="n">
        <f aca="false">IF(OR(K203="",J203=""),"",(J203-K203)*100)</f>
        <v>-0.90364489354024</v>
      </c>
      <c r="M203" s="21"/>
    </row>
    <row r="204" customFormat="false" ht="15" hidden="false" customHeight="false" outlineLevel="0" collapsed="false">
      <c r="A204" s="21" t="s">
        <v>189</v>
      </c>
      <c r="B204" s="21" t="s">
        <v>357</v>
      </c>
      <c r="C204" s="21" t="s">
        <v>360</v>
      </c>
      <c r="D204" s="37" t="n">
        <v>767</v>
      </c>
      <c r="E204" s="37" t="n">
        <v>732</v>
      </c>
      <c r="F204" s="63" t="n">
        <f aca="false">IF(E204="","",D204-E204)</f>
        <v>35</v>
      </c>
      <c r="G204" s="37" t="n">
        <v>595</v>
      </c>
      <c r="H204" s="37" t="n">
        <v>616</v>
      </c>
      <c r="I204" s="63" t="n">
        <f aca="false">IF(H204="","",G204-H204)</f>
        <v>-21</v>
      </c>
      <c r="J204" s="52" t="n">
        <f aca="false">IF(OR(D204="",D204+G204=0),"",D204/(D204+G204))</f>
        <v>0.563142437591777</v>
      </c>
      <c r="K204" s="52" t="n">
        <f aca="false">IF(E204="","",E204/(E204+H204))</f>
        <v>0.543026706231454</v>
      </c>
      <c r="L204" s="64" t="n">
        <f aca="false">IF(OR(K204="",J204=""),"",(J204-K204)*100)</f>
        <v>2.01157313603229</v>
      </c>
      <c r="M204" s="21"/>
    </row>
    <row r="205" customFormat="false" ht="15" hidden="false" customHeight="false" outlineLevel="0" collapsed="false">
      <c r="A205" s="21" t="s">
        <v>189</v>
      </c>
      <c r="B205" s="21" t="s">
        <v>357</v>
      </c>
      <c r="C205" s="21" t="s">
        <v>361</v>
      </c>
      <c r="D205" s="37" t="n">
        <v>901</v>
      </c>
      <c r="E205" s="37" t="n">
        <v>871</v>
      </c>
      <c r="F205" s="63" t="n">
        <f aca="false">IF(E205="","",D205-E205)</f>
        <v>30</v>
      </c>
      <c r="G205" s="37" t="n">
        <v>639</v>
      </c>
      <c r="H205" s="37" t="n">
        <v>616</v>
      </c>
      <c r="I205" s="63" t="n">
        <f aca="false">IF(H205="","",G205-H205)</f>
        <v>23</v>
      </c>
      <c r="J205" s="52" t="n">
        <f aca="false">IF(OR(D205="",D205+G205=0),"",D205/(D205+G205))</f>
        <v>0.585064935064935</v>
      </c>
      <c r="K205" s="52" t="n">
        <f aca="false">IF(E205="","",E205/(E205+H205))</f>
        <v>0.585743106926698</v>
      </c>
      <c r="L205" s="64" t="n">
        <f aca="false">IF(OR(K205="",J205=""),"",(J205-K205)*100)</f>
        <v>-0.0678171861763</v>
      </c>
      <c r="M205" s="21"/>
    </row>
    <row r="206" customFormat="false" ht="15" hidden="false" customHeight="false" outlineLevel="0" collapsed="false">
      <c r="A206" s="21" t="s">
        <v>189</v>
      </c>
      <c r="B206" s="21" t="s">
        <v>357</v>
      </c>
      <c r="C206" s="21" t="s">
        <v>362</v>
      </c>
      <c r="D206" s="37" t="n">
        <v>314</v>
      </c>
      <c r="E206" s="37" t="n">
        <v>305</v>
      </c>
      <c r="F206" s="63" t="n">
        <f aca="false">IF(E206="","",D206-E206)</f>
        <v>9</v>
      </c>
      <c r="G206" s="37" t="n">
        <v>261</v>
      </c>
      <c r="H206" s="37" t="n">
        <v>262</v>
      </c>
      <c r="I206" s="63" t="n">
        <f aca="false">IF(H206="","",G206-H206)</f>
        <v>-1</v>
      </c>
      <c r="J206" s="52" t="n">
        <f aca="false">IF(OR(D206="",D206+G206=0),"",D206/(D206+G206))</f>
        <v>0.546086956521739</v>
      </c>
      <c r="K206" s="52" t="n">
        <f aca="false">IF(E206="","",E206/(E206+H206))</f>
        <v>0.537918871252205</v>
      </c>
      <c r="L206" s="64" t="n">
        <f aca="false">IF(OR(K206="",J206=""),"",(J206-K206)*100)</f>
        <v>0.81680852695345</v>
      </c>
      <c r="M206" s="21"/>
    </row>
    <row r="207" customFormat="false" ht="15" hidden="false" customHeight="false" outlineLevel="0" collapsed="false">
      <c r="A207" s="21" t="s">
        <v>189</v>
      </c>
      <c r="B207" s="21" t="s">
        <v>357</v>
      </c>
      <c r="C207" s="21" t="s">
        <v>363</v>
      </c>
      <c r="D207" s="37" t="n">
        <v>572</v>
      </c>
      <c r="E207" s="37" t="n">
        <v>535</v>
      </c>
      <c r="F207" s="63" t="n">
        <f aca="false">IF(E207="","",D207-E207)</f>
        <v>37</v>
      </c>
      <c r="G207" s="37" t="n">
        <v>326</v>
      </c>
      <c r="H207" s="37" t="n">
        <v>364</v>
      </c>
      <c r="I207" s="63" t="n">
        <f aca="false">IF(H207="","",G207-H207)</f>
        <v>-38</v>
      </c>
      <c r="J207" s="52" t="n">
        <f aca="false">IF(OR(D207="",D207+G207=0),"",D207/(D207+G207))</f>
        <v>0.636971046770601</v>
      </c>
      <c r="K207" s="52" t="n">
        <f aca="false">IF(E207="","",E207/(E207+H207))</f>
        <v>0.595105672969967</v>
      </c>
      <c r="L207" s="64" t="n">
        <f aca="false">IF(OR(K207="",J207=""),"",(J207-K207)*100)</f>
        <v>4.18653738006347</v>
      </c>
      <c r="M207" s="21"/>
    </row>
    <row r="208" customFormat="false" ht="15" hidden="false" customHeight="false" outlineLevel="0" collapsed="false">
      <c r="A208" s="21" t="s">
        <v>189</v>
      </c>
      <c r="B208" s="21" t="s">
        <v>357</v>
      </c>
      <c r="C208" s="21" t="s">
        <v>364</v>
      </c>
      <c r="D208" s="37" t="n">
        <v>531</v>
      </c>
      <c r="E208" s="37" t="n">
        <v>564</v>
      </c>
      <c r="F208" s="63" t="n">
        <f aca="false">IF(E208="","",D208-E208)</f>
        <v>-33</v>
      </c>
      <c r="G208" s="37" t="n">
        <v>440</v>
      </c>
      <c r="H208" s="37" t="n">
        <v>451</v>
      </c>
      <c r="I208" s="63" t="n">
        <f aca="false">IF(H208="","",G208-H208)</f>
        <v>-11</v>
      </c>
      <c r="J208" s="52" t="n">
        <f aca="false">IF(OR(D208="",D208+G208=0),"",D208/(D208+G208))</f>
        <v>0.546858908341916</v>
      </c>
      <c r="K208" s="52" t="n">
        <f aca="false">IF(E208="","",E208/(E208+H208))</f>
        <v>0.555665024630542</v>
      </c>
      <c r="L208" s="64" t="n">
        <f aca="false">IF(OR(K208="",J208=""),"",(J208-K208)*100)</f>
        <v>-0.880611628862638</v>
      </c>
      <c r="M208" s="21"/>
    </row>
    <row r="209" customFormat="false" ht="15" hidden="false" customHeight="false" outlineLevel="0" collapsed="false">
      <c r="A209" s="21" t="s">
        <v>189</v>
      </c>
      <c r="B209" s="21" t="s">
        <v>357</v>
      </c>
      <c r="C209" s="21" t="s">
        <v>365</v>
      </c>
      <c r="D209" s="37" t="n">
        <v>273</v>
      </c>
      <c r="E209" s="37" t="n">
        <v>279</v>
      </c>
      <c r="F209" s="63" t="n">
        <f aca="false">IF(E209="","",D209-E209)</f>
        <v>-6</v>
      </c>
      <c r="G209" s="37" t="n">
        <v>311</v>
      </c>
      <c r="H209" s="37" t="n">
        <v>318</v>
      </c>
      <c r="I209" s="63" t="n">
        <f aca="false">IF(H209="","",G209-H209)</f>
        <v>-7</v>
      </c>
      <c r="J209" s="52" t="n">
        <f aca="false">IF(OR(D209="",D209+G209=0),"",D209/(D209+G209))</f>
        <v>0.467465753424658</v>
      </c>
      <c r="K209" s="52" t="n">
        <f aca="false">IF(E209="","",E209/(E209+H209))</f>
        <v>0.467336683417085</v>
      </c>
      <c r="L209" s="64" t="n">
        <f aca="false">IF(OR(K209="",J209=""),"",(J209-K209)*100)</f>
        <v>0.0129070007572063</v>
      </c>
      <c r="M209" s="21"/>
    </row>
    <row r="210" customFormat="false" ht="15" hidden="false" customHeight="false" outlineLevel="0" collapsed="false">
      <c r="A210" s="21" t="s">
        <v>189</v>
      </c>
      <c r="B210" s="21" t="s">
        <v>357</v>
      </c>
      <c r="C210" s="21" t="s">
        <v>366</v>
      </c>
      <c r="D210" s="37" t="n">
        <v>590</v>
      </c>
      <c r="E210" s="37" t="n">
        <v>571</v>
      </c>
      <c r="F210" s="63" t="n">
        <f aca="false">IF(E210="","",D210-E210)</f>
        <v>19</v>
      </c>
      <c r="G210" s="37" t="n">
        <v>544</v>
      </c>
      <c r="H210" s="37" t="n">
        <v>544</v>
      </c>
      <c r="I210" s="63" t="n">
        <f aca="false">IF(H210="","",G210-H210)</f>
        <v>0</v>
      </c>
      <c r="J210" s="52" t="n">
        <f aca="false">IF(OR(D210="",D210+G210=0),"",D210/(D210+G210))</f>
        <v>0.520282186948854</v>
      </c>
      <c r="K210" s="52" t="n">
        <f aca="false">IF(E210="","",E210/(E210+H210))</f>
        <v>0.512107623318386</v>
      </c>
      <c r="L210" s="64" t="n">
        <f aca="false">IF(OR(K210="",J210=""),"",(J210-K210)*100)</f>
        <v>0.817456363046798</v>
      </c>
      <c r="M210" s="21"/>
    </row>
    <row r="211" customFormat="false" ht="15" hidden="false" customHeight="false" outlineLevel="0" collapsed="false">
      <c r="A211" s="21" t="s">
        <v>189</v>
      </c>
      <c r="B211" s="21" t="s">
        <v>357</v>
      </c>
      <c r="C211" s="21" t="s">
        <v>367</v>
      </c>
      <c r="D211" s="37" t="n">
        <v>852</v>
      </c>
      <c r="E211" s="37" t="n">
        <v>829</v>
      </c>
      <c r="F211" s="63" t="n">
        <f aca="false">IF(E211="","",D211-E211)</f>
        <v>23</v>
      </c>
      <c r="G211" s="37" t="n">
        <v>942</v>
      </c>
      <c r="H211" s="37" t="n">
        <v>968</v>
      </c>
      <c r="I211" s="63" t="n">
        <f aca="false">IF(H211="","",G211-H211)</f>
        <v>-26</v>
      </c>
      <c r="J211" s="52" t="n">
        <f aca="false">IF(OR(D211="",D211+G211=0),"",D211/(D211+G211))</f>
        <v>0.474916387959866</v>
      </c>
      <c r="K211" s="52" t="n">
        <f aca="false">IF(E211="","",E211/(E211+H211))</f>
        <v>0.461324429604897</v>
      </c>
      <c r="L211" s="64" t="n">
        <f aca="false">IF(OR(K211="",J211=""),"",(J211-K211)*100)</f>
        <v>1.35919583549692</v>
      </c>
      <c r="M211" s="21"/>
    </row>
    <row r="212" customFormat="false" ht="15" hidden="false" customHeight="false" outlineLevel="0" collapsed="false">
      <c r="A212" s="21" t="s">
        <v>189</v>
      </c>
      <c r="B212" s="21" t="s">
        <v>357</v>
      </c>
      <c r="C212" s="21" t="s">
        <v>368</v>
      </c>
      <c r="D212" s="37" t="n">
        <v>701</v>
      </c>
      <c r="E212" s="37" t="n">
        <v>698</v>
      </c>
      <c r="F212" s="63" t="n">
        <f aca="false">IF(E212="","",D212-E212)</f>
        <v>3</v>
      </c>
      <c r="G212" s="37" t="n">
        <v>741</v>
      </c>
      <c r="H212" s="37" t="n">
        <v>748</v>
      </c>
      <c r="I212" s="63" t="n">
        <f aca="false">IF(H212="","",G212-H212)</f>
        <v>-7</v>
      </c>
      <c r="J212" s="52" t="n">
        <f aca="false">IF(OR(D212="",D212+G212=0),"",D212/(D212+G212))</f>
        <v>0.486130374479889</v>
      </c>
      <c r="K212" s="52" t="n">
        <f aca="false">IF(E212="","",E212/(E212+H212))</f>
        <v>0.482710926694329</v>
      </c>
      <c r="L212" s="64" t="n">
        <f aca="false">IF(OR(K212="",J212=""),"",(J212-K212)*100)</f>
        <v>0.341944778555986</v>
      </c>
      <c r="M212" s="21"/>
    </row>
    <row r="213" customFormat="false" ht="15" hidden="false" customHeight="false" outlineLevel="0" collapsed="false">
      <c r="A213" s="21" t="s">
        <v>189</v>
      </c>
      <c r="B213" s="21" t="s">
        <v>357</v>
      </c>
      <c r="C213" s="21" t="s">
        <v>369</v>
      </c>
      <c r="D213" s="37" t="n">
        <v>599</v>
      </c>
      <c r="E213" s="37" t="n">
        <v>582</v>
      </c>
      <c r="F213" s="63" t="n">
        <f aca="false">IF(E213="","",D213-E213)</f>
        <v>17</v>
      </c>
      <c r="G213" s="37" t="n">
        <v>577</v>
      </c>
      <c r="H213" s="37" t="n">
        <v>562</v>
      </c>
      <c r="I213" s="63" t="n">
        <f aca="false">IF(H213="","",G213-H213)</f>
        <v>15</v>
      </c>
      <c r="J213" s="52" t="n">
        <f aca="false">IF(OR(D213="",D213+G213=0),"",D213/(D213+G213))</f>
        <v>0.509353741496599</v>
      </c>
      <c r="K213" s="52" t="n">
        <f aca="false">IF(E213="","",E213/(E213+H213))</f>
        <v>0.508741258741259</v>
      </c>
      <c r="L213" s="64" t="n">
        <f aca="false">IF(OR(K213="",J213=""),"",(J213-K213)*100)</f>
        <v>0.0612482755339872</v>
      </c>
      <c r="M213" s="21"/>
    </row>
    <row r="214" customFormat="false" ht="15" hidden="false" customHeight="false" outlineLevel="0" collapsed="false">
      <c r="A214" s="21" t="s">
        <v>370</v>
      </c>
      <c r="B214" s="21" t="s">
        <v>371</v>
      </c>
      <c r="C214" s="21" t="s">
        <v>372</v>
      </c>
      <c r="D214" s="37" t="n">
        <v>473</v>
      </c>
      <c r="E214" s="37" t="n">
        <v>471</v>
      </c>
      <c r="F214" s="63" t="n">
        <f aca="false">IF(E214="","",D214-E214)</f>
        <v>2</v>
      </c>
      <c r="G214" s="37" t="n">
        <v>1071</v>
      </c>
      <c r="H214" s="37" t="n">
        <v>1124</v>
      </c>
      <c r="I214" s="63" t="n">
        <f aca="false">IF(H214="","",G214-H214)</f>
        <v>-53</v>
      </c>
      <c r="J214" s="52" t="n">
        <f aca="false">IF(OR(D214="",D214+G214=0),"",D214/(D214+G214))</f>
        <v>0.306347150259067</v>
      </c>
      <c r="K214" s="52" t="n">
        <f aca="false">IF(E214="","",E214/(E214+H214))</f>
        <v>0.295297805642633</v>
      </c>
      <c r="L214" s="64" t="n">
        <f aca="false">IF(OR(K214="",J214=""),"",(J214-K214)*100)</f>
        <v>1.10493446164341</v>
      </c>
      <c r="M214" s="21"/>
    </row>
    <row r="215" customFormat="false" ht="15" hidden="false" customHeight="false" outlineLevel="0" collapsed="false">
      <c r="A215" s="21" t="s">
        <v>370</v>
      </c>
      <c r="B215" s="21" t="s">
        <v>373</v>
      </c>
      <c r="C215" s="21" t="s">
        <v>374</v>
      </c>
      <c r="D215" s="37" t="n">
        <v>1333</v>
      </c>
      <c r="E215" s="37" t="n">
        <v>1414</v>
      </c>
      <c r="F215" s="63" t="n">
        <f aca="false">IF(E215="","",D215-E215)</f>
        <v>-81</v>
      </c>
      <c r="G215" s="37" t="n">
        <v>2836</v>
      </c>
      <c r="H215" s="37" t="n">
        <v>2894</v>
      </c>
      <c r="I215" s="63" t="n">
        <f aca="false">IF(H215="","",G215-H215)</f>
        <v>-58</v>
      </c>
      <c r="J215" s="52" t="n">
        <f aca="false">IF(OR(D215="",D215+G215=0),"",D215/(D215+G215))</f>
        <v>0.31974094507076</v>
      </c>
      <c r="K215" s="52" t="n">
        <f aca="false">IF(E215="","",E215/(E215+H215))</f>
        <v>0.328226555246054</v>
      </c>
      <c r="L215" s="64" t="n">
        <f aca="false">IF(OR(K215="",J215=""),"",(J215-K215)*100)</f>
        <v>-0.848561017529348</v>
      </c>
      <c r="M215" s="21"/>
    </row>
    <row r="216" customFormat="false" ht="15" hidden="false" customHeight="false" outlineLevel="0" collapsed="false">
      <c r="A216" s="21" t="s">
        <v>370</v>
      </c>
      <c r="B216" s="21" t="s">
        <v>375</v>
      </c>
      <c r="C216" s="21" t="s">
        <v>376</v>
      </c>
      <c r="D216" s="37" t="n">
        <v>933</v>
      </c>
      <c r="E216" s="37" t="n">
        <v>521</v>
      </c>
      <c r="F216" s="63" t="n">
        <f aca="false">IF(E216="","",D216-E216)</f>
        <v>412</v>
      </c>
      <c r="G216" s="37" t="n">
        <v>1987</v>
      </c>
      <c r="H216" s="37" t="n">
        <v>997</v>
      </c>
      <c r="I216" s="63" t="n">
        <f aca="false">IF(H216="","",G216-H216)</f>
        <v>990</v>
      </c>
      <c r="J216" s="52" t="n">
        <f aca="false">IF(OR(D216="",D216+G216=0),"",D216/(D216+G216))</f>
        <v>0.319520547945205</v>
      </c>
      <c r="K216" s="52" t="n">
        <f aca="false">IF(E216="","",E216/(E216+H216))</f>
        <v>0.343214756258235</v>
      </c>
      <c r="L216" s="64" t="n">
        <f aca="false">IF(OR(K216="",J216=""),"",(J216-K216)*100)</f>
        <v>-2.3694208313029</v>
      </c>
      <c r="M216" s="21"/>
    </row>
    <row r="217" customFormat="false" ht="15" hidden="false" customHeight="false" outlineLevel="0" collapsed="false">
      <c r="A217" s="21" t="s">
        <v>377</v>
      </c>
      <c r="B217" s="21" t="s">
        <v>378</v>
      </c>
      <c r="C217" s="21" t="s">
        <v>379</v>
      </c>
      <c r="D217" s="37" t="n">
        <v>682</v>
      </c>
      <c r="E217" s="37" t="n">
        <v>687</v>
      </c>
      <c r="F217" s="63" t="n">
        <f aca="false">IF(E217="","",D217-E217)</f>
        <v>-5</v>
      </c>
      <c r="G217" s="37" t="n">
        <v>1015</v>
      </c>
      <c r="H217" s="37" t="n">
        <v>1009</v>
      </c>
      <c r="I217" s="63" t="n">
        <f aca="false">IF(H217="","",G217-H217)</f>
        <v>6</v>
      </c>
      <c r="J217" s="52" t="n">
        <f aca="false">IF(OR(D217="",D217+G217=0),"",D217/(D217+G217))</f>
        <v>0.401885680612846</v>
      </c>
      <c r="K217" s="52" t="n">
        <f aca="false">IF(E217="","",E217/(E217+H217))</f>
        <v>0.405070754716981</v>
      </c>
      <c r="L217" s="64" t="n">
        <f aca="false">IF(OR(K217="",J217=""),"",(J217-K217)*100)</f>
        <v>-0.318507410413493</v>
      </c>
      <c r="M217" s="21"/>
    </row>
    <row r="218" customFormat="false" ht="15" hidden="false" customHeight="false" outlineLevel="0" collapsed="false">
      <c r="A218" s="21" t="s">
        <v>377</v>
      </c>
      <c r="B218" s="21" t="s">
        <v>378</v>
      </c>
      <c r="C218" s="21" t="s">
        <v>380</v>
      </c>
      <c r="D218" s="37" t="n">
        <v>840</v>
      </c>
      <c r="E218" s="37" t="n">
        <v>824</v>
      </c>
      <c r="F218" s="63" t="n">
        <f aca="false">IF(E218="","",D218-E218)</f>
        <v>16</v>
      </c>
      <c r="G218" s="37" t="n">
        <v>926</v>
      </c>
      <c r="H218" s="37" t="n">
        <v>1009</v>
      </c>
      <c r="I218" s="63" t="n">
        <f aca="false">IF(H218="","",G218-H218)</f>
        <v>-83</v>
      </c>
      <c r="J218" s="52" t="n">
        <f aca="false">IF(OR(D218="",D218+G218=0),"",D218/(D218+G218))</f>
        <v>0.475651189127973</v>
      </c>
      <c r="K218" s="52" t="n">
        <f aca="false">IF(E218="","",E218/(E218+H218))</f>
        <v>0.449536279323513</v>
      </c>
      <c r="L218" s="64" t="n">
        <f aca="false">IF(OR(K218="",J218=""),"",(J218-K218)*100)</f>
        <v>2.61149098044595</v>
      </c>
      <c r="M218" s="21"/>
    </row>
    <row r="219" customFormat="false" ht="15" hidden="false" customHeight="false" outlineLevel="0" collapsed="false">
      <c r="A219" s="21" t="s">
        <v>377</v>
      </c>
      <c r="B219" s="21" t="s">
        <v>381</v>
      </c>
      <c r="C219" s="21" t="s">
        <v>382</v>
      </c>
      <c r="D219" s="37" t="n">
        <v>459</v>
      </c>
      <c r="E219" s="37"/>
      <c r="F219" s="63" t="str">
        <f aca="false">IF(E219="","",D219-E219)</f>
        <v/>
      </c>
      <c r="G219" s="37" t="n">
        <v>664</v>
      </c>
      <c r="H219" s="37"/>
      <c r="I219" s="63" t="str">
        <f aca="false">IF(H219="","",G219-H219)</f>
        <v/>
      </c>
      <c r="J219" s="52" t="n">
        <f aca="false">IF(OR(D219="",D219+G219=0),"",D219/(D219+G219))</f>
        <v>0.408726625111309</v>
      </c>
      <c r="K219" s="52" t="str">
        <f aca="false">IF(E219="","",E219/(E219+H219))</f>
        <v/>
      </c>
      <c r="L219" s="64" t="str">
        <f aca="false">IF(OR(K219="",J219=""),"",(J219-K219)*100)</f>
        <v/>
      </c>
      <c r="M219" s="21" t="s">
        <v>685</v>
      </c>
    </row>
    <row r="220" customFormat="false" ht="15" hidden="false" customHeight="false" outlineLevel="0" collapsed="false">
      <c r="A220" s="21" t="s">
        <v>377</v>
      </c>
      <c r="B220" s="21" t="s">
        <v>381</v>
      </c>
      <c r="C220" s="21" t="s">
        <v>383</v>
      </c>
      <c r="D220" s="37" t="n">
        <v>492</v>
      </c>
      <c r="E220" s="37"/>
      <c r="F220" s="63" t="str">
        <f aca="false">IF(E220="","",D220-E220)</f>
        <v/>
      </c>
      <c r="G220" s="37" t="n">
        <v>697</v>
      </c>
      <c r="H220" s="37"/>
      <c r="I220" s="63" t="str">
        <f aca="false">IF(H220="","",G220-H220)</f>
        <v/>
      </c>
      <c r="J220" s="52" t="n">
        <f aca="false">IF(OR(D220="",D220+G220=0),"",D220/(D220+G220))</f>
        <v>0.413793103448276</v>
      </c>
      <c r="K220" s="52" t="str">
        <f aca="false">IF(E220="","",E220/(E220+H220))</f>
        <v/>
      </c>
      <c r="L220" s="64" t="str">
        <f aca="false">IF(OR(K220="",J220=""),"",(J220-K220)*100)</f>
        <v/>
      </c>
      <c r="M220" s="21" t="s">
        <v>685</v>
      </c>
    </row>
    <row r="221" customFormat="false" ht="15" hidden="false" customHeight="false" outlineLevel="0" collapsed="false">
      <c r="A221" s="21" t="s">
        <v>377</v>
      </c>
      <c r="B221" s="21" t="s">
        <v>384</v>
      </c>
      <c r="C221" s="21" t="s">
        <v>385</v>
      </c>
      <c r="D221" s="37" t="n">
        <v>613</v>
      </c>
      <c r="E221" s="37" t="n">
        <v>623</v>
      </c>
      <c r="F221" s="63" t="n">
        <f aca="false">IF(E221="","",D221-E221)</f>
        <v>-10</v>
      </c>
      <c r="G221" s="37" t="n">
        <v>757</v>
      </c>
      <c r="H221" s="37" t="n">
        <v>726</v>
      </c>
      <c r="I221" s="63" t="n">
        <f aca="false">IF(H221="","",G221-H221)</f>
        <v>31</v>
      </c>
      <c r="J221" s="52" t="n">
        <f aca="false">IF(OR(D221="",D221+G221=0),"",D221/(D221+G221))</f>
        <v>0.447445255474453</v>
      </c>
      <c r="K221" s="52" t="n">
        <f aca="false">IF(E221="","",E221/(E221+H221))</f>
        <v>0.46182357301705</v>
      </c>
      <c r="L221" s="64" t="n">
        <f aca="false">IF(OR(K221="",J221=""),"",(J221-K221)*100)</f>
        <v>-1.43783175425971</v>
      </c>
      <c r="M221" s="21"/>
    </row>
    <row r="222" customFormat="false" ht="15" hidden="false" customHeight="false" outlineLevel="0" collapsed="false">
      <c r="A222" s="21" t="s">
        <v>377</v>
      </c>
      <c r="B222" s="21" t="s">
        <v>252</v>
      </c>
      <c r="C222" s="21" t="s">
        <v>386</v>
      </c>
      <c r="D222" s="37" t="n">
        <v>703</v>
      </c>
      <c r="E222" s="37" t="n">
        <v>775</v>
      </c>
      <c r="F222" s="63" t="n">
        <f aca="false">IF(E222="","",D222-E222)</f>
        <v>-72</v>
      </c>
      <c r="G222" s="37" t="n">
        <v>474</v>
      </c>
      <c r="H222" s="37" t="n">
        <v>447</v>
      </c>
      <c r="I222" s="63" t="n">
        <f aca="false">IF(H222="","",G222-H222)</f>
        <v>27</v>
      </c>
      <c r="J222" s="52" t="n">
        <f aca="false">IF(OR(D222="",D222+G222=0),"",D222/(D222+G222))</f>
        <v>0.597281223449448</v>
      </c>
      <c r="K222" s="52" t="n">
        <f aca="false">IF(E222="","",E222/(E222+H222))</f>
        <v>0.634206219312602</v>
      </c>
      <c r="L222" s="64" t="n">
        <f aca="false">IF(OR(K222="",J222=""),"",(J222-K222)*100)</f>
        <v>-3.69249958631545</v>
      </c>
      <c r="M222" s="21"/>
    </row>
    <row r="223" customFormat="false" ht="15" hidden="false" customHeight="false" outlineLevel="0" collapsed="false">
      <c r="A223" s="21" t="s">
        <v>377</v>
      </c>
      <c r="B223" s="21" t="s">
        <v>252</v>
      </c>
      <c r="C223" s="21" t="s">
        <v>387</v>
      </c>
      <c r="D223" s="37" t="n">
        <v>964</v>
      </c>
      <c r="E223" s="37" t="n">
        <v>982</v>
      </c>
      <c r="F223" s="63" t="n">
        <f aca="false">IF(E223="","",D223-E223)</f>
        <v>-18</v>
      </c>
      <c r="G223" s="37" t="n">
        <v>675</v>
      </c>
      <c r="H223" s="37" t="n">
        <v>684</v>
      </c>
      <c r="I223" s="63" t="n">
        <f aca="false">IF(H223="","",G223-H223)</f>
        <v>-9</v>
      </c>
      <c r="J223" s="52" t="n">
        <f aca="false">IF(OR(D223="",D223+G223=0),"",D223/(D223+G223))</f>
        <v>0.588163514338011</v>
      </c>
      <c r="K223" s="52" t="n">
        <f aca="false">IF(E223="","",E223/(E223+H223))</f>
        <v>0.589435774309724</v>
      </c>
      <c r="L223" s="64" t="n">
        <f aca="false">IF(OR(K223="",J223=""),"",(J223-K223)*100)</f>
        <v>-0.127225997171299</v>
      </c>
      <c r="M223" s="21"/>
    </row>
    <row r="224" customFormat="false" ht="15" hidden="false" customHeight="false" outlineLevel="0" collapsed="false">
      <c r="A224" s="21" t="s">
        <v>377</v>
      </c>
      <c r="B224" s="21" t="s">
        <v>252</v>
      </c>
      <c r="C224" s="21" t="s">
        <v>388</v>
      </c>
      <c r="D224" s="37" t="n">
        <v>741</v>
      </c>
      <c r="E224" s="37" t="n">
        <v>750</v>
      </c>
      <c r="F224" s="63" t="n">
        <f aca="false">IF(E224="","",D224-E224)</f>
        <v>-9</v>
      </c>
      <c r="G224" s="37" t="n">
        <v>420</v>
      </c>
      <c r="H224" s="37" t="n">
        <v>421</v>
      </c>
      <c r="I224" s="63" t="n">
        <f aca="false">IF(H224="","",G224-H224)</f>
        <v>-1</v>
      </c>
      <c r="J224" s="52" t="n">
        <f aca="false">IF(OR(D224="",D224+G224=0),"",D224/(D224+G224))</f>
        <v>0.638242894056848</v>
      </c>
      <c r="K224" s="52" t="n">
        <f aca="false">IF(E224="","",E224/(E224+H224))</f>
        <v>0.640478223740393</v>
      </c>
      <c r="L224" s="64" t="n">
        <f aca="false">IF(OR(K224="",J224=""),"",(J224-K224)*100)</f>
        <v>-0.223532968354534</v>
      </c>
      <c r="M224" s="21"/>
    </row>
    <row r="225" customFormat="false" ht="15" hidden="false" customHeight="false" outlineLevel="0" collapsed="false">
      <c r="A225" s="21" t="s">
        <v>377</v>
      </c>
      <c r="B225" s="21" t="s">
        <v>252</v>
      </c>
      <c r="C225" s="21" t="s">
        <v>389</v>
      </c>
      <c r="D225" s="37" t="n">
        <v>573</v>
      </c>
      <c r="E225" s="37" t="n">
        <v>592</v>
      </c>
      <c r="F225" s="63" t="n">
        <f aca="false">IF(E225="","",D225-E225)</f>
        <v>-19</v>
      </c>
      <c r="G225" s="37" t="n">
        <v>360</v>
      </c>
      <c r="H225" s="37" t="n">
        <v>337</v>
      </c>
      <c r="I225" s="63" t="n">
        <f aca="false">IF(H225="","",G225-H225)</f>
        <v>23</v>
      </c>
      <c r="J225" s="52" t="n">
        <f aca="false">IF(OR(D225="",D225+G225=0),"",D225/(D225+G225))</f>
        <v>0.614147909967846</v>
      </c>
      <c r="K225" s="52" t="n">
        <f aca="false">IF(E225="","",E225/(E225+H225))</f>
        <v>0.63724434876211</v>
      </c>
      <c r="L225" s="64" t="n">
        <f aca="false">IF(OR(K225="",J225=""),"",(J225-K225)*100)</f>
        <v>-2.30964387942642</v>
      </c>
      <c r="M225" s="21"/>
    </row>
    <row r="226" customFormat="false" ht="15" hidden="false" customHeight="false" outlineLevel="0" collapsed="false">
      <c r="A226" s="21" t="s">
        <v>377</v>
      </c>
      <c r="B226" s="21" t="s">
        <v>252</v>
      </c>
      <c r="C226" s="21" t="s">
        <v>390</v>
      </c>
      <c r="D226" s="37" t="n">
        <v>752</v>
      </c>
      <c r="E226" s="37" t="n">
        <v>740</v>
      </c>
      <c r="F226" s="63" t="n">
        <f aca="false">IF(E226="","",D226-E226)</f>
        <v>12</v>
      </c>
      <c r="G226" s="37" t="n">
        <v>530</v>
      </c>
      <c r="H226" s="37" t="n">
        <v>506</v>
      </c>
      <c r="I226" s="63" t="n">
        <f aca="false">IF(H226="","",G226-H226)</f>
        <v>24</v>
      </c>
      <c r="J226" s="52" t="n">
        <f aca="false">IF(OR(D226="",D226+G226=0),"",D226/(D226+G226))</f>
        <v>0.586583463338534</v>
      </c>
      <c r="K226" s="52" t="n">
        <f aca="false">IF(E226="","",E226/(E226+H226))</f>
        <v>0.593900481540931</v>
      </c>
      <c r="L226" s="64" t="n">
        <f aca="false">IF(OR(K226="",J226=""),"",(J226-K226)*100)</f>
        <v>-0.73170182023975</v>
      </c>
      <c r="M226" s="21"/>
    </row>
    <row r="227" customFormat="false" ht="15" hidden="false" customHeight="false" outlineLevel="0" collapsed="false">
      <c r="A227" s="21" t="s">
        <v>377</v>
      </c>
      <c r="B227" s="21" t="s">
        <v>252</v>
      </c>
      <c r="C227" s="21" t="s">
        <v>391</v>
      </c>
      <c r="D227" s="37" t="n">
        <v>1023</v>
      </c>
      <c r="E227" s="37" t="n">
        <v>1037</v>
      </c>
      <c r="F227" s="63" t="n">
        <f aca="false">IF(E227="","",D227-E227)</f>
        <v>-14</v>
      </c>
      <c r="G227" s="37" t="n">
        <v>635</v>
      </c>
      <c r="H227" s="37" t="n">
        <v>623</v>
      </c>
      <c r="I227" s="63" t="n">
        <f aca="false">IF(H227="","",G227-H227)</f>
        <v>12</v>
      </c>
      <c r="J227" s="52" t="n">
        <f aca="false">IF(OR(D227="",D227+G227=0),"",D227/(D227+G227))</f>
        <v>0.617008443908323</v>
      </c>
      <c r="K227" s="52" t="n">
        <f aca="false">IF(E227="","",E227/(E227+H227))</f>
        <v>0.624698795180723</v>
      </c>
      <c r="L227" s="64" t="n">
        <f aca="false">IF(OR(K227="",J227=""),"",(J227-K227)*100)</f>
        <v>-0.769035127239959</v>
      </c>
      <c r="M227" s="21"/>
    </row>
    <row r="228" customFormat="false" ht="15" hidden="false" customHeight="false" outlineLevel="0" collapsed="false">
      <c r="A228" s="21" t="s">
        <v>377</v>
      </c>
      <c r="B228" s="21" t="s">
        <v>252</v>
      </c>
      <c r="C228" s="21" t="s">
        <v>392</v>
      </c>
      <c r="D228" s="37" t="n">
        <v>662</v>
      </c>
      <c r="E228" s="37" t="n">
        <v>681</v>
      </c>
      <c r="F228" s="63" t="n">
        <f aca="false">IF(E228="","",D228-E228)</f>
        <v>-19</v>
      </c>
      <c r="G228" s="37" t="n">
        <v>502</v>
      </c>
      <c r="H228" s="37" t="n">
        <v>513</v>
      </c>
      <c r="I228" s="63" t="n">
        <f aca="false">IF(H228="","",G228-H228)</f>
        <v>-11</v>
      </c>
      <c r="J228" s="52" t="n">
        <f aca="false">IF(OR(D228="",D228+G228=0),"",D228/(D228+G228))</f>
        <v>0.56872852233677</v>
      </c>
      <c r="K228" s="52" t="n">
        <f aca="false">IF(E228="","",E228/(E228+H228))</f>
        <v>0.57035175879397</v>
      </c>
      <c r="L228" s="64" t="n">
        <f aca="false">IF(OR(K228="",J228=""),"",(J228-K228)*100)</f>
        <v>-0.162323645720008</v>
      </c>
      <c r="M228" s="21"/>
    </row>
    <row r="229" customFormat="false" ht="15" hidden="false" customHeight="false" outlineLevel="0" collapsed="false">
      <c r="A229" s="21" t="s">
        <v>377</v>
      </c>
      <c r="B229" s="21" t="s">
        <v>252</v>
      </c>
      <c r="C229" s="21" t="s">
        <v>393</v>
      </c>
      <c r="D229" s="37" t="n">
        <v>519</v>
      </c>
      <c r="E229" s="37" t="n">
        <v>529</v>
      </c>
      <c r="F229" s="63" t="n">
        <f aca="false">IF(E229="","",D229-E229)</f>
        <v>-10</v>
      </c>
      <c r="G229" s="37" t="n">
        <v>325</v>
      </c>
      <c r="H229" s="37" t="n">
        <v>293</v>
      </c>
      <c r="I229" s="63" t="n">
        <f aca="false">IF(H229="","",G229-H229)</f>
        <v>32</v>
      </c>
      <c r="J229" s="52" t="n">
        <f aca="false">IF(OR(D229="",D229+G229=0),"",D229/(D229+G229))</f>
        <v>0.614928909952607</v>
      </c>
      <c r="K229" s="52" t="n">
        <f aca="false">IF(E229="","",E229/(E229+H229))</f>
        <v>0.643552311435523</v>
      </c>
      <c r="L229" s="64" t="n">
        <f aca="false">IF(OR(K229="",J229=""),"",(J229-K229)*100)</f>
        <v>-2.86234014829165</v>
      </c>
      <c r="M229" s="21"/>
    </row>
    <row r="230" customFormat="false" ht="15" hidden="false" customHeight="false" outlineLevel="0" collapsed="false">
      <c r="A230" s="21" t="s">
        <v>377</v>
      </c>
      <c r="B230" s="21" t="s">
        <v>252</v>
      </c>
      <c r="C230" s="21" t="s">
        <v>394</v>
      </c>
      <c r="D230" s="37" t="n">
        <v>734</v>
      </c>
      <c r="E230" s="37" t="n">
        <v>767</v>
      </c>
      <c r="F230" s="63" t="n">
        <f aca="false">IF(E230="","",D230-E230)</f>
        <v>-33</v>
      </c>
      <c r="G230" s="37" t="n">
        <v>381</v>
      </c>
      <c r="H230" s="37" t="n">
        <v>384</v>
      </c>
      <c r="I230" s="63" t="n">
        <f aca="false">IF(H230="","",G230-H230)</f>
        <v>-3</v>
      </c>
      <c r="J230" s="52" t="n">
        <f aca="false">IF(OR(D230="",D230+G230=0),"",D230/(D230+G230))</f>
        <v>0.658295964125561</v>
      </c>
      <c r="K230" s="52" t="n">
        <f aca="false">IF(E230="","",E230/(E230+H230))</f>
        <v>0.66637706342311</v>
      </c>
      <c r="L230" s="64" t="n">
        <f aca="false">IF(OR(K230="",J230=""),"",(J230-K230)*100)</f>
        <v>-0.808109929754974</v>
      </c>
      <c r="M230" s="21"/>
    </row>
    <row r="231" customFormat="false" ht="15" hidden="false" customHeight="false" outlineLevel="0" collapsed="false">
      <c r="A231" s="21" t="s">
        <v>377</v>
      </c>
      <c r="B231" s="21" t="s">
        <v>252</v>
      </c>
      <c r="C231" s="21" t="s">
        <v>395</v>
      </c>
      <c r="D231" s="37" t="n">
        <v>901</v>
      </c>
      <c r="E231" s="37" t="n">
        <v>906</v>
      </c>
      <c r="F231" s="63" t="n">
        <f aca="false">IF(E231="","",D231-E231)</f>
        <v>-5</v>
      </c>
      <c r="G231" s="37" t="n">
        <v>584</v>
      </c>
      <c r="H231" s="37" t="n">
        <v>586</v>
      </c>
      <c r="I231" s="63" t="n">
        <f aca="false">IF(H231="","",G231-H231)</f>
        <v>-2</v>
      </c>
      <c r="J231" s="52" t="n">
        <f aca="false">IF(OR(D231="",D231+G231=0),"",D231/(D231+G231))</f>
        <v>0.606734006734007</v>
      </c>
      <c r="K231" s="52" t="n">
        <f aca="false">IF(E231="","",E231/(E231+H231))</f>
        <v>0.607238605898123</v>
      </c>
      <c r="L231" s="64" t="n">
        <f aca="false">IF(OR(K231="",J231=""),"",(J231-K231)*100)</f>
        <v>-0.0504599164116604</v>
      </c>
      <c r="M231" s="21"/>
    </row>
    <row r="232" customFormat="false" ht="15" hidden="false" customHeight="false" outlineLevel="0" collapsed="false">
      <c r="A232" s="21" t="s">
        <v>377</v>
      </c>
      <c r="B232" s="21" t="s">
        <v>252</v>
      </c>
      <c r="C232" s="21" t="s">
        <v>396</v>
      </c>
      <c r="D232" s="37" t="n">
        <v>857</v>
      </c>
      <c r="E232" s="37" t="n">
        <v>954</v>
      </c>
      <c r="F232" s="63" t="n">
        <f aca="false">IF(E232="","",D232-E232)</f>
        <v>-97</v>
      </c>
      <c r="G232" s="37" t="n">
        <v>406</v>
      </c>
      <c r="H232" s="37" t="n">
        <v>416</v>
      </c>
      <c r="I232" s="63" t="n">
        <f aca="false">IF(H232="","",G232-H232)</f>
        <v>-10</v>
      </c>
      <c r="J232" s="52" t="n">
        <f aca="false">IF(OR(D232="",D232+G232=0),"",D232/(D232+G232))</f>
        <v>0.678543151227237</v>
      </c>
      <c r="K232" s="52" t="n">
        <f aca="false">IF(E232="","",E232/(E232+H232))</f>
        <v>0.696350364963504</v>
      </c>
      <c r="L232" s="64" t="n">
        <f aca="false">IF(OR(K232="",J232=""),"",(J232-K232)*100)</f>
        <v>-1.78072137362669</v>
      </c>
      <c r="M232" s="21"/>
    </row>
    <row r="233" customFormat="false" ht="15" hidden="false" customHeight="false" outlineLevel="0" collapsed="false">
      <c r="A233" s="21" t="s">
        <v>377</v>
      </c>
      <c r="B233" s="21" t="s">
        <v>252</v>
      </c>
      <c r="C233" s="21" t="s">
        <v>397</v>
      </c>
      <c r="D233" s="37" t="n">
        <v>724</v>
      </c>
      <c r="E233" s="37" t="n">
        <v>821</v>
      </c>
      <c r="F233" s="63" t="n">
        <f aca="false">IF(E233="","",D233-E233)</f>
        <v>-97</v>
      </c>
      <c r="G233" s="37" t="n">
        <v>468</v>
      </c>
      <c r="H233" s="37" t="n">
        <v>474</v>
      </c>
      <c r="I233" s="63" t="n">
        <f aca="false">IF(H233="","",G233-H233)</f>
        <v>-6</v>
      </c>
      <c r="J233" s="52" t="n">
        <f aca="false">IF(OR(D233="",D233+G233=0),"",D233/(D233+G233))</f>
        <v>0.60738255033557</v>
      </c>
      <c r="K233" s="52" t="n">
        <f aca="false">IF(E233="","",E233/(E233+H233))</f>
        <v>0.633976833976834</v>
      </c>
      <c r="L233" s="64" t="n">
        <f aca="false">IF(OR(K233="",J233=""),"",(J233-K233)*100)</f>
        <v>-2.65942836412636</v>
      </c>
      <c r="M233" s="21"/>
    </row>
    <row r="234" customFormat="false" ht="15" hidden="false" customHeight="false" outlineLevel="0" collapsed="false">
      <c r="A234" s="21" t="s">
        <v>377</v>
      </c>
      <c r="B234" s="21" t="s">
        <v>252</v>
      </c>
      <c r="C234" s="21" t="s">
        <v>398</v>
      </c>
      <c r="D234" s="37" t="n">
        <v>279</v>
      </c>
      <c r="E234" s="37" t="n">
        <v>283</v>
      </c>
      <c r="F234" s="63" t="n">
        <f aca="false">IF(E234="","",D234-E234)</f>
        <v>-4</v>
      </c>
      <c r="G234" s="37" t="n">
        <v>100</v>
      </c>
      <c r="H234" s="37" t="n">
        <v>110</v>
      </c>
      <c r="I234" s="63" t="n">
        <f aca="false">IF(H234="","",G234-H234)</f>
        <v>-10</v>
      </c>
      <c r="J234" s="52" t="n">
        <f aca="false">IF(OR(D234="",D234+G234=0),"",D234/(D234+G234))</f>
        <v>0.736147757255937</v>
      </c>
      <c r="K234" s="52" t="n">
        <f aca="false">IF(E234="","",E234/(E234+H234))</f>
        <v>0.720101781170484</v>
      </c>
      <c r="L234" s="64" t="n">
        <f aca="false">IF(OR(K234="",J234=""),"",(J234-K234)*100)</f>
        <v>1.60459760854532</v>
      </c>
      <c r="M234" s="21"/>
    </row>
    <row r="235" customFormat="false" ht="15" hidden="false" customHeight="false" outlineLevel="0" collapsed="false">
      <c r="A235" s="21" t="s">
        <v>377</v>
      </c>
      <c r="B235" s="21" t="s">
        <v>252</v>
      </c>
      <c r="C235" s="21" t="s">
        <v>399</v>
      </c>
      <c r="D235" s="37" t="n">
        <v>485</v>
      </c>
      <c r="E235" s="37" t="n">
        <v>450</v>
      </c>
      <c r="F235" s="63" t="n">
        <f aca="false">IF(E235="","",D235-E235)</f>
        <v>35</v>
      </c>
      <c r="G235" s="37" t="n">
        <v>170</v>
      </c>
      <c r="H235" s="37" t="n">
        <v>179</v>
      </c>
      <c r="I235" s="63" t="n">
        <f aca="false">IF(H235="","",G235-H235)</f>
        <v>-9</v>
      </c>
      <c r="J235" s="52" t="n">
        <f aca="false">IF(OR(D235="",D235+G235=0),"",D235/(D235+G235))</f>
        <v>0.740458015267176</v>
      </c>
      <c r="K235" s="52" t="n">
        <f aca="false">IF(E235="","",E235/(E235+H235))</f>
        <v>0.715421303656598</v>
      </c>
      <c r="L235" s="64" t="n">
        <f aca="false">IF(OR(K235="",J235=""),"",(J235-K235)*100)</f>
        <v>2.50367116105779</v>
      </c>
      <c r="M235" s="21"/>
    </row>
    <row r="236" customFormat="false" ht="15" hidden="false" customHeight="false" outlineLevel="0" collapsed="false">
      <c r="A236" s="21" t="s">
        <v>377</v>
      </c>
      <c r="B236" s="21" t="s">
        <v>252</v>
      </c>
      <c r="C236" s="21" t="s">
        <v>400</v>
      </c>
      <c r="D236" s="37" t="n">
        <v>486</v>
      </c>
      <c r="E236" s="37" t="n">
        <v>442</v>
      </c>
      <c r="F236" s="63" t="n">
        <f aca="false">IF(E236="","",D236-E236)</f>
        <v>44</v>
      </c>
      <c r="G236" s="37" t="n">
        <v>180</v>
      </c>
      <c r="H236" s="37" t="n">
        <v>161</v>
      </c>
      <c r="I236" s="63" t="n">
        <f aca="false">IF(H236="","",G236-H236)</f>
        <v>19</v>
      </c>
      <c r="J236" s="52" t="n">
        <f aca="false">IF(OR(D236="",D236+G236=0),"",D236/(D236+G236))</f>
        <v>0.72972972972973</v>
      </c>
      <c r="K236" s="52" t="n">
        <f aca="false">IF(E236="","",E236/(E236+H236))</f>
        <v>0.733001658374793</v>
      </c>
      <c r="L236" s="64" t="n">
        <f aca="false">IF(OR(K236="",J236=""),"",(J236-K236)*100)</f>
        <v>-0.327192864506298</v>
      </c>
      <c r="M236" s="21"/>
    </row>
    <row r="237" customFormat="false" ht="15" hidden="false" customHeight="false" outlineLevel="0" collapsed="false">
      <c r="A237" s="21" t="s">
        <v>377</v>
      </c>
      <c r="B237" s="21" t="s">
        <v>252</v>
      </c>
      <c r="C237" s="21" t="s">
        <v>401</v>
      </c>
      <c r="D237" s="37" t="n">
        <v>699</v>
      </c>
      <c r="E237" s="37" t="n">
        <v>599</v>
      </c>
      <c r="F237" s="63" t="n">
        <f aca="false">IF(E237="","",D237-E237)</f>
        <v>100</v>
      </c>
      <c r="G237" s="37" t="n">
        <v>208</v>
      </c>
      <c r="H237" s="37" t="n">
        <v>203</v>
      </c>
      <c r="I237" s="63" t="n">
        <f aca="false">IF(H237="","",G237-H237)</f>
        <v>5</v>
      </c>
      <c r="J237" s="52" t="n">
        <f aca="false">IF(OR(D237="",D237+G237=0),"",D237/(D237+G237))</f>
        <v>0.770672546857773</v>
      </c>
      <c r="K237" s="52" t="n">
        <f aca="false">IF(E237="","",E237/(E237+H237))</f>
        <v>0.746882793017456</v>
      </c>
      <c r="L237" s="64" t="n">
        <f aca="false">IF(OR(K237="",J237=""),"",(J237-K237)*100)</f>
        <v>2.37897538403165</v>
      </c>
      <c r="M237" s="21"/>
    </row>
    <row r="238" customFormat="false" ht="15" hidden="false" customHeight="false" outlineLevel="0" collapsed="false">
      <c r="A238" s="21" t="s">
        <v>377</v>
      </c>
      <c r="B238" s="21" t="s">
        <v>252</v>
      </c>
      <c r="C238" s="21" t="s">
        <v>402</v>
      </c>
      <c r="D238" s="37" t="n">
        <v>908</v>
      </c>
      <c r="E238" s="37" t="n">
        <v>1506</v>
      </c>
      <c r="F238" s="63" t="n">
        <f aca="false">IF(E238="","",D238-E238)</f>
        <v>-598</v>
      </c>
      <c r="G238" s="37" t="n">
        <v>239</v>
      </c>
      <c r="H238" s="37" t="n">
        <v>338</v>
      </c>
      <c r="I238" s="63" t="n">
        <f aca="false">IF(H238="","",G238-H238)</f>
        <v>-99</v>
      </c>
      <c r="J238" s="52" t="n">
        <f aca="false">IF(OR(D238="",D238+G238=0),"",D238/(D238+G238))</f>
        <v>0.791630340017437</v>
      </c>
      <c r="K238" s="52" t="n">
        <f aca="false">IF(E238="","",E238/(E238+H238))</f>
        <v>0.816702819956616</v>
      </c>
      <c r="L238" s="64" t="n">
        <f aca="false">IF(OR(K238="",J238=""),"",(J238-K238)*100)</f>
        <v>-2.50724799391793</v>
      </c>
      <c r="M238" s="21"/>
    </row>
    <row r="239" customFormat="false" ht="15" hidden="false" customHeight="false" outlineLevel="0" collapsed="false">
      <c r="A239" s="21" t="s">
        <v>377</v>
      </c>
      <c r="B239" s="21" t="s">
        <v>252</v>
      </c>
      <c r="C239" s="21" t="s">
        <v>403</v>
      </c>
      <c r="D239" s="37" t="n">
        <v>721</v>
      </c>
      <c r="E239" s="37" t="n">
        <v>645</v>
      </c>
      <c r="F239" s="63" t="n">
        <f aca="false">IF(E239="","",D239-E239)</f>
        <v>76</v>
      </c>
      <c r="G239" s="37" t="n">
        <v>229</v>
      </c>
      <c r="H239" s="37" t="n">
        <v>243</v>
      </c>
      <c r="I239" s="63" t="n">
        <f aca="false">IF(H239="","",G239-H239)</f>
        <v>-14</v>
      </c>
      <c r="J239" s="52" t="n">
        <f aca="false">IF(OR(D239="",D239+G239=0),"",D239/(D239+G239))</f>
        <v>0.758947368421053</v>
      </c>
      <c r="K239" s="52" t="n">
        <f aca="false">IF(E239="","",E239/(E239+H239))</f>
        <v>0.726351351351351</v>
      </c>
      <c r="L239" s="64" t="n">
        <f aca="false">IF(OR(K239="",J239=""),"",(J239-K239)*100)</f>
        <v>3.25960170697013</v>
      </c>
      <c r="M239" s="21"/>
    </row>
    <row r="240" customFormat="false" ht="15" hidden="false" customHeight="false" outlineLevel="0" collapsed="false">
      <c r="A240" s="21" t="s">
        <v>377</v>
      </c>
      <c r="B240" s="21" t="s">
        <v>252</v>
      </c>
      <c r="C240" s="21" t="s">
        <v>404</v>
      </c>
      <c r="D240" s="37" t="n">
        <v>674</v>
      </c>
      <c r="E240" s="37" t="n">
        <v>628</v>
      </c>
      <c r="F240" s="63" t="n">
        <f aca="false">IF(E240="","",D240-E240)</f>
        <v>46</v>
      </c>
      <c r="G240" s="37" t="n">
        <v>240</v>
      </c>
      <c r="H240" s="37" t="n">
        <v>267</v>
      </c>
      <c r="I240" s="63" t="n">
        <f aca="false">IF(H240="","",G240-H240)</f>
        <v>-27</v>
      </c>
      <c r="J240" s="52" t="n">
        <f aca="false">IF(OR(D240="",D240+G240=0),"",D240/(D240+G240))</f>
        <v>0.737417943107221</v>
      </c>
      <c r="K240" s="52" t="n">
        <f aca="false">IF(E240="","",E240/(E240+H240))</f>
        <v>0.701675977653631</v>
      </c>
      <c r="L240" s="64" t="n">
        <f aca="false">IF(OR(K240="",J240=""),"",(J240-K240)*100)</f>
        <v>3.57419654535897</v>
      </c>
      <c r="M240" s="21"/>
    </row>
    <row r="241" customFormat="false" ht="15" hidden="false" customHeight="false" outlineLevel="0" collapsed="false">
      <c r="A241" s="21" t="s">
        <v>377</v>
      </c>
      <c r="B241" s="21" t="s">
        <v>252</v>
      </c>
      <c r="C241" s="21" t="s">
        <v>405</v>
      </c>
      <c r="D241" s="37" t="n">
        <v>410</v>
      </c>
      <c r="E241" s="37" t="n">
        <v>473</v>
      </c>
      <c r="F241" s="63" t="n">
        <f aca="false">IF(E241="","",D241-E241)</f>
        <v>-63</v>
      </c>
      <c r="G241" s="37" t="n">
        <v>181</v>
      </c>
      <c r="H241" s="37" t="n">
        <v>153</v>
      </c>
      <c r="I241" s="63" t="n">
        <f aca="false">IF(H241="","",G241-H241)</f>
        <v>28</v>
      </c>
      <c r="J241" s="52" t="n">
        <f aca="false">IF(OR(D241="",D241+G241=0),"",D241/(D241+G241))</f>
        <v>0.693739424703892</v>
      </c>
      <c r="K241" s="52" t="n">
        <f aca="false">IF(E241="","",E241/(E241+H241))</f>
        <v>0.755591054313099</v>
      </c>
      <c r="L241" s="64" t="n">
        <f aca="false">IF(OR(K241="",J241=""),"",(J241-K241)*100)</f>
        <v>-6.18516296092073</v>
      </c>
      <c r="M241" s="21"/>
    </row>
    <row r="242" customFormat="false" ht="15" hidden="false" customHeight="false" outlineLevel="0" collapsed="false">
      <c r="A242" s="21" t="s">
        <v>377</v>
      </c>
      <c r="B242" s="21" t="s">
        <v>252</v>
      </c>
      <c r="C242" s="21" t="s">
        <v>406</v>
      </c>
      <c r="D242" s="37" t="n">
        <v>751</v>
      </c>
      <c r="E242" s="37" t="n">
        <v>745</v>
      </c>
      <c r="F242" s="63" t="n">
        <f aca="false">IF(E242="","",D242-E242)</f>
        <v>6</v>
      </c>
      <c r="G242" s="37" t="n">
        <v>306</v>
      </c>
      <c r="H242" s="37" t="n">
        <v>301</v>
      </c>
      <c r="I242" s="63" t="n">
        <f aca="false">IF(H242="","",G242-H242)</f>
        <v>5</v>
      </c>
      <c r="J242" s="52" t="n">
        <f aca="false">IF(OR(D242="",D242+G242=0),"",D242/(D242+G242))</f>
        <v>0.710501419110691</v>
      </c>
      <c r="K242" s="52" t="n">
        <f aca="false">IF(E242="","",E242/(E242+H242))</f>
        <v>0.712237093690249</v>
      </c>
      <c r="L242" s="64" t="n">
        <f aca="false">IF(OR(K242="",J242=""),"",(J242-K242)*100)</f>
        <v>-0.173567457955792</v>
      </c>
      <c r="M242" s="21"/>
    </row>
    <row r="243" customFormat="false" ht="15" hidden="false" customHeight="false" outlineLevel="0" collapsed="false">
      <c r="A243" s="21" t="s">
        <v>377</v>
      </c>
      <c r="B243" s="21" t="s">
        <v>252</v>
      </c>
      <c r="C243" s="21" t="s">
        <v>407</v>
      </c>
      <c r="D243" s="37" t="n">
        <v>666</v>
      </c>
      <c r="E243" s="37" t="n">
        <v>682</v>
      </c>
      <c r="F243" s="63" t="n">
        <f aca="false">IF(E243="","",D243-E243)</f>
        <v>-16</v>
      </c>
      <c r="G243" s="37" t="n">
        <v>301</v>
      </c>
      <c r="H243" s="37" t="n">
        <v>313</v>
      </c>
      <c r="I243" s="63" t="n">
        <f aca="false">IF(H243="","",G243-H243)</f>
        <v>-12</v>
      </c>
      <c r="J243" s="52" t="n">
        <f aca="false">IF(OR(D243="",D243+G243=0),"",D243/(D243+G243))</f>
        <v>0.688728024819028</v>
      </c>
      <c r="K243" s="52" t="n">
        <f aca="false">IF(E243="","",E243/(E243+H243))</f>
        <v>0.685427135678392</v>
      </c>
      <c r="L243" s="64" t="n">
        <f aca="false">IF(OR(K243="",J243=""),"",(J243-K243)*100)</f>
        <v>0.330088914063598</v>
      </c>
      <c r="M243" s="21"/>
    </row>
    <row r="244" customFormat="false" ht="15" hidden="false" customHeight="false" outlineLevel="0" collapsed="false">
      <c r="A244" s="21" t="s">
        <v>377</v>
      </c>
      <c r="B244" s="21" t="s">
        <v>252</v>
      </c>
      <c r="C244" s="21" t="s">
        <v>408</v>
      </c>
      <c r="D244" s="37" t="n">
        <v>703</v>
      </c>
      <c r="E244" s="37" t="n">
        <v>711</v>
      </c>
      <c r="F244" s="63" t="n">
        <f aca="false">IF(E244="","",D244-E244)</f>
        <v>-8</v>
      </c>
      <c r="G244" s="37" t="n">
        <v>320</v>
      </c>
      <c r="H244" s="37" t="n">
        <v>341</v>
      </c>
      <c r="I244" s="63" t="n">
        <f aca="false">IF(H244="","",G244-H244)</f>
        <v>-21</v>
      </c>
      <c r="J244" s="52" t="n">
        <f aca="false">IF(OR(D244="",D244+G244=0),"",D244/(D244+G244))</f>
        <v>0.687194525904203</v>
      </c>
      <c r="K244" s="52" t="n">
        <f aca="false">IF(E244="","",E244/(E244+H244))</f>
        <v>0.675855513307985</v>
      </c>
      <c r="L244" s="64" t="n">
        <f aca="false">IF(OR(K244="",J244=""),"",(J244-K244)*100)</f>
        <v>1.13390125962185</v>
      </c>
      <c r="M244" s="21"/>
    </row>
    <row r="245" customFormat="false" ht="15" hidden="false" customHeight="false" outlineLevel="0" collapsed="false">
      <c r="A245" s="21" t="s">
        <v>377</v>
      </c>
      <c r="B245" s="21" t="s">
        <v>252</v>
      </c>
      <c r="C245" s="21" t="s">
        <v>409</v>
      </c>
      <c r="D245" s="37" t="n">
        <v>587</v>
      </c>
      <c r="E245" s="37"/>
      <c r="F245" s="63" t="str">
        <f aca="false">IF(E245="","",D245-E245)</f>
        <v/>
      </c>
      <c r="G245" s="37" t="n">
        <v>340</v>
      </c>
      <c r="H245" s="37"/>
      <c r="I245" s="63" t="str">
        <f aca="false">IF(H245="","",G245-H245)</f>
        <v/>
      </c>
      <c r="J245" s="52" t="n">
        <f aca="false">IF(OR(D245="",D245+G245=0),"",D245/(D245+G245))</f>
        <v>0.633225458468177</v>
      </c>
      <c r="K245" s="52" t="str">
        <f aca="false">IF(E245="","",E245/(E245+H245))</f>
        <v/>
      </c>
      <c r="L245" s="64" t="str">
        <f aca="false">IF(OR(K245="",J245=""),"",(J245-K245)*100)</f>
        <v/>
      </c>
      <c r="M245" s="21" t="s">
        <v>685</v>
      </c>
    </row>
    <row r="246" customFormat="false" ht="15" hidden="false" customHeight="false" outlineLevel="0" collapsed="false">
      <c r="A246" s="21" t="s">
        <v>377</v>
      </c>
      <c r="B246" s="21" t="s">
        <v>410</v>
      </c>
      <c r="C246" s="21" t="s">
        <v>411</v>
      </c>
      <c r="D246" s="37" t="n">
        <v>439</v>
      </c>
      <c r="E246" s="37" t="n">
        <v>466</v>
      </c>
      <c r="F246" s="63" t="n">
        <f aca="false">IF(E246="","",D246-E246)</f>
        <v>-27</v>
      </c>
      <c r="G246" s="37" t="n">
        <v>411</v>
      </c>
      <c r="H246" s="37" t="n">
        <v>405</v>
      </c>
      <c r="I246" s="63" t="n">
        <f aca="false">IF(H246="","",G246-H246)</f>
        <v>6</v>
      </c>
      <c r="J246" s="52" t="n">
        <f aca="false">IF(OR(D246="",D246+G246=0),"",D246/(D246+G246))</f>
        <v>0.516470588235294</v>
      </c>
      <c r="K246" s="52" t="n">
        <f aca="false">IF(E246="","",E246/(E246+H246))</f>
        <v>0.535017221584386</v>
      </c>
      <c r="L246" s="64" t="n">
        <f aca="false">IF(OR(K246="",J246=""),"",(J246-K246)*100)</f>
        <v>-1.85466333490917</v>
      </c>
      <c r="M246" s="21"/>
    </row>
    <row r="247" customFormat="false" ht="15" hidden="false" customHeight="false" outlineLevel="0" collapsed="false">
      <c r="A247" s="21" t="s">
        <v>377</v>
      </c>
      <c r="B247" s="21" t="s">
        <v>410</v>
      </c>
      <c r="C247" s="21" t="s">
        <v>412</v>
      </c>
      <c r="D247" s="37" t="n">
        <v>565</v>
      </c>
      <c r="E247" s="37" t="n">
        <v>552</v>
      </c>
      <c r="F247" s="63" t="n">
        <f aca="false">IF(E247="","",D247-E247)</f>
        <v>13</v>
      </c>
      <c r="G247" s="37" t="n">
        <v>528</v>
      </c>
      <c r="H247" s="37" t="n">
        <v>506</v>
      </c>
      <c r="I247" s="63" t="n">
        <f aca="false">IF(H247="","",G247-H247)</f>
        <v>22</v>
      </c>
      <c r="J247" s="52" t="n">
        <f aca="false">IF(OR(D247="",D247+G247=0),"",D247/(D247+G247))</f>
        <v>0.516925892040256</v>
      </c>
      <c r="K247" s="52" t="n">
        <f aca="false">IF(E247="","",E247/(E247+H247))</f>
        <v>0.521739130434783</v>
      </c>
      <c r="L247" s="64" t="n">
        <f aca="false">IF(OR(K247="",J247=""),"",(J247-K247)*100)</f>
        <v>-0.481323839452641</v>
      </c>
      <c r="M247" s="21"/>
    </row>
    <row r="248" customFormat="false" ht="15" hidden="false" customHeight="false" outlineLevel="0" collapsed="false">
      <c r="A248" s="21" t="s">
        <v>377</v>
      </c>
      <c r="B248" s="21" t="s">
        <v>410</v>
      </c>
      <c r="C248" s="21" t="s">
        <v>413</v>
      </c>
      <c r="D248" s="37" t="n">
        <v>669</v>
      </c>
      <c r="E248" s="37" t="n">
        <v>722</v>
      </c>
      <c r="F248" s="63" t="n">
        <f aca="false">IF(E248="","",D248-E248)</f>
        <v>-53</v>
      </c>
      <c r="G248" s="37" t="n">
        <v>577</v>
      </c>
      <c r="H248" s="37" t="n">
        <v>596</v>
      </c>
      <c r="I248" s="63" t="n">
        <f aca="false">IF(H248="","",G248-H248)</f>
        <v>-19</v>
      </c>
      <c r="J248" s="52" t="n">
        <f aca="false">IF(OR(D248="",D248+G248=0),"",D248/(D248+G248))</f>
        <v>0.536918138041734</v>
      </c>
      <c r="K248" s="52" t="n">
        <f aca="false">IF(E248="","",E248/(E248+H248))</f>
        <v>0.547799696509863</v>
      </c>
      <c r="L248" s="64" t="n">
        <f aca="false">IF(OR(K248="",J248=""),"",(J248-K248)*100)</f>
        <v>-1.08815584681299</v>
      </c>
      <c r="M248" s="21"/>
    </row>
    <row r="249" customFormat="false" ht="15" hidden="false" customHeight="false" outlineLevel="0" collapsed="false">
      <c r="A249" s="21" t="s">
        <v>377</v>
      </c>
      <c r="B249" s="21" t="s">
        <v>410</v>
      </c>
      <c r="C249" s="21" t="s">
        <v>414</v>
      </c>
      <c r="D249" s="37" t="n">
        <v>300</v>
      </c>
      <c r="E249" s="37" t="n">
        <v>339</v>
      </c>
      <c r="F249" s="63" t="n">
        <f aca="false">IF(E249="","",D249-E249)</f>
        <v>-39</v>
      </c>
      <c r="G249" s="37" t="n">
        <v>322</v>
      </c>
      <c r="H249" s="37" t="n">
        <v>338</v>
      </c>
      <c r="I249" s="63" t="n">
        <f aca="false">IF(H249="","",G249-H249)</f>
        <v>-16</v>
      </c>
      <c r="J249" s="52" t="n">
        <f aca="false">IF(OR(D249="",D249+G249=0),"",D249/(D249+G249))</f>
        <v>0.482315112540193</v>
      </c>
      <c r="K249" s="52" t="n">
        <f aca="false">IF(E249="","",E249/(E249+H249))</f>
        <v>0.500738552437223</v>
      </c>
      <c r="L249" s="64" t="n">
        <f aca="false">IF(OR(K249="",J249=""),"",(J249-K249)*100)</f>
        <v>-1.84234398970302</v>
      </c>
      <c r="M249" s="21"/>
    </row>
    <row r="250" customFormat="false" ht="15" hidden="false" customHeight="false" outlineLevel="0" collapsed="false">
      <c r="A250" s="21" t="s">
        <v>377</v>
      </c>
      <c r="B250" s="21" t="s">
        <v>410</v>
      </c>
      <c r="C250" s="21" t="s">
        <v>415</v>
      </c>
      <c r="D250" s="37" t="n">
        <v>576</v>
      </c>
      <c r="E250" s="37" t="n">
        <v>579</v>
      </c>
      <c r="F250" s="63" t="n">
        <f aca="false">IF(E250="","",D250-E250)</f>
        <v>-3</v>
      </c>
      <c r="G250" s="37" t="n">
        <v>498</v>
      </c>
      <c r="H250" s="37" t="n">
        <v>482</v>
      </c>
      <c r="I250" s="63" t="n">
        <f aca="false">IF(H250="","",G250-H250)</f>
        <v>16</v>
      </c>
      <c r="J250" s="52" t="n">
        <f aca="false">IF(OR(D250="",D250+G250=0),"",D250/(D250+G250))</f>
        <v>0.536312849162011</v>
      </c>
      <c r="K250" s="52" t="n">
        <f aca="false">IF(E250="","",E250/(E250+H250))</f>
        <v>0.545711592836946</v>
      </c>
      <c r="L250" s="64" t="n">
        <f aca="false">IF(OR(K250="",J250=""),"",(J250-K250)*100)</f>
        <v>-0.93987436749351</v>
      </c>
      <c r="M250" s="21"/>
    </row>
    <row r="251" customFormat="false" ht="15" hidden="false" customHeight="false" outlineLevel="0" collapsed="false">
      <c r="A251" s="21" t="s">
        <v>377</v>
      </c>
      <c r="B251" s="21" t="s">
        <v>410</v>
      </c>
      <c r="C251" s="21" t="s">
        <v>416</v>
      </c>
      <c r="D251" s="37" t="n">
        <v>542</v>
      </c>
      <c r="E251" s="37" t="n">
        <v>562</v>
      </c>
      <c r="F251" s="63" t="n">
        <f aca="false">IF(E251="","",D251-E251)</f>
        <v>-20</v>
      </c>
      <c r="G251" s="37" t="n">
        <v>517</v>
      </c>
      <c r="H251" s="37" t="n">
        <v>525</v>
      </c>
      <c r="I251" s="63" t="n">
        <f aca="false">IF(H251="","",G251-H251)</f>
        <v>-8</v>
      </c>
      <c r="J251" s="52" t="n">
        <f aca="false">IF(OR(D251="",D251+G251=0),"",D251/(D251+G251))</f>
        <v>0.51180358829084</v>
      </c>
      <c r="K251" s="52" t="n">
        <f aca="false">IF(E251="","",E251/(E251+H251))</f>
        <v>0.517019319227231</v>
      </c>
      <c r="L251" s="64" t="n">
        <f aca="false">IF(OR(K251="",J251=""),"",(J251-K251)*100)</f>
        <v>-0.52157309363905</v>
      </c>
      <c r="M251" s="21"/>
    </row>
    <row r="252" customFormat="false" ht="15" hidden="false" customHeight="false" outlineLevel="0" collapsed="false">
      <c r="A252" s="21" t="s">
        <v>377</v>
      </c>
      <c r="B252" s="21" t="s">
        <v>410</v>
      </c>
      <c r="C252" s="21" t="s">
        <v>417</v>
      </c>
      <c r="D252" s="37" t="n">
        <v>341</v>
      </c>
      <c r="E252" s="37" t="n">
        <v>337</v>
      </c>
      <c r="F252" s="63" t="n">
        <f aca="false">IF(E252="","",D252-E252)</f>
        <v>4</v>
      </c>
      <c r="G252" s="37" t="n">
        <v>294</v>
      </c>
      <c r="H252" s="37" t="n">
        <v>296</v>
      </c>
      <c r="I252" s="63" t="n">
        <f aca="false">IF(H252="","",G252-H252)</f>
        <v>-2</v>
      </c>
      <c r="J252" s="52" t="n">
        <f aca="false">IF(OR(D252="",D252+G252=0),"",D252/(D252+G252))</f>
        <v>0.537007874015748</v>
      </c>
      <c r="K252" s="52" t="n">
        <f aca="false">IF(E252="","",E252/(E252+H252))</f>
        <v>0.532385466034755</v>
      </c>
      <c r="L252" s="64" t="n">
        <f aca="false">IF(OR(K252="",J252=""),"",(J252-K252)*100)</f>
        <v>0.462240798099289</v>
      </c>
      <c r="M252" s="21"/>
    </row>
    <row r="253" customFormat="false" ht="15" hidden="false" customHeight="false" outlineLevel="0" collapsed="false">
      <c r="A253" s="21" t="s">
        <v>377</v>
      </c>
      <c r="B253" s="21" t="s">
        <v>410</v>
      </c>
      <c r="C253" s="21" t="s">
        <v>418</v>
      </c>
      <c r="D253" s="37" t="n">
        <v>505</v>
      </c>
      <c r="E253" s="37" t="n">
        <v>517</v>
      </c>
      <c r="F253" s="63" t="n">
        <f aca="false">IF(E253="","",D253-E253)</f>
        <v>-12</v>
      </c>
      <c r="G253" s="37" t="n">
        <v>391</v>
      </c>
      <c r="H253" s="37" t="n">
        <v>388</v>
      </c>
      <c r="I253" s="63" t="n">
        <f aca="false">IF(H253="","",G253-H253)</f>
        <v>3</v>
      </c>
      <c r="J253" s="52" t="n">
        <f aca="false">IF(OR(D253="",D253+G253=0),"",D253/(D253+G253))</f>
        <v>0.563616071428571</v>
      </c>
      <c r="K253" s="52" t="n">
        <f aca="false">IF(E253="","",E253/(E253+H253))</f>
        <v>0.571270718232044</v>
      </c>
      <c r="L253" s="64" t="n">
        <f aca="false">IF(OR(K253="",J253=""),"",(J253-K253)*100)</f>
        <v>-0.765464680347283</v>
      </c>
      <c r="M253" s="21"/>
    </row>
    <row r="254" customFormat="false" ht="15" hidden="false" customHeight="false" outlineLevel="0" collapsed="false">
      <c r="A254" s="21" t="s">
        <v>377</v>
      </c>
      <c r="B254" s="21" t="s">
        <v>410</v>
      </c>
      <c r="C254" s="21" t="s">
        <v>419</v>
      </c>
      <c r="D254" s="37" t="n">
        <v>313</v>
      </c>
      <c r="E254" s="37" t="n">
        <v>329</v>
      </c>
      <c r="F254" s="63" t="n">
        <f aca="false">IF(E254="","",D254-E254)</f>
        <v>-16</v>
      </c>
      <c r="G254" s="37" t="n">
        <v>235</v>
      </c>
      <c r="H254" s="37" t="n">
        <v>217</v>
      </c>
      <c r="I254" s="63" t="n">
        <f aca="false">IF(H254="","",G254-H254)</f>
        <v>18</v>
      </c>
      <c r="J254" s="52" t="n">
        <f aca="false">IF(OR(D254="",D254+G254=0),"",D254/(D254+G254))</f>
        <v>0.571167883211679</v>
      </c>
      <c r="K254" s="52" t="n">
        <f aca="false">IF(E254="","",E254/(E254+H254))</f>
        <v>0.602564102564103</v>
      </c>
      <c r="L254" s="64" t="n">
        <f aca="false">IF(OR(K254="",J254=""),"",(J254-K254)*100)</f>
        <v>-3.13962193524237</v>
      </c>
      <c r="M254" s="21"/>
    </row>
    <row r="255" customFormat="false" ht="15" hidden="false" customHeight="false" outlineLevel="0" collapsed="false">
      <c r="A255" s="21" t="s">
        <v>377</v>
      </c>
      <c r="B255" s="21" t="s">
        <v>410</v>
      </c>
      <c r="C255" s="21" t="s">
        <v>420</v>
      </c>
      <c r="D255" s="37" t="n">
        <v>338</v>
      </c>
      <c r="E255" s="37" t="n">
        <v>352</v>
      </c>
      <c r="F255" s="63" t="n">
        <f aca="false">IF(E255="","",D255-E255)</f>
        <v>-14</v>
      </c>
      <c r="G255" s="37" t="n">
        <v>350</v>
      </c>
      <c r="H255" s="37" t="n">
        <v>326</v>
      </c>
      <c r="I255" s="63" t="n">
        <f aca="false">IF(H255="","",G255-H255)</f>
        <v>24</v>
      </c>
      <c r="J255" s="52" t="n">
        <f aca="false">IF(OR(D255="",D255+G255=0),"",D255/(D255+G255))</f>
        <v>0.491279069767442</v>
      </c>
      <c r="K255" s="52" t="n">
        <f aca="false">IF(E255="","",E255/(E255+H255))</f>
        <v>0.519174041297935</v>
      </c>
      <c r="L255" s="64" t="n">
        <f aca="false">IF(OR(K255="",J255=""),"",(J255-K255)*100)</f>
        <v>-2.78949715304933</v>
      </c>
      <c r="M255" s="21"/>
    </row>
    <row r="256" customFormat="false" ht="15" hidden="false" customHeight="false" outlineLevel="0" collapsed="false">
      <c r="A256" s="21" t="s">
        <v>377</v>
      </c>
      <c r="B256" s="21" t="s">
        <v>410</v>
      </c>
      <c r="C256" s="21" t="s">
        <v>421</v>
      </c>
      <c r="D256" s="37" t="n">
        <v>418</v>
      </c>
      <c r="E256" s="37" t="n">
        <v>420</v>
      </c>
      <c r="F256" s="63" t="n">
        <f aca="false">IF(E256="","",D256-E256)</f>
        <v>-2</v>
      </c>
      <c r="G256" s="37" t="n">
        <v>378</v>
      </c>
      <c r="H256" s="37" t="n">
        <v>378</v>
      </c>
      <c r="I256" s="63" t="n">
        <f aca="false">IF(H256="","",G256-H256)</f>
        <v>0</v>
      </c>
      <c r="J256" s="52" t="n">
        <f aca="false">IF(OR(D256="",D256+G256=0),"",D256/(D256+G256))</f>
        <v>0.525125628140704</v>
      </c>
      <c r="K256" s="52" t="n">
        <f aca="false">IF(E256="","",E256/(E256+H256))</f>
        <v>0.526315789473684</v>
      </c>
      <c r="L256" s="64" t="n">
        <f aca="false">IF(OR(K256="",J256=""),"",(J256-K256)*100)</f>
        <v>-0.119016133298067</v>
      </c>
      <c r="M256" s="21"/>
    </row>
    <row r="257" customFormat="false" ht="15" hidden="false" customHeight="false" outlineLevel="0" collapsed="false">
      <c r="A257" s="21" t="s">
        <v>377</v>
      </c>
      <c r="B257" s="21" t="s">
        <v>410</v>
      </c>
      <c r="C257" s="21" t="s">
        <v>422</v>
      </c>
      <c r="D257" s="37" t="n">
        <v>495</v>
      </c>
      <c r="E257" s="37" t="n">
        <v>522</v>
      </c>
      <c r="F257" s="63" t="n">
        <f aca="false">IF(E257="","",D257-E257)</f>
        <v>-27</v>
      </c>
      <c r="G257" s="37" t="n">
        <v>397</v>
      </c>
      <c r="H257" s="37" t="n">
        <v>400</v>
      </c>
      <c r="I257" s="63" t="n">
        <f aca="false">IF(H257="","",G257-H257)</f>
        <v>-3</v>
      </c>
      <c r="J257" s="52" t="n">
        <f aca="false">IF(OR(D257="",D257+G257=0),"",D257/(D257+G257))</f>
        <v>0.554932735426009</v>
      </c>
      <c r="K257" s="52" t="n">
        <f aca="false">IF(E257="","",E257/(E257+H257))</f>
        <v>0.566160520607375</v>
      </c>
      <c r="L257" s="64" t="n">
        <f aca="false">IF(OR(K257="",J257=""),"",(J257-K257)*100)</f>
        <v>-1.12277851813664</v>
      </c>
      <c r="M257" s="21"/>
    </row>
    <row r="258" customFormat="false" ht="15" hidden="false" customHeight="false" outlineLevel="0" collapsed="false">
      <c r="A258" s="21" t="s">
        <v>377</v>
      </c>
      <c r="B258" s="21" t="s">
        <v>410</v>
      </c>
      <c r="C258" s="21" t="s">
        <v>423</v>
      </c>
      <c r="D258" s="37" t="n">
        <v>424</v>
      </c>
      <c r="E258" s="37" t="n">
        <v>436</v>
      </c>
      <c r="F258" s="63" t="n">
        <f aca="false">IF(E258="","",D258-E258)</f>
        <v>-12</v>
      </c>
      <c r="G258" s="37" t="n">
        <v>443</v>
      </c>
      <c r="H258" s="37" t="n">
        <v>423</v>
      </c>
      <c r="I258" s="63" t="n">
        <f aca="false">IF(H258="","",G258-H258)</f>
        <v>20</v>
      </c>
      <c r="J258" s="52" t="n">
        <f aca="false">IF(OR(D258="",D258+G258=0),"",D258/(D258+G258))</f>
        <v>0.489042675893887</v>
      </c>
      <c r="K258" s="52" t="n">
        <f aca="false">IF(E258="","",E258/(E258+H258))</f>
        <v>0.507566938300349</v>
      </c>
      <c r="L258" s="64" t="n">
        <f aca="false">IF(OR(K258="",J258=""),"",(J258-K258)*100)</f>
        <v>-1.85242624064623</v>
      </c>
      <c r="M258" s="21"/>
    </row>
    <row r="259" customFormat="false" ht="15" hidden="false" customHeight="false" outlineLevel="0" collapsed="false">
      <c r="A259" s="21" t="s">
        <v>377</v>
      </c>
      <c r="B259" s="21" t="s">
        <v>410</v>
      </c>
      <c r="C259" s="21" t="s">
        <v>424</v>
      </c>
      <c r="D259" s="37" t="n">
        <v>952</v>
      </c>
      <c r="E259" s="37" t="n">
        <v>925</v>
      </c>
      <c r="F259" s="63" t="n">
        <f aca="false">IF(E259="","",D259-E259)</f>
        <v>27</v>
      </c>
      <c r="G259" s="37" t="n">
        <v>779</v>
      </c>
      <c r="H259" s="37" t="n">
        <v>710</v>
      </c>
      <c r="I259" s="63" t="n">
        <f aca="false">IF(H259="","",G259-H259)</f>
        <v>69</v>
      </c>
      <c r="J259" s="52" t="n">
        <f aca="false">IF(OR(D259="",D259+G259=0),"",D259/(D259+G259))</f>
        <v>0.549971114962449</v>
      </c>
      <c r="K259" s="52" t="n">
        <f aca="false">IF(E259="","",E259/(E259+H259))</f>
        <v>0.565749235474006</v>
      </c>
      <c r="L259" s="64" t="n">
        <f aca="false">IF(OR(K259="",J259=""),"",(J259-K259)*100)</f>
        <v>-1.57781205115567</v>
      </c>
      <c r="M259" s="21"/>
    </row>
    <row r="260" customFormat="false" ht="15" hidden="false" customHeight="false" outlineLevel="0" collapsed="false">
      <c r="A260" s="21" t="s">
        <v>377</v>
      </c>
      <c r="B260" s="21" t="s">
        <v>410</v>
      </c>
      <c r="C260" s="21" t="s">
        <v>425</v>
      </c>
      <c r="D260" s="37" t="n">
        <v>500</v>
      </c>
      <c r="E260" s="37" t="n">
        <v>535</v>
      </c>
      <c r="F260" s="63" t="n">
        <f aca="false">IF(E260="","",D260-E260)</f>
        <v>-35</v>
      </c>
      <c r="G260" s="37" t="n">
        <v>519</v>
      </c>
      <c r="H260" s="37" t="n">
        <v>514</v>
      </c>
      <c r="I260" s="63" t="n">
        <f aca="false">IF(H260="","",G260-H260)</f>
        <v>5</v>
      </c>
      <c r="J260" s="52" t="n">
        <f aca="false">IF(OR(D260="",D260+G260=0),"",D260/(D260+G260))</f>
        <v>0.490677134445535</v>
      </c>
      <c r="K260" s="52" t="n">
        <f aca="false">IF(E260="","",E260/(E260+H260))</f>
        <v>0.510009532888465</v>
      </c>
      <c r="L260" s="64" t="n">
        <f aca="false">IF(OR(K260="",J260=""),"",(J260-K260)*100)</f>
        <v>-1.93323984429303</v>
      </c>
      <c r="M260" s="21"/>
    </row>
    <row r="261" customFormat="false" ht="15" hidden="false" customHeight="false" outlineLevel="0" collapsed="false">
      <c r="A261" s="21" t="s">
        <v>377</v>
      </c>
      <c r="B261" s="21" t="s">
        <v>410</v>
      </c>
      <c r="C261" s="21" t="s">
        <v>426</v>
      </c>
      <c r="D261" s="37" t="n">
        <v>469</v>
      </c>
      <c r="E261" s="37" t="n">
        <v>499</v>
      </c>
      <c r="F261" s="63" t="n">
        <f aca="false">IF(E261="","",D261-E261)</f>
        <v>-30</v>
      </c>
      <c r="G261" s="37" t="n">
        <v>470</v>
      </c>
      <c r="H261" s="37" t="n">
        <v>468</v>
      </c>
      <c r="I261" s="63" t="n">
        <f aca="false">IF(H261="","",G261-H261)</f>
        <v>2</v>
      </c>
      <c r="J261" s="52" t="n">
        <f aca="false">IF(OR(D261="",D261+G261=0),"",D261/(D261+G261))</f>
        <v>0.499467518636848</v>
      </c>
      <c r="K261" s="52" t="n">
        <f aca="false">IF(E261="","",E261/(E261+H261))</f>
        <v>0.516028955532575</v>
      </c>
      <c r="L261" s="64" t="n">
        <f aca="false">IF(OR(K261="",J261=""),"",(J261-K261)*100)</f>
        <v>-1.65614368957273</v>
      </c>
      <c r="M261" s="21"/>
    </row>
    <row r="262" customFormat="false" ht="15" hidden="false" customHeight="false" outlineLevel="0" collapsed="false">
      <c r="A262" s="21" t="s">
        <v>377</v>
      </c>
      <c r="B262" s="21" t="s">
        <v>410</v>
      </c>
      <c r="C262" s="21" t="s">
        <v>427</v>
      </c>
      <c r="D262" s="37" t="n">
        <v>493</v>
      </c>
      <c r="E262" s="37" t="n">
        <v>503</v>
      </c>
      <c r="F262" s="63" t="n">
        <f aca="false">IF(E262="","",D262-E262)</f>
        <v>-10</v>
      </c>
      <c r="G262" s="37" t="n">
        <v>472</v>
      </c>
      <c r="H262" s="37" t="n">
        <v>468</v>
      </c>
      <c r="I262" s="63" t="n">
        <f aca="false">IF(H262="","",G262-H262)</f>
        <v>4</v>
      </c>
      <c r="J262" s="52" t="n">
        <f aca="false">IF(OR(D262="",D262+G262=0),"",D262/(D262+G262))</f>
        <v>0.510880829015544</v>
      </c>
      <c r="K262" s="52" t="n">
        <f aca="false">IF(E262="","",E262/(E262+H262))</f>
        <v>0.518022657054583</v>
      </c>
      <c r="L262" s="64" t="n">
        <f aca="false">IF(OR(K262="",J262=""),"",(J262-K262)*100)</f>
        <v>-0.714182803903896</v>
      </c>
      <c r="M262" s="21"/>
    </row>
    <row r="263" customFormat="false" ht="15" hidden="false" customHeight="false" outlineLevel="0" collapsed="false">
      <c r="A263" s="21" t="s">
        <v>377</v>
      </c>
      <c r="B263" s="21" t="s">
        <v>428</v>
      </c>
      <c r="C263" s="21" t="s">
        <v>429</v>
      </c>
      <c r="D263" s="37" t="n">
        <v>876</v>
      </c>
      <c r="E263" s="37" t="n">
        <v>939</v>
      </c>
      <c r="F263" s="63" t="n">
        <f aca="false">IF(E263="","",D263-E263)</f>
        <v>-63</v>
      </c>
      <c r="G263" s="37" t="n">
        <v>1514</v>
      </c>
      <c r="H263" s="37" t="n">
        <v>1452</v>
      </c>
      <c r="I263" s="63" t="n">
        <f aca="false">IF(H263="","",G263-H263)</f>
        <v>62</v>
      </c>
      <c r="J263" s="52" t="n">
        <f aca="false">IF(OR(D263="",D263+G263=0),"",D263/(D263+G263))</f>
        <v>0.36652719665272</v>
      </c>
      <c r="K263" s="52" t="n">
        <f aca="false">IF(E263="","",E263/(E263+H263))</f>
        <v>0.392722710163112</v>
      </c>
      <c r="L263" s="64" t="n">
        <f aca="false">IF(OR(K263="",J263=""),"",(J263-K263)*100)</f>
        <v>-2.6195513510392</v>
      </c>
      <c r="M263" s="21"/>
    </row>
    <row r="264" customFormat="false" ht="15" hidden="false" customHeight="false" outlineLevel="0" collapsed="false">
      <c r="A264" s="21" t="s">
        <v>377</v>
      </c>
      <c r="B264" s="21" t="s">
        <v>428</v>
      </c>
      <c r="C264" s="21" t="s">
        <v>430</v>
      </c>
      <c r="D264" s="37" t="n">
        <v>827</v>
      </c>
      <c r="E264" s="37" t="n">
        <v>820</v>
      </c>
      <c r="F264" s="63" t="n">
        <f aca="false">IF(E264="","",D264-E264)</f>
        <v>7</v>
      </c>
      <c r="G264" s="37" t="n">
        <v>1210</v>
      </c>
      <c r="H264" s="37" t="n">
        <v>1185</v>
      </c>
      <c r="I264" s="63" t="n">
        <f aca="false">IF(H264="","",G264-H264)</f>
        <v>25</v>
      </c>
      <c r="J264" s="52" t="n">
        <f aca="false">IF(OR(D264="",D264+G264=0),"",D264/(D264+G264))</f>
        <v>0.405989199803633</v>
      </c>
      <c r="K264" s="52" t="n">
        <f aca="false">IF(E264="","",E264/(E264+H264))</f>
        <v>0.408977556109726</v>
      </c>
      <c r="L264" s="64" t="n">
        <f aca="false">IF(OR(K264="",J264=""),"",(J264-K264)*100)</f>
        <v>-0.29883563060929</v>
      </c>
      <c r="M264" s="21"/>
    </row>
    <row r="265" customFormat="false" ht="15" hidden="false" customHeight="false" outlineLevel="0" collapsed="false">
      <c r="A265" s="21" t="s">
        <v>377</v>
      </c>
      <c r="B265" s="21" t="s">
        <v>428</v>
      </c>
      <c r="C265" s="21" t="s">
        <v>431</v>
      </c>
      <c r="D265" s="37" t="n">
        <v>399</v>
      </c>
      <c r="E265" s="37" t="n">
        <v>410</v>
      </c>
      <c r="F265" s="63" t="n">
        <f aca="false">IF(E265="","",D265-E265)</f>
        <v>-11</v>
      </c>
      <c r="G265" s="37" t="n">
        <v>788</v>
      </c>
      <c r="H265" s="37" t="n">
        <v>822</v>
      </c>
      <c r="I265" s="63" t="n">
        <f aca="false">IF(H265="","",G265-H265)</f>
        <v>-34</v>
      </c>
      <c r="J265" s="52" t="n">
        <f aca="false">IF(OR(D265="",D265+G265=0),"",D265/(D265+G265))</f>
        <v>0.336141533277169</v>
      </c>
      <c r="K265" s="52" t="n">
        <f aca="false">IF(E265="","",E265/(E265+H265))</f>
        <v>0.332792207792208</v>
      </c>
      <c r="L265" s="64" t="n">
        <f aca="false">IF(OR(K265="",J265=""),"",(J265-K265)*100)</f>
        <v>0.334932548496153</v>
      </c>
      <c r="M265" s="21"/>
    </row>
    <row r="266" customFormat="false" ht="15" hidden="false" customHeight="false" outlineLevel="0" collapsed="false">
      <c r="A266" s="21" t="s">
        <v>377</v>
      </c>
      <c r="B266" s="21" t="s">
        <v>432</v>
      </c>
      <c r="C266" s="21" t="s">
        <v>432</v>
      </c>
      <c r="D266" s="37" t="n">
        <v>40</v>
      </c>
      <c r="E266" s="37" t="n">
        <v>40</v>
      </c>
      <c r="F266" s="63" t="n">
        <f aca="false">IF(E266="","",D266-E266)</f>
        <v>0</v>
      </c>
      <c r="G266" s="37" t="n">
        <v>81</v>
      </c>
      <c r="H266" s="37" t="n">
        <v>83</v>
      </c>
      <c r="I266" s="63" t="n">
        <f aca="false">IF(H266="","",G266-H266)</f>
        <v>-2</v>
      </c>
      <c r="J266" s="52" t="n">
        <f aca="false">IF(OR(D266="",D266+G266=0),"",D266/(D266+G266))</f>
        <v>0.330578512396694</v>
      </c>
      <c r="K266" s="52" t="n">
        <f aca="false">IF(E266="","",E266/(E266+H266))</f>
        <v>0.32520325203252</v>
      </c>
      <c r="L266" s="64" t="n">
        <f aca="false">IF(OR(K266="",J266=""),"",(J266-K266)*100)</f>
        <v>0.537526036417391</v>
      </c>
      <c r="M266" s="21"/>
    </row>
    <row r="267" customFormat="false" ht="15" hidden="false" customHeight="false" outlineLevel="0" collapsed="false">
      <c r="A267" s="21" t="s">
        <v>377</v>
      </c>
      <c r="B267" s="21" t="s">
        <v>433</v>
      </c>
      <c r="C267" s="21" t="s">
        <v>434</v>
      </c>
      <c r="D267" s="37" t="n">
        <v>722</v>
      </c>
      <c r="E267" s="37" t="n">
        <v>774</v>
      </c>
      <c r="F267" s="63" t="n">
        <f aca="false">IF(E267="","",D267-E267)</f>
        <v>-52</v>
      </c>
      <c r="G267" s="37" t="n">
        <v>1013</v>
      </c>
      <c r="H267" s="37" t="n">
        <v>1032</v>
      </c>
      <c r="I267" s="63" t="n">
        <f aca="false">IF(H267="","",G267-H267)</f>
        <v>-19</v>
      </c>
      <c r="J267" s="52" t="n">
        <f aca="false">IF(OR(D267="",D267+G267=0),"",D267/(D267+G267))</f>
        <v>0.416138328530259</v>
      </c>
      <c r="K267" s="52" t="n">
        <f aca="false">IF(E267="","",E267/(E267+H267))</f>
        <v>0.428571428571429</v>
      </c>
      <c r="L267" s="64" t="n">
        <f aca="false">IF(OR(K267="",J267=""),"",(J267-K267)*100)</f>
        <v>-1.24331000411692</v>
      </c>
      <c r="M267" s="21"/>
    </row>
    <row r="268" customFormat="false" ht="15" hidden="false" customHeight="false" outlineLevel="0" collapsed="false">
      <c r="A268" s="21" t="s">
        <v>377</v>
      </c>
      <c r="B268" s="21" t="s">
        <v>433</v>
      </c>
      <c r="C268" s="21" t="s">
        <v>435</v>
      </c>
      <c r="D268" s="37" t="n">
        <v>720</v>
      </c>
      <c r="E268" s="37" t="n">
        <v>710</v>
      </c>
      <c r="F268" s="63" t="n">
        <f aca="false">IF(E268="","",D268-E268)</f>
        <v>10</v>
      </c>
      <c r="G268" s="37" t="n">
        <v>904</v>
      </c>
      <c r="H268" s="37" t="n">
        <v>927</v>
      </c>
      <c r="I268" s="63" t="n">
        <f aca="false">IF(H268="","",G268-H268)</f>
        <v>-23</v>
      </c>
      <c r="J268" s="52" t="n">
        <f aca="false">IF(OR(D268="",D268+G268=0),"",D268/(D268+G268))</f>
        <v>0.443349753694581</v>
      </c>
      <c r="K268" s="52" t="n">
        <f aca="false">IF(E268="","",E268/(E268+H268))</f>
        <v>0.433720219914478</v>
      </c>
      <c r="L268" s="64" t="n">
        <f aca="false">IF(OR(K268="",J268=""),"",(J268-K268)*100)</f>
        <v>0.962953378010362</v>
      </c>
      <c r="M268" s="21"/>
    </row>
    <row r="269" customFormat="false" ht="15" hidden="false" customHeight="false" outlineLevel="0" collapsed="false">
      <c r="A269" s="21" t="s">
        <v>377</v>
      </c>
      <c r="B269" s="21" t="s">
        <v>436</v>
      </c>
      <c r="C269" s="21" t="s">
        <v>436</v>
      </c>
      <c r="D269" s="37" t="n">
        <v>193</v>
      </c>
      <c r="E269" s="37" t="n">
        <v>217</v>
      </c>
      <c r="F269" s="63" t="n">
        <f aca="false">IF(E269="","",D269-E269)</f>
        <v>-24</v>
      </c>
      <c r="G269" s="37" t="n">
        <v>318</v>
      </c>
      <c r="H269" s="37" t="n">
        <v>309</v>
      </c>
      <c r="I269" s="63" t="n">
        <f aca="false">IF(H269="","",G269-H269)</f>
        <v>9</v>
      </c>
      <c r="J269" s="52" t="n">
        <f aca="false">IF(OR(D269="",D269+G269=0),"",D269/(D269+G269))</f>
        <v>0.377690802348337</v>
      </c>
      <c r="K269" s="52" t="n">
        <f aca="false">IF(E269="","",E269/(E269+H269))</f>
        <v>0.41254752851711</v>
      </c>
      <c r="L269" s="64" t="n">
        <f aca="false">IF(OR(K269="",J269=""),"",(J269-K269)*100)</f>
        <v>-3.48567261687737</v>
      </c>
      <c r="M269" s="21"/>
    </row>
    <row r="270" customFormat="false" ht="15" hidden="false" customHeight="false" outlineLevel="0" collapsed="false">
      <c r="A270" s="21" t="s">
        <v>377</v>
      </c>
      <c r="B270" s="21" t="s">
        <v>437</v>
      </c>
      <c r="C270" s="21" t="s">
        <v>438</v>
      </c>
      <c r="D270" s="37" t="n">
        <v>709</v>
      </c>
      <c r="E270" s="37"/>
      <c r="F270" s="63" t="str">
        <f aca="false">IF(E270="","",D270-E270)</f>
        <v/>
      </c>
      <c r="G270" s="37" t="n">
        <v>406</v>
      </c>
      <c r="H270" s="37"/>
      <c r="I270" s="63" t="str">
        <f aca="false">IF(H270="","",G270-H270)</f>
        <v/>
      </c>
      <c r="J270" s="52" t="n">
        <f aca="false">IF(OR(D270="",D270+G270=0),"",D270/(D270+G270))</f>
        <v>0.635874439461883</v>
      </c>
      <c r="K270" s="52" t="str">
        <f aca="false">IF(E270="","",E270/(E270+H270))</f>
        <v/>
      </c>
      <c r="L270" s="64" t="str">
        <f aca="false">IF(OR(K270="",J270=""),"",(J270-K270)*100)</f>
        <v/>
      </c>
      <c r="M270" s="21" t="s">
        <v>685</v>
      </c>
    </row>
    <row r="271" customFormat="false" ht="15" hidden="false" customHeight="false" outlineLevel="0" collapsed="false">
      <c r="A271" s="21" t="s">
        <v>377</v>
      </c>
      <c r="B271" s="21" t="s">
        <v>437</v>
      </c>
      <c r="C271" s="21" t="s">
        <v>439</v>
      </c>
      <c r="D271" s="37" t="n">
        <v>481</v>
      </c>
      <c r="E271" s="37"/>
      <c r="F271" s="63" t="str">
        <f aca="false">IF(E271="","",D271-E271)</f>
        <v/>
      </c>
      <c r="G271" s="37" t="n">
        <v>219</v>
      </c>
      <c r="H271" s="37"/>
      <c r="I271" s="63" t="str">
        <f aca="false">IF(H271="","",G271-H271)</f>
        <v/>
      </c>
      <c r="J271" s="52" t="n">
        <f aca="false">IF(OR(D271="",D271+G271=0),"",D271/(D271+G271))</f>
        <v>0.687142857142857</v>
      </c>
      <c r="K271" s="52" t="str">
        <f aca="false">IF(E271="","",E271/(E271+H271))</f>
        <v/>
      </c>
      <c r="L271" s="64" t="str">
        <f aca="false">IF(OR(K271="",J271=""),"",(J271-K271)*100)</f>
        <v/>
      </c>
      <c r="M271" s="21" t="s">
        <v>685</v>
      </c>
    </row>
    <row r="272" customFormat="false" ht="15" hidden="false" customHeight="false" outlineLevel="0" collapsed="false">
      <c r="A272" s="21" t="s">
        <v>377</v>
      </c>
      <c r="B272" s="21" t="s">
        <v>437</v>
      </c>
      <c r="C272" s="21" t="s">
        <v>440</v>
      </c>
      <c r="D272" s="37" t="n">
        <v>460</v>
      </c>
      <c r="E272" s="37" t="n">
        <v>492</v>
      </c>
      <c r="F272" s="63" t="n">
        <f aca="false">IF(E272="","",D272-E272)</f>
        <v>-32</v>
      </c>
      <c r="G272" s="37" t="n">
        <v>176</v>
      </c>
      <c r="H272" s="37" t="n">
        <v>197</v>
      </c>
      <c r="I272" s="63" t="n">
        <f aca="false">IF(H272="","",G272-H272)</f>
        <v>-21</v>
      </c>
      <c r="J272" s="52" t="n">
        <f aca="false">IF(OR(D272="",D272+G272=0),"",D272/(D272+G272))</f>
        <v>0.723270440251572</v>
      </c>
      <c r="K272" s="52" t="n">
        <f aca="false">IF(E272="","",E272/(E272+H272))</f>
        <v>0.714078374455733</v>
      </c>
      <c r="L272" s="64" t="n">
        <f aca="false">IF(OR(K272="",J272=""),"",(J272-K272)*100)</f>
        <v>0.919206579583931</v>
      </c>
      <c r="M272" s="21"/>
    </row>
    <row r="273" customFormat="false" ht="15" hidden="false" customHeight="false" outlineLevel="0" collapsed="false">
      <c r="A273" s="21" t="s">
        <v>377</v>
      </c>
      <c r="B273" s="21" t="s">
        <v>437</v>
      </c>
      <c r="C273" s="21" t="s">
        <v>441</v>
      </c>
      <c r="D273" s="37" t="n">
        <v>692</v>
      </c>
      <c r="E273" s="37" t="n">
        <v>743</v>
      </c>
      <c r="F273" s="63" t="n">
        <f aca="false">IF(E273="","",D273-E273)</f>
        <v>-51</v>
      </c>
      <c r="G273" s="37" t="n">
        <v>283</v>
      </c>
      <c r="H273" s="37" t="n">
        <v>265</v>
      </c>
      <c r="I273" s="63" t="n">
        <f aca="false">IF(H273="","",G273-H273)</f>
        <v>18</v>
      </c>
      <c r="J273" s="52" t="n">
        <f aca="false">IF(OR(D273="",D273+G273=0),"",D273/(D273+G273))</f>
        <v>0.70974358974359</v>
      </c>
      <c r="K273" s="52" t="n">
        <f aca="false">IF(E273="","",E273/(E273+H273))</f>
        <v>0.737103174603175</v>
      </c>
      <c r="L273" s="64" t="n">
        <f aca="false">IF(OR(K273="",J273=""),"",(J273-K273)*100)</f>
        <v>-2.73595848595849</v>
      </c>
      <c r="M273" s="21"/>
    </row>
    <row r="274" customFormat="false" ht="15" hidden="false" customHeight="false" outlineLevel="0" collapsed="false">
      <c r="A274" s="21" t="s">
        <v>377</v>
      </c>
      <c r="B274" s="21" t="s">
        <v>437</v>
      </c>
      <c r="C274" s="21" t="s">
        <v>442</v>
      </c>
      <c r="D274" s="37" t="n">
        <v>641</v>
      </c>
      <c r="E274" s="37" t="n">
        <v>1109</v>
      </c>
      <c r="F274" s="63" t="n">
        <f aca="false">IF(E274="","",D274-E274)</f>
        <v>-468</v>
      </c>
      <c r="G274" s="37" t="n">
        <v>182</v>
      </c>
      <c r="H274" s="37" t="n">
        <v>290</v>
      </c>
      <c r="I274" s="63" t="n">
        <f aca="false">IF(H274="","",G274-H274)</f>
        <v>-108</v>
      </c>
      <c r="J274" s="52" t="n">
        <f aca="false">IF(OR(D274="",D274+G274=0),"",D274/(D274+G274))</f>
        <v>0.778857837181045</v>
      </c>
      <c r="K274" s="52" t="n">
        <f aca="false">IF(E274="","",E274/(E274+H274))</f>
        <v>0.792709077912795</v>
      </c>
      <c r="L274" s="64" t="n">
        <f aca="false">IF(OR(K274="",J274=""),"",(J274-K274)*100)</f>
        <v>-1.38512407317499</v>
      </c>
      <c r="M274" s="21"/>
    </row>
    <row r="275" customFormat="false" ht="15" hidden="false" customHeight="false" outlineLevel="0" collapsed="false">
      <c r="A275" s="21" t="s">
        <v>377</v>
      </c>
      <c r="B275" s="21" t="s">
        <v>437</v>
      </c>
      <c r="C275" s="21" t="s">
        <v>443</v>
      </c>
      <c r="D275" s="37" t="n">
        <v>593</v>
      </c>
      <c r="E275" s="37" t="n">
        <v>566</v>
      </c>
      <c r="F275" s="63" t="n">
        <f aca="false">IF(E275="","",D275-E275)</f>
        <v>27</v>
      </c>
      <c r="G275" s="37" t="n">
        <v>254</v>
      </c>
      <c r="H275" s="37" t="n">
        <v>257</v>
      </c>
      <c r="I275" s="63" t="n">
        <f aca="false">IF(H275="","",G275-H275)</f>
        <v>-3</v>
      </c>
      <c r="J275" s="52" t="n">
        <f aca="false">IF(OR(D275="",D275+G275=0),"",D275/(D275+G275))</f>
        <v>0.700118063754427</v>
      </c>
      <c r="K275" s="52" t="n">
        <f aca="false">IF(E275="","",E275/(E275+H275))</f>
        <v>0.687727825030377</v>
      </c>
      <c r="L275" s="64" t="n">
        <f aca="false">IF(OR(K275="",J275=""),"",(J275-K275)*100)</f>
        <v>1.23902387240508</v>
      </c>
      <c r="M275" s="21"/>
    </row>
    <row r="276" customFormat="false" ht="15" hidden="false" customHeight="false" outlineLevel="0" collapsed="false">
      <c r="A276" s="21" t="s">
        <v>377</v>
      </c>
      <c r="B276" s="21" t="s">
        <v>437</v>
      </c>
      <c r="C276" s="21" t="s">
        <v>444</v>
      </c>
      <c r="D276" s="37" t="n">
        <v>519</v>
      </c>
      <c r="E276" s="37" t="n">
        <v>517</v>
      </c>
      <c r="F276" s="63" t="n">
        <f aca="false">IF(E276="","",D276-E276)</f>
        <v>2</v>
      </c>
      <c r="G276" s="37" t="n">
        <v>259</v>
      </c>
      <c r="H276" s="37" t="n">
        <v>265</v>
      </c>
      <c r="I276" s="63" t="n">
        <f aca="false">IF(H276="","",G276-H276)</f>
        <v>-6</v>
      </c>
      <c r="J276" s="52" t="n">
        <f aca="false">IF(OR(D276="",D276+G276=0),"",D276/(D276+G276))</f>
        <v>0.667095115681234</v>
      </c>
      <c r="K276" s="52" t="n">
        <f aca="false">IF(E276="","",E276/(E276+H276))</f>
        <v>0.661125319693095</v>
      </c>
      <c r="L276" s="64" t="n">
        <f aca="false">IF(OR(K276="",J276=""),"",(J276-K276)*100)</f>
        <v>0.596979598813929</v>
      </c>
      <c r="M276" s="21"/>
    </row>
    <row r="277" customFormat="false" ht="15" hidden="false" customHeight="false" outlineLevel="0" collapsed="false">
      <c r="A277" s="21" t="s">
        <v>377</v>
      </c>
      <c r="B277" s="21" t="s">
        <v>437</v>
      </c>
      <c r="C277" s="21" t="s">
        <v>445</v>
      </c>
      <c r="D277" s="37" t="n">
        <v>210</v>
      </c>
      <c r="E277" s="37" t="n">
        <v>233</v>
      </c>
      <c r="F277" s="63" t="n">
        <f aca="false">IF(E277="","",D277-E277)</f>
        <v>-23</v>
      </c>
      <c r="G277" s="37" t="n">
        <v>92</v>
      </c>
      <c r="H277" s="37" t="n">
        <v>84</v>
      </c>
      <c r="I277" s="63" t="n">
        <f aca="false">IF(H277="","",G277-H277)</f>
        <v>8</v>
      </c>
      <c r="J277" s="52" t="n">
        <f aca="false">IF(OR(D277="",D277+G277=0),"",D277/(D277+G277))</f>
        <v>0.695364238410596</v>
      </c>
      <c r="K277" s="52" t="n">
        <f aca="false">IF(E277="","",E277/(E277+H277))</f>
        <v>0.735015772870662</v>
      </c>
      <c r="L277" s="64" t="n">
        <f aca="false">IF(OR(K277="",J277=""),"",(J277-K277)*100)</f>
        <v>-3.96515344600664</v>
      </c>
      <c r="M277" s="21"/>
    </row>
    <row r="278" customFormat="false" ht="15" hidden="false" customHeight="false" outlineLevel="0" collapsed="false">
      <c r="A278" s="21" t="s">
        <v>377</v>
      </c>
      <c r="B278" s="21" t="s">
        <v>437</v>
      </c>
      <c r="C278" s="21" t="s">
        <v>446</v>
      </c>
      <c r="D278" s="37" t="n">
        <v>362</v>
      </c>
      <c r="E278" s="37" t="n">
        <v>391</v>
      </c>
      <c r="F278" s="63" t="n">
        <f aca="false">IF(E278="","",D278-E278)</f>
        <v>-29</v>
      </c>
      <c r="G278" s="37" t="n">
        <v>134</v>
      </c>
      <c r="H278" s="37" t="n">
        <v>126</v>
      </c>
      <c r="I278" s="63" t="n">
        <f aca="false">IF(H278="","",G278-H278)</f>
        <v>8</v>
      </c>
      <c r="J278" s="52" t="n">
        <f aca="false">IF(OR(D278="",D278+G278=0),"",D278/(D278+G278))</f>
        <v>0.729838709677419</v>
      </c>
      <c r="K278" s="52" t="n">
        <f aca="false">IF(E278="","",E278/(E278+H278))</f>
        <v>0.756286266924565</v>
      </c>
      <c r="L278" s="64" t="n">
        <f aca="false">IF(OR(K278="",J278=""),"",(J278-K278)*100)</f>
        <v>-2.64475572471454</v>
      </c>
      <c r="M278" s="21"/>
    </row>
    <row r="279" customFormat="false" ht="15" hidden="false" customHeight="false" outlineLevel="0" collapsed="false">
      <c r="A279" s="21" t="s">
        <v>377</v>
      </c>
      <c r="B279" s="21" t="s">
        <v>437</v>
      </c>
      <c r="C279" s="21" t="s">
        <v>447</v>
      </c>
      <c r="D279" s="37" t="n">
        <v>412</v>
      </c>
      <c r="E279" s="37" t="n">
        <v>381</v>
      </c>
      <c r="F279" s="63" t="n">
        <f aca="false">IF(E279="","",D279-E279)</f>
        <v>31</v>
      </c>
      <c r="G279" s="37" t="n">
        <v>160</v>
      </c>
      <c r="H279" s="37" t="n">
        <v>184</v>
      </c>
      <c r="I279" s="63" t="n">
        <f aca="false">IF(H279="","",G279-H279)</f>
        <v>-24</v>
      </c>
      <c r="J279" s="52" t="n">
        <f aca="false">IF(OR(D279="",D279+G279=0),"",D279/(D279+G279))</f>
        <v>0.72027972027972</v>
      </c>
      <c r="K279" s="52" t="n">
        <f aca="false">IF(E279="","",E279/(E279+H279))</f>
        <v>0.674336283185841</v>
      </c>
      <c r="L279" s="64" t="n">
        <f aca="false">IF(OR(K279="",J279=""),"",(J279-K279)*100)</f>
        <v>4.59434370938796</v>
      </c>
      <c r="M279" s="21"/>
    </row>
    <row r="280" customFormat="false" ht="15" hidden="false" customHeight="false" outlineLevel="0" collapsed="false">
      <c r="A280" s="21" t="s">
        <v>377</v>
      </c>
      <c r="B280" s="21" t="s">
        <v>437</v>
      </c>
      <c r="C280" s="21" t="s">
        <v>448</v>
      </c>
      <c r="D280" s="37" t="n">
        <v>706</v>
      </c>
      <c r="E280" s="37"/>
      <c r="F280" s="63" t="str">
        <f aca="false">IF(E280="","",D280-E280)</f>
        <v/>
      </c>
      <c r="G280" s="37" t="n">
        <v>410</v>
      </c>
      <c r="H280" s="37"/>
      <c r="I280" s="63" t="str">
        <f aca="false">IF(H280="","",G280-H280)</f>
        <v/>
      </c>
      <c r="J280" s="52" t="n">
        <f aca="false">IF(OR(D280="",D280+G280=0),"",D280/(D280+G280))</f>
        <v>0.632616487455197</v>
      </c>
      <c r="K280" s="52" t="str">
        <f aca="false">IF(E280="","",E280/(E280+H280))</f>
        <v/>
      </c>
      <c r="L280" s="64" t="str">
        <f aca="false">IF(OR(K280="",J280=""),"",(J280-K280)*100)</f>
        <v/>
      </c>
      <c r="M280" s="21" t="s">
        <v>685</v>
      </c>
    </row>
    <row r="281" customFormat="false" ht="15" hidden="false" customHeight="false" outlineLevel="0" collapsed="false">
      <c r="A281" s="21" t="s">
        <v>377</v>
      </c>
      <c r="B281" s="21" t="s">
        <v>437</v>
      </c>
      <c r="C281" s="21" t="s">
        <v>449</v>
      </c>
      <c r="D281" s="37" t="n">
        <v>944</v>
      </c>
      <c r="E281" s="37" t="n">
        <v>912</v>
      </c>
      <c r="F281" s="63" t="n">
        <f aca="false">IF(E281="","",D281-E281)</f>
        <v>32</v>
      </c>
      <c r="G281" s="37" t="n">
        <v>442</v>
      </c>
      <c r="H281" s="37" t="n">
        <v>445</v>
      </c>
      <c r="I281" s="63" t="n">
        <f aca="false">IF(H281="","",G281-H281)</f>
        <v>-3</v>
      </c>
      <c r="J281" s="52" t="n">
        <f aca="false">IF(OR(D281="",D281+G281=0),"",D281/(D281+G281))</f>
        <v>0.681096681096681</v>
      </c>
      <c r="K281" s="52" t="n">
        <f aca="false">IF(E281="","",E281/(E281+H281))</f>
        <v>0.672070744288873</v>
      </c>
      <c r="L281" s="64" t="n">
        <f aca="false">IF(OR(K281="",J281=""),"",(J281-K281)*100)</f>
        <v>0.902593680780861</v>
      </c>
      <c r="M281" s="21"/>
    </row>
    <row r="282" customFormat="false" ht="15" hidden="false" customHeight="false" outlineLevel="0" collapsed="false">
      <c r="A282" s="21" t="s">
        <v>377</v>
      </c>
      <c r="B282" s="21" t="s">
        <v>450</v>
      </c>
      <c r="C282" s="21" t="s">
        <v>451</v>
      </c>
      <c r="D282" s="37" t="n">
        <v>1398</v>
      </c>
      <c r="E282" s="37"/>
      <c r="F282" s="63" t="str">
        <f aca="false">IF(E282="","",D282-E282)</f>
        <v/>
      </c>
      <c r="G282" s="37" t="n">
        <v>1407</v>
      </c>
      <c r="H282" s="37"/>
      <c r="I282" s="63" t="str">
        <f aca="false">IF(H282="","",G282-H282)</f>
        <v/>
      </c>
      <c r="J282" s="52" t="n">
        <f aca="false">IF(OR(D282="",D282+G282=0),"",D282/(D282+G282))</f>
        <v>0.498395721925134</v>
      </c>
      <c r="K282" s="52" t="str">
        <f aca="false">IF(E282="","",E282/(E282+H282))</f>
        <v/>
      </c>
      <c r="L282" s="64" t="str">
        <f aca="false">IF(OR(K282="",J282=""),"",(J282-K282)*100)</f>
        <v/>
      </c>
      <c r="M282" s="21" t="s">
        <v>685</v>
      </c>
    </row>
    <row r="283" customFormat="false" ht="15" hidden="false" customHeight="false" outlineLevel="0" collapsed="false">
      <c r="A283" s="21" t="s">
        <v>377</v>
      </c>
      <c r="B283" s="21" t="s">
        <v>450</v>
      </c>
      <c r="C283" s="21" t="s">
        <v>452</v>
      </c>
      <c r="D283" s="37" t="n">
        <v>642</v>
      </c>
      <c r="E283" s="37"/>
      <c r="F283" s="63" t="str">
        <f aca="false">IF(E283="","",D283-E283)</f>
        <v/>
      </c>
      <c r="G283" s="37" t="n">
        <v>650</v>
      </c>
      <c r="H283" s="37"/>
      <c r="I283" s="63" t="str">
        <f aca="false">IF(H283="","",G283-H283)</f>
        <v/>
      </c>
      <c r="J283" s="52" t="n">
        <f aca="false">IF(OR(D283="",D283+G283=0),"",D283/(D283+G283))</f>
        <v>0.496904024767802</v>
      </c>
      <c r="K283" s="52" t="str">
        <f aca="false">IF(E283="","",E283/(E283+H283))</f>
        <v/>
      </c>
      <c r="L283" s="64" t="str">
        <f aca="false">IF(OR(K283="",J283=""),"",(J283-K283)*100)</f>
        <v/>
      </c>
      <c r="M283" s="21" t="s">
        <v>685</v>
      </c>
    </row>
    <row r="284" customFormat="false" ht="15" hidden="false" customHeight="false" outlineLevel="0" collapsed="false">
      <c r="A284" s="21" t="s">
        <v>377</v>
      </c>
      <c r="B284" s="21" t="s">
        <v>450</v>
      </c>
      <c r="C284" s="21" t="s">
        <v>453</v>
      </c>
      <c r="D284" s="37" t="n">
        <v>803</v>
      </c>
      <c r="E284" s="37"/>
      <c r="F284" s="63" t="str">
        <f aca="false">IF(E284="","",D284-E284)</f>
        <v/>
      </c>
      <c r="G284" s="37" t="n">
        <v>750</v>
      </c>
      <c r="H284" s="37"/>
      <c r="I284" s="63" t="str">
        <f aca="false">IF(H284="","",G284-H284)</f>
        <v/>
      </c>
      <c r="J284" s="52" t="n">
        <f aca="false">IF(OR(D284="",D284+G284=0),"",D284/(D284+G284))</f>
        <v>0.517063747585319</v>
      </c>
      <c r="K284" s="52" t="str">
        <f aca="false">IF(E284="","",E284/(E284+H284))</f>
        <v/>
      </c>
      <c r="L284" s="64" t="str">
        <f aca="false">IF(OR(K284="",J284=""),"",(J284-K284)*100)</f>
        <v/>
      </c>
      <c r="M284" s="21" t="s">
        <v>685</v>
      </c>
    </row>
    <row r="285" customFormat="false" ht="15" hidden="false" customHeight="false" outlineLevel="0" collapsed="false">
      <c r="A285" s="21" t="s">
        <v>377</v>
      </c>
      <c r="B285" s="21" t="s">
        <v>450</v>
      </c>
      <c r="C285" s="21" t="s">
        <v>454</v>
      </c>
      <c r="D285" s="37" t="n">
        <v>732</v>
      </c>
      <c r="E285" s="37"/>
      <c r="F285" s="63" t="str">
        <f aca="false">IF(E285="","",D285-E285)</f>
        <v/>
      </c>
      <c r="G285" s="37" t="n">
        <v>700</v>
      </c>
      <c r="H285" s="37"/>
      <c r="I285" s="63" t="str">
        <f aca="false">IF(H285="","",G285-H285)</f>
        <v/>
      </c>
      <c r="J285" s="52" t="n">
        <f aca="false">IF(OR(D285="",D285+G285=0),"",D285/(D285+G285))</f>
        <v>0.511173184357542</v>
      </c>
      <c r="K285" s="52" t="str">
        <f aca="false">IF(E285="","",E285/(E285+H285))</f>
        <v/>
      </c>
      <c r="L285" s="64" t="str">
        <f aca="false">IF(OR(K285="",J285=""),"",(J285-K285)*100)</f>
        <v/>
      </c>
      <c r="M285" s="21" t="s">
        <v>685</v>
      </c>
    </row>
    <row r="286" customFormat="false" ht="15" hidden="false" customHeight="false" outlineLevel="0" collapsed="false">
      <c r="A286" s="21" t="s">
        <v>377</v>
      </c>
      <c r="B286" s="21" t="s">
        <v>450</v>
      </c>
      <c r="C286" s="21" t="s">
        <v>455</v>
      </c>
      <c r="D286" s="37" t="n">
        <v>964</v>
      </c>
      <c r="E286" s="37" t="n">
        <v>975</v>
      </c>
      <c r="F286" s="63" t="n">
        <f aca="false">IF(E286="","",D286-E286)</f>
        <v>-11</v>
      </c>
      <c r="G286" s="37" t="n">
        <v>893</v>
      </c>
      <c r="H286" s="37" t="n">
        <v>935</v>
      </c>
      <c r="I286" s="63" t="n">
        <f aca="false">IF(H286="","",G286-H286)</f>
        <v>-42</v>
      </c>
      <c r="J286" s="52" t="n">
        <f aca="false">IF(OR(D286="",D286+G286=0),"",D286/(D286+G286))</f>
        <v>0.519116855142703</v>
      </c>
      <c r="K286" s="52" t="n">
        <f aca="false">IF(E286="","",E286/(E286+H286))</f>
        <v>0.510471204188482</v>
      </c>
      <c r="L286" s="64" t="n">
        <f aca="false">IF(OR(K286="",J286=""),"",(J286-K286)*100)</f>
        <v>0.864565095422165</v>
      </c>
      <c r="M286" s="21"/>
    </row>
    <row r="287" customFormat="false" ht="15" hidden="false" customHeight="false" outlineLevel="0" collapsed="false">
      <c r="A287" s="21" t="s">
        <v>377</v>
      </c>
      <c r="B287" s="21" t="s">
        <v>450</v>
      </c>
      <c r="C287" s="21" t="s">
        <v>456</v>
      </c>
      <c r="D287" s="37" t="n">
        <v>785</v>
      </c>
      <c r="E287" s="37"/>
      <c r="F287" s="63" t="str">
        <f aca="false">IF(E287="","",D287-E287)</f>
        <v/>
      </c>
      <c r="G287" s="37" t="n">
        <v>785</v>
      </c>
      <c r="H287" s="37"/>
      <c r="I287" s="63" t="str">
        <f aca="false">IF(H287="","",G287-H287)</f>
        <v/>
      </c>
      <c r="J287" s="52" t="n">
        <f aca="false">IF(OR(D287="",D287+G287=0),"",D287/(D287+G287))</f>
        <v>0.5</v>
      </c>
      <c r="K287" s="52" t="str">
        <f aca="false">IF(E287="","",E287/(E287+H287))</f>
        <v/>
      </c>
      <c r="L287" s="64" t="str">
        <f aca="false">IF(OR(K287="",J287=""),"",(J287-K287)*100)</f>
        <v/>
      </c>
      <c r="M287" s="21" t="s">
        <v>685</v>
      </c>
    </row>
    <row r="288" customFormat="false" ht="15" hidden="false" customHeight="false" outlineLevel="0" collapsed="false">
      <c r="A288" s="21" t="s">
        <v>377</v>
      </c>
      <c r="B288" s="21" t="s">
        <v>450</v>
      </c>
      <c r="C288" s="21" t="s">
        <v>457</v>
      </c>
      <c r="D288" s="37" t="n">
        <v>665</v>
      </c>
      <c r="E288" s="37"/>
      <c r="F288" s="63" t="str">
        <f aca="false">IF(E288="","",D288-E288)</f>
        <v/>
      </c>
      <c r="G288" s="37" t="n">
        <v>744</v>
      </c>
      <c r="H288" s="37"/>
      <c r="I288" s="63" t="str">
        <f aca="false">IF(H288="","",G288-H288)</f>
        <v/>
      </c>
      <c r="J288" s="52" t="n">
        <f aca="false">IF(OR(D288="",D288+G288=0),"",D288/(D288+G288))</f>
        <v>0.471965933286018</v>
      </c>
      <c r="K288" s="52" t="str">
        <f aca="false">IF(E288="","",E288/(E288+H288))</f>
        <v/>
      </c>
      <c r="L288" s="64" t="str">
        <f aca="false">IF(OR(K288="",J288=""),"",(J288-K288)*100)</f>
        <v/>
      </c>
      <c r="M288" s="21" t="s">
        <v>685</v>
      </c>
    </row>
    <row r="289" customFormat="false" ht="15" hidden="false" customHeight="false" outlineLevel="0" collapsed="false">
      <c r="A289" s="21" t="s">
        <v>377</v>
      </c>
      <c r="B289" s="21" t="s">
        <v>458</v>
      </c>
      <c r="C289" s="21" t="s">
        <v>458</v>
      </c>
      <c r="D289" s="37" t="n">
        <v>741</v>
      </c>
      <c r="E289" s="37" t="n">
        <v>714</v>
      </c>
      <c r="F289" s="63" t="n">
        <f aca="false">IF(E289="","",D289-E289)</f>
        <v>27</v>
      </c>
      <c r="G289" s="37" t="n">
        <v>524</v>
      </c>
      <c r="H289" s="37" t="n">
        <v>484</v>
      </c>
      <c r="I289" s="63" t="n">
        <f aca="false">IF(H289="","",G289-H289)</f>
        <v>40</v>
      </c>
      <c r="J289" s="52" t="n">
        <f aca="false">IF(OR(D289="",D289+G289=0),"",D289/(D289+G289))</f>
        <v>0.585770750988142</v>
      </c>
      <c r="K289" s="52" t="n">
        <f aca="false">IF(E289="","",E289/(E289+H289))</f>
        <v>0.595993322203673</v>
      </c>
      <c r="L289" s="64" t="n">
        <f aca="false">IF(OR(K289="",J289=""),"",(J289-K289)*100)</f>
        <v>-1.02225712155305</v>
      </c>
      <c r="M289" s="21"/>
    </row>
    <row r="290" customFormat="false" ht="15" hidden="false" customHeight="false" outlineLevel="0" collapsed="false">
      <c r="A290" s="21" t="s">
        <v>377</v>
      </c>
      <c r="B290" s="21" t="s">
        <v>459</v>
      </c>
      <c r="C290" s="21" t="s">
        <v>459</v>
      </c>
      <c r="D290" s="37" t="n">
        <v>99</v>
      </c>
      <c r="E290" s="37" t="n">
        <v>109</v>
      </c>
      <c r="F290" s="63" t="n">
        <f aca="false">IF(E290="","",D290-E290)</f>
        <v>-10</v>
      </c>
      <c r="G290" s="37" t="n">
        <v>106</v>
      </c>
      <c r="H290" s="37" t="n">
        <v>97</v>
      </c>
      <c r="I290" s="63" t="n">
        <f aca="false">IF(H290="","",G290-H290)</f>
        <v>9</v>
      </c>
      <c r="J290" s="52" t="n">
        <f aca="false">IF(OR(D290="",D290+G290=0),"",D290/(D290+G290))</f>
        <v>0.482926829268293</v>
      </c>
      <c r="K290" s="52" t="n">
        <f aca="false">IF(E290="","",E290/(E290+H290))</f>
        <v>0.529126213592233</v>
      </c>
      <c r="L290" s="64" t="n">
        <f aca="false">IF(OR(K290="",J290=""),"",(J290-K290)*100)</f>
        <v>-4.61993843239403</v>
      </c>
      <c r="M290" s="21"/>
    </row>
    <row r="291" customFormat="false" ht="15" hidden="false" customHeight="false" outlineLevel="0" collapsed="false">
      <c r="A291" s="21" t="s">
        <v>377</v>
      </c>
      <c r="B291" s="21" t="s">
        <v>284</v>
      </c>
      <c r="C291" s="21" t="s">
        <v>460</v>
      </c>
      <c r="D291" s="37" t="n">
        <v>916</v>
      </c>
      <c r="E291" s="37" t="n">
        <v>955</v>
      </c>
      <c r="F291" s="63" t="n">
        <f aca="false">IF(E291="","",D291-E291)</f>
        <v>-39</v>
      </c>
      <c r="G291" s="37" t="n">
        <v>724</v>
      </c>
      <c r="H291" s="37" t="n">
        <v>692</v>
      </c>
      <c r="I291" s="63" t="n">
        <f aca="false">IF(H291="","",G291-H291)</f>
        <v>32</v>
      </c>
      <c r="J291" s="52" t="n">
        <f aca="false">IF(OR(D291="",D291+G291=0),"",D291/(D291+G291))</f>
        <v>0.558536585365854</v>
      </c>
      <c r="K291" s="52" t="n">
        <f aca="false">IF(E291="","",E291/(E291+H291))</f>
        <v>0.579842137219186</v>
      </c>
      <c r="L291" s="64" t="n">
        <f aca="false">IF(OR(K291="",J291=""),"",(J291-K291)*100)</f>
        <v>-2.13055518533327</v>
      </c>
      <c r="M291" s="21"/>
    </row>
    <row r="292" customFormat="false" ht="15" hidden="false" customHeight="false" outlineLevel="0" collapsed="false">
      <c r="A292" s="21" t="s">
        <v>377</v>
      </c>
      <c r="B292" s="21" t="s">
        <v>284</v>
      </c>
      <c r="C292" s="21" t="s">
        <v>461</v>
      </c>
      <c r="D292" s="37" t="n">
        <v>858</v>
      </c>
      <c r="E292" s="37" t="n">
        <v>910</v>
      </c>
      <c r="F292" s="63" t="n">
        <f aca="false">IF(E292="","",D292-E292)</f>
        <v>-52</v>
      </c>
      <c r="G292" s="37" t="n">
        <v>766</v>
      </c>
      <c r="H292" s="37" t="n">
        <v>742</v>
      </c>
      <c r="I292" s="63" t="n">
        <f aca="false">IF(H292="","",G292-H292)</f>
        <v>24</v>
      </c>
      <c r="J292" s="52" t="n">
        <f aca="false">IF(OR(D292="",D292+G292=0),"",D292/(D292+G292))</f>
        <v>0.528325123152709</v>
      </c>
      <c r="K292" s="52" t="n">
        <f aca="false">IF(E292="","",E292/(E292+H292))</f>
        <v>0.550847457627119</v>
      </c>
      <c r="L292" s="64" t="n">
        <f aca="false">IF(OR(K292="",J292=""),"",(J292-K292)*100)</f>
        <v>-2.25223344744092</v>
      </c>
      <c r="M292" s="21"/>
    </row>
    <row r="293" customFormat="false" ht="15" hidden="false" customHeight="false" outlineLevel="0" collapsed="false">
      <c r="A293" s="21" t="s">
        <v>377</v>
      </c>
      <c r="B293" s="21" t="s">
        <v>284</v>
      </c>
      <c r="C293" s="21" t="s">
        <v>462</v>
      </c>
      <c r="D293" s="37" t="n">
        <v>434</v>
      </c>
      <c r="E293" s="37" t="n">
        <v>446</v>
      </c>
      <c r="F293" s="63" t="n">
        <f aca="false">IF(E293="","",D293-E293)</f>
        <v>-12</v>
      </c>
      <c r="G293" s="37" t="n">
        <v>421</v>
      </c>
      <c r="H293" s="37" t="n">
        <v>410</v>
      </c>
      <c r="I293" s="63" t="n">
        <f aca="false">IF(H293="","",G293-H293)</f>
        <v>11</v>
      </c>
      <c r="J293" s="52" t="n">
        <f aca="false">IF(OR(D293="",D293+G293=0),"",D293/(D293+G293))</f>
        <v>0.507602339181287</v>
      </c>
      <c r="K293" s="52" t="n">
        <f aca="false">IF(E293="","",E293/(E293+H293))</f>
        <v>0.521028037383178</v>
      </c>
      <c r="L293" s="64" t="n">
        <f aca="false">IF(OR(K293="",J293=""),"",(J293-K293)*100)</f>
        <v>-1.34256982018911</v>
      </c>
      <c r="M293" s="21"/>
    </row>
    <row r="294" customFormat="false" ht="15" hidden="false" customHeight="false" outlineLevel="0" collapsed="false">
      <c r="A294" s="21" t="s">
        <v>377</v>
      </c>
      <c r="B294" s="21" t="s">
        <v>284</v>
      </c>
      <c r="C294" s="21" t="s">
        <v>463</v>
      </c>
      <c r="D294" s="37" t="n">
        <v>733</v>
      </c>
      <c r="E294" s="37" t="n">
        <v>744</v>
      </c>
      <c r="F294" s="63" t="n">
        <f aca="false">IF(E294="","",D294-E294)</f>
        <v>-11</v>
      </c>
      <c r="G294" s="37" t="n">
        <v>704</v>
      </c>
      <c r="H294" s="37" t="n">
        <v>678</v>
      </c>
      <c r="I294" s="63" t="n">
        <f aca="false">IF(H294="","",G294-H294)</f>
        <v>26</v>
      </c>
      <c r="J294" s="52" t="n">
        <f aca="false">IF(OR(D294="",D294+G294=0),"",D294/(D294+G294))</f>
        <v>0.51009046624913</v>
      </c>
      <c r="K294" s="52" t="n">
        <f aca="false">IF(E294="","",E294/(E294+H294))</f>
        <v>0.523206751054852</v>
      </c>
      <c r="L294" s="64" t="n">
        <f aca="false">IF(OR(K294="",J294=""),"",(J294-K294)*100)</f>
        <v>-1.31162848057222</v>
      </c>
      <c r="M294" s="21"/>
    </row>
    <row r="295" customFormat="false" ht="15" hidden="false" customHeight="false" outlineLevel="0" collapsed="false">
      <c r="A295" s="21" t="s">
        <v>377</v>
      </c>
      <c r="B295" s="21" t="s">
        <v>284</v>
      </c>
      <c r="C295" s="21" t="s">
        <v>464</v>
      </c>
      <c r="D295" s="37" t="n">
        <v>772</v>
      </c>
      <c r="E295" s="37" t="n">
        <v>775</v>
      </c>
      <c r="F295" s="63" t="n">
        <f aca="false">IF(E295="","",D295-E295)</f>
        <v>-3</v>
      </c>
      <c r="G295" s="37" t="n">
        <v>645</v>
      </c>
      <c r="H295" s="37" t="n">
        <v>645</v>
      </c>
      <c r="I295" s="63" t="n">
        <f aca="false">IF(H295="","",G295-H295)</f>
        <v>0</v>
      </c>
      <c r="J295" s="52" t="n">
        <f aca="false">IF(OR(D295="",D295+G295=0),"",D295/(D295+G295))</f>
        <v>0.544812985179958</v>
      </c>
      <c r="K295" s="52" t="n">
        <f aca="false">IF(E295="","",E295/(E295+H295))</f>
        <v>0.545774647887324</v>
      </c>
      <c r="L295" s="64" t="n">
        <f aca="false">IF(OR(K295="",J295=""),"",(J295-K295)*100)</f>
        <v>-0.0961662707366306</v>
      </c>
      <c r="M295" s="21"/>
    </row>
    <row r="296" customFormat="false" ht="15" hidden="false" customHeight="false" outlineLevel="0" collapsed="false">
      <c r="A296" s="21" t="s">
        <v>377</v>
      </c>
      <c r="B296" s="21" t="s">
        <v>284</v>
      </c>
      <c r="C296" s="21" t="s">
        <v>465</v>
      </c>
      <c r="D296" s="37" t="n">
        <v>504</v>
      </c>
      <c r="E296" s="37" t="n">
        <v>511</v>
      </c>
      <c r="F296" s="63" t="n">
        <f aca="false">IF(E296="","",D296-E296)</f>
        <v>-7</v>
      </c>
      <c r="G296" s="37" t="n">
        <v>473</v>
      </c>
      <c r="H296" s="37" t="n">
        <v>453</v>
      </c>
      <c r="I296" s="63" t="n">
        <f aca="false">IF(H296="","",G296-H296)</f>
        <v>20</v>
      </c>
      <c r="J296" s="52" t="n">
        <f aca="false">IF(OR(D296="",D296+G296=0),"",D296/(D296+G296))</f>
        <v>0.515864892528147</v>
      </c>
      <c r="K296" s="52" t="n">
        <f aca="false">IF(E296="","",E296/(E296+H296))</f>
        <v>0.530082987551867</v>
      </c>
      <c r="L296" s="64" t="n">
        <f aca="false">IF(OR(K296="",J296=""),"",(J296-K296)*100)</f>
        <v>-1.42180950237198</v>
      </c>
      <c r="M296" s="21"/>
    </row>
    <row r="297" customFormat="false" ht="15" hidden="false" customHeight="false" outlineLevel="0" collapsed="false">
      <c r="A297" s="21" t="s">
        <v>377</v>
      </c>
      <c r="B297" s="21" t="s">
        <v>466</v>
      </c>
      <c r="C297" s="21" t="s">
        <v>467</v>
      </c>
      <c r="D297" s="37" t="n">
        <v>575</v>
      </c>
      <c r="E297" s="37" t="n">
        <v>553</v>
      </c>
      <c r="F297" s="63" t="n">
        <f aca="false">IF(E297="","",D297-E297)</f>
        <v>22</v>
      </c>
      <c r="G297" s="37" t="n">
        <v>617</v>
      </c>
      <c r="H297" s="37" t="n">
        <v>581</v>
      </c>
      <c r="I297" s="63" t="n">
        <f aca="false">IF(H297="","",G297-H297)</f>
        <v>36</v>
      </c>
      <c r="J297" s="52" t="n">
        <f aca="false">IF(OR(D297="",D297+G297=0),"",D297/(D297+G297))</f>
        <v>0.482382550335571</v>
      </c>
      <c r="K297" s="52" t="n">
        <f aca="false">IF(E297="","",E297/(E297+H297))</f>
        <v>0.487654320987654</v>
      </c>
      <c r="L297" s="64" t="n">
        <f aca="false">IF(OR(K297="",J297=""),"",(J297-K297)*100)</f>
        <v>-0.527177065208384</v>
      </c>
      <c r="M297" s="21"/>
    </row>
    <row r="298" customFormat="false" ht="15" hidden="false" customHeight="false" outlineLevel="0" collapsed="false">
      <c r="A298" s="21" t="s">
        <v>377</v>
      </c>
      <c r="B298" s="21" t="s">
        <v>466</v>
      </c>
      <c r="C298" s="21" t="s">
        <v>468</v>
      </c>
      <c r="D298" s="37" t="n">
        <v>458</v>
      </c>
      <c r="E298" s="37" t="n">
        <v>473</v>
      </c>
      <c r="F298" s="63" t="n">
        <f aca="false">IF(E298="","",D298-E298)</f>
        <v>-15</v>
      </c>
      <c r="G298" s="37" t="n">
        <v>437</v>
      </c>
      <c r="H298" s="37" t="n">
        <v>465</v>
      </c>
      <c r="I298" s="63" t="n">
        <f aca="false">IF(H298="","",G298-H298)</f>
        <v>-28</v>
      </c>
      <c r="J298" s="52" t="n">
        <f aca="false">IF(OR(D298="",D298+G298=0),"",D298/(D298+G298))</f>
        <v>0.511731843575419</v>
      </c>
      <c r="K298" s="52" t="n">
        <f aca="false">IF(E298="","",E298/(E298+H298))</f>
        <v>0.504264392324094</v>
      </c>
      <c r="L298" s="64" t="n">
        <f aca="false">IF(OR(K298="",J298=""),"",(J298-K298)*100)</f>
        <v>0.74674512513252</v>
      </c>
      <c r="M298" s="21"/>
    </row>
    <row r="299" customFormat="false" ht="15" hidden="false" customHeight="false" outlineLevel="0" collapsed="false">
      <c r="A299" s="21" t="s">
        <v>377</v>
      </c>
      <c r="B299" s="21" t="s">
        <v>466</v>
      </c>
      <c r="C299" s="21" t="s">
        <v>469</v>
      </c>
      <c r="D299" s="37" t="n">
        <v>674</v>
      </c>
      <c r="E299" s="37" t="n">
        <v>700</v>
      </c>
      <c r="F299" s="63" t="n">
        <f aca="false">IF(E299="","",D299-E299)</f>
        <v>-26</v>
      </c>
      <c r="G299" s="37" t="n">
        <v>598</v>
      </c>
      <c r="H299" s="37" t="n">
        <v>639</v>
      </c>
      <c r="I299" s="63" t="n">
        <f aca="false">IF(H299="","",G299-H299)</f>
        <v>-41</v>
      </c>
      <c r="J299" s="52" t="n">
        <f aca="false">IF(OR(D299="",D299+G299=0),"",D299/(D299+G299))</f>
        <v>0.529874213836478</v>
      </c>
      <c r="K299" s="52" t="n">
        <f aca="false">IF(E299="","",E299/(E299+H299))</f>
        <v>0.522778192681105</v>
      </c>
      <c r="L299" s="64" t="n">
        <f aca="false">IF(OR(K299="",J299=""),"",(J299-K299)*100)</f>
        <v>0.709602115537278</v>
      </c>
      <c r="M299" s="21"/>
    </row>
    <row r="300" customFormat="false" ht="15" hidden="false" customHeight="false" outlineLevel="0" collapsed="false">
      <c r="A300" s="21" t="s">
        <v>377</v>
      </c>
      <c r="B300" s="21" t="s">
        <v>470</v>
      </c>
      <c r="C300" s="21" t="s">
        <v>471</v>
      </c>
      <c r="D300" s="37" t="n">
        <v>556</v>
      </c>
      <c r="E300" s="37" t="n">
        <v>546</v>
      </c>
      <c r="F300" s="63" t="n">
        <f aca="false">IF(E300="","",D300-E300)</f>
        <v>10</v>
      </c>
      <c r="G300" s="37" t="n">
        <v>1102</v>
      </c>
      <c r="H300" s="37" t="n">
        <v>1089</v>
      </c>
      <c r="I300" s="63" t="n">
        <f aca="false">IF(H300="","",G300-H300)</f>
        <v>13</v>
      </c>
      <c r="J300" s="52" t="n">
        <f aca="false">IF(OR(D300="",D300+G300=0),"",D300/(D300+G300))</f>
        <v>0.335343787696019</v>
      </c>
      <c r="K300" s="52" t="n">
        <f aca="false">IF(E300="","",E300/(E300+H300))</f>
        <v>0.33394495412844</v>
      </c>
      <c r="L300" s="64" t="n">
        <f aca="false">IF(OR(K300="",J300=""),"",(J300-K300)*100)</f>
        <v>0.139883356757892</v>
      </c>
      <c r="M300" s="21"/>
    </row>
    <row r="301" customFormat="false" ht="15" hidden="false" customHeight="false" outlineLevel="0" collapsed="false">
      <c r="A301" s="21" t="s">
        <v>377</v>
      </c>
      <c r="B301" s="21" t="s">
        <v>470</v>
      </c>
      <c r="C301" s="21" t="s">
        <v>472</v>
      </c>
      <c r="D301" s="37" t="n">
        <v>634</v>
      </c>
      <c r="E301" s="37" t="n">
        <v>636</v>
      </c>
      <c r="F301" s="63" t="n">
        <f aca="false">IF(E301="","",D301-E301)</f>
        <v>-2</v>
      </c>
      <c r="G301" s="37" t="n">
        <v>1216</v>
      </c>
      <c r="H301" s="37" t="n">
        <v>1262</v>
      </c>
      <c r="I301" s="63" t="n">
        <f aca="false">IF(H301="","",G301-H301)</f>
        <v>-46</v>
      </c>
      <c r="J301" s="52" t="n">
        <f aca="false">IF(OR(D301="",D301+G301=0),"",D301/(D301+G301))</f>
        <v>0.342702702702703</v>
      </c>
      <c r="K301" s="52" t="n">
        <f aca="false">IF(E301="","",E301/(E301+H301))</f>
        <v>0.33508956796628</v>
      </c>
      <c r="L301" s="64" t="n">
        <f aca="false">IF(OR(K301="",J301=""),"",(J301-K301)*100)</f>
        <v>0.761313473642239</v>
      </c>
      <c r="M301" s="21"/>
    </row>
    <row r="302" customFormat="false" ht="15" hidden="false" customHeight="false" outlineLevel="0" collapsed="false">
      <c r="A302" s="21" t="s">
        <v>377</v>
      </c>
      <c r="B302" s="21" t="s">
        <v>470</v>
      </c>
      <c r="C302" s="21" t="s">
        <v>473</v>
      </c>
      <c r="D302" s="37" t="n">
        <v>212</v>
      </c>
      <c r="E302" s="37" t="n">
        <v>224</v>
      </c>
      <c r="F302" s="63" t="n">
        <f aca="false">IF(E302="","",D302-E302)</f>
        <v>-12</v>
      </c>
      <c r="G302" s="37" t="n">
        <v>505</v>
      </c>
      <c r="H302" s="37" t="n">
        <v>495</v>
      </c>
      <c r="I302" s="63" t="n">
        <f aca="false">IF(H302="","",G302-H302)</f>
        <v>10</v>
      </c>
      <c r="J302" s="52" t="n">
        <f aca="false">IF(OR(D302="",D302+G302=0),"",D302/(D302+G302))</f>
        <v>0.295676429567643</v>
      </c>
      <c r="K302" s="52" t="n">
        <f aca="false">IF(E302="","",E302/(E302+H302))</f>
        <v>0.311543810848401</v>
      </c>
      <c r="L302" s="64" t="n">
        <f aca="false">IF(OR(K302="",J302=""),"",(J302-K302)*100)</f>
        <v>-1.58673812807576</v>
      </c>
      <c r="M302" s="21"/>
    </row>
    <row r="303" customFormat="false" ht="15" hidden="false" customHeight="false" outlineLevel="0" collapsed="false">
      <c r="A303" s="21" t="s">
        <v>377</v>
      </c>
      <c r="B303" s="21" t="s">
        <v>470</v>
      </c>
      <c r="C303" s="21" t="s">
        <v>474</v>
      </c>
      <c r="D303" s="37" t="n">
        <v>491</v>
      </c>
      <c r="E303" s="37" t="n">
        <v>478</v>
      </c>
      <c r="F303" s="63" t="n">
        <f aca="false">IF(E303="","",D303-E303)</f>
        <v>13</v>
      </c>
      <c r="G303" s="37" t="n">
        <v>935</v>
      </c>
      <c r="H303" s="37" t="n">
        <v>948</v>
      </c>
      <c r="I303" s="63" t="n">
        <f aca="false">IF(H303="","",G303-H303)</f>
        <v>-13</v>
      </c>
      <c r="J303" s="52" t="n">
        <f aca="false">IF(OR(D303="",D303+G303=0),"",D303/(D303+G303))</f>
        <v>0.344319775596073</v>
      </c>
      <c r="K303" s="52" t="n">
        <f aca="false">IF(E303="","",E303/(E303+H303))</f>
        <v>0.335203366058906</v>
      </c>
      <c r="L303" s="64" t="n">
        <f aca="false">IF(OR(K303="",J303=""),"",(J303-K303)*100)</f>
        <v>0.911640953716686</v>
      </c>
      <c r="M303" s="21"/>
    </row>
    <row r="304" customFormat="false" ht="15" hidden="false" customHeight="false" outlineLevel="0" collapsed="false">
      <c r="A304" s="21" t="s">
        <v>377</v>
      </c>
      <c r="B304" s="21" t="s">
        <v>470</v>
      </c>
      <c r="C304" s="21" t="s">
        <v>475</v>
      </c>
      <c r="D304" s="37" t="n">
        <v>334</v>
      </c>
      <c r="E304" s="37" t="n">
        <v>360</v>
      </c>
      <c r="F304" s="63" t="n">
        <f aca="false">IF(E304="","",D304-E304)</f>
        <v>-26</v>
      </c>
      <c r="G304" s="37" t="n">
        <v>664</v>
      </c>
      <c r="H304" s="37" t="n">
        <v>645</v>
      </c>
      <c r="I304" s="63" t="n">
        <f aca="false">IF(H304="","",G304-H304)</f>
        <v>19</v>
      </c>
      <c r="J304" s="52" t="n">
        <f aca="false">IF(OR(D304="",D304+G304=0),"",D304/(D304+G304))</f>
        <v>0.334669338677355</v>
      </c>
      <c r="K304" s="52" t="n">
        <f aca="false">IF(E304="","",E304/(E304+H304))</f>
        <v>0.358208955223881</v>
      </c>
      <c r="L304" s="64" t="n">
        <f aca="false">IF(OR(K304="",J304=""),"",(J304-K304)*100)</f>
        <v>-2.35396165465259</v>
      </c>
      <c r="M304" s="21"/>
    </row>
    <row r="305" customFormat="false" ht="15" hidden="false" customHeight="false" outlineLevel="0" collapsed="false">
      <c r="A305" s="21" t="s">
        <v>377</v>
      </c>
      <c r="B305" s="21" t="s">
        <v>476</v>
      </c>
      <c r="C305" s="21" t="s">
        <v>477</v>
      </c>
      <c r="D305" s="37" t="n">
        <v>226</v>
      </c>
      <c r="E305" s="37" t="n">
        <v>264</v>
      </c>
      <c r="F305" s="63" t="n">
        <f aca="false">IF(E305="","",D305-E305)</f>
        <v>-38</v>
      </c>
      <c r="G305" s="37" t="n">
        <v>395</v>
      </c>
      <c r="H305" s="37" t="n">
        <v>439</v>
      </c>
      <c r="I305" s="63" t="n">
        <f aca="false">IF(H305="","",G305-H305)</f>
        <v>-44</v>
      </c>
      <c r="J305" s="52" t="n">
        <f aca="false">IF(OR(D305="",D305+G305=0),"",D305/(D305+G305))</f>
        <v>0.363929146537842</v>
      </c>
      <c r="K305" s="52" t="n">
        <f aca="false">IF(E305="","",E305/(E305+H305))</f>
        <v>0.375533428165007</v>
      </c>
      <c r="L305" s="64" t="n">
        <f aca="false">IF(OR(K305="",J305=""),"",(J305-K305)*100)</f>
        <v>-1.16042816271649</v>
      </c>
      <c r="M305" s="21"/>
    </row>
    <row r="306" customFormat="false" ht="15" hidden="false" customHeight="false" outlineLevel="0" collapsed="false">
      <c r="A306" s="21" t="s">
        <v>377</v>
      </c>
      <c r="B306" s="21" t="s">
        <v>476</v>
      </c>
      <c r="C306" s="21" t="s">
        <v>478</v>
      </c>
      <c r="D306" s="37" t="n">
        <v>365</v>
      </c>
      <c r="E306" s="37" t="n">
        <v>361</v>
      </c>
      <c r="F306" s="63" t="n">
        <f aca="false">IF(E306="","",D306-E306)</f>
        <v>4</v>
      </c>
      <c r="G306" s="37" t="n">
        <v>741</v>
      </c>
      <c r="H306" s="37" t="n">
        <v>775</v>
      </c>
      <c r="I306" s="63" t="n">
        <f aca="false">IF(H306="","",G306-H306)</f>
        <v>-34</v>
      </c>
      <c r="J306" s="52" t="n">
        <f aca="false">IF(OR(D306="",D306+G306=0),"",D306/(D306+G306))</f>
        <v>0.33001808318264</v>
      </c>
      <c r="K306" s="52" t="n">
        <f aca="false">IF(E306="","",E306/(E306+H306))</f>
        <v>0.317781690140845</v>
      </c>
      <c r="L306" s="64" t="n">
        <f aca="false">IF(OR(K306="",J306=""),"",(J306-K306)*100)</f>
        <v>1.22363930417951</v>
      </c>
      <c r="M306" s="21"/>
    </row>
    <row r="307" customFormat="false" ht="15" hidden="false" customHeight="false" outlineLevel="0" collapsed="false">
      <c r="A307" s="21" t="s">
        <v>377</v>
      </c>
      <c r="B307" s="21" t="s">
        <v>479</v>
      </c>
      <c r="C307" s="21" t="s">
        <v>480</v>
      </c>
      <c r="D307" s="37" t="n">
        <v>256</v>
      </c>
      <c r="E307" s="37"/>
      <c r="F307" s="63" t="str">
        <f aca="false">IF(E307="","",D307-E307)</f>
        <v/>
      </c>
      <c r="G307" s="37" t="n">
        <v>358</v>
      </c>
      <c r="H307" s="37"/>
      <c r="I307" s="63" t="str">
        <f aca="false">IF(H307="","",G307-H307)</f>
        <v/>
      </c>
      <c r="J307" s="52" t="n">
        <f aca="false">IF(OR(D307="",D307+G307=0),"",D307/(D307+G307))</f>
        <v>0.416938110749186</v>
      </c>
      <c r="K307" s="52" t="str">
        <f aca="false">IF(E307="","",E307/(E307+H307))</f>
        <v/>
      </c>
      <c r="L307" s="64" t="str">
        <f aca="false">IF(OR(K307="",J307=""),"",(J307-K307)*100)</f>
        <v/>
      </c>
      <c r="M307" s="21" t="s">
        <v>685</v>
      </c>
    </row>
    <row r="308" customFormat="false" ht="15" hidden="false" customHeight="false" outlineLevel="0" collapsed="false">
      <c r="A308" s="21" t="s">
        <v>377</v>
      </c>
      <c r="B308" s="21" t="s">
        <v>479</v>
      </c>
      <c r="C308" s="21" t="s">
        <v>481</v>
      </c>
      <c r="D308" s="37" t="n">
        <v>650</v>
      </c>
      <c r="E308" s="37"/>
      <c r="F308" s="63" t="str">
        <f aca="false">IF(E308="","",D308-E308)</f>
        <v/>
      </c>
      <c r="G308" s="37" t="n">
        <v>697</v>
      </c>
      <c r="H308" s="37"/>
      <c r="I308" s="63" t="str">
        <f aca="false">IF(H308="","",G308-H308)</f>
        <v/>
      </c>
      <c r="J308" s="52" t="n">
        <f aca="false">IF(OR(D308="",D308+G308=0),"",D308/(D308+G308))</f>
        <v>0.482553823311062</v>
      </c>
      <c r="K308" s="52" t="str">
        <f aca="false">IF(E308="","",E308/(E308+H308))</f>
        <v/>
      </c>
      <c r="L308" s="64" t="str">
        <f aca="false">IF(OR(K308="",J308=""),"",(J308-K308)*100)</f>
        <v/>
      </c>
      <c r="M308" s="21" t="s">
        <v>685</v>
      </c>
    </row>
    <row r="309" customFormat="false" ht="15" hidden="false" customHeight="false" outlineLevel="0" collapsed="false">
      <c r="A309" s="21" t="s">
        <v>377</v>
      </c>
      <c r="B309" s="21" t="s">
        <v>479</v>
      </c>
      <c r="C309" s="21" t="s">
        <v>482</v>
      </c>
      <c r="D309" s="37" t="n">
        <v>604</v>
      </c>
      <c r="E309" s="37" t="n">
        <v>606</v>
      </c>
      <c r="F309" s="63" t="n">
        <f aca="false">IF(E309="","",D309-E309)</f>
        <v>-2</v>
      </c>
      <c r="G309" s="37" t="n">
        <v>810</v>
      </c>
      <c r="H309" s="37" t="n">
        <v>825</v>
      </c>
      <c r="I309" s="63" t="n">
        <f aca="false">IF(H309="","",G309-H309)</f>
        <v>-15</v>
      </c>
      <c r="J309" s="52" t="n">
        <f aca="false">IF(OR(D309="",D309+G309=0),"",D309/(D309+G309))</f>
        <v>0.427157001414427</v>
      </c>
      <c r="K309" s="52" t="n">
        <f aca="false">IF(E309="","",E309/(E309+H309))</f>
        <v>0.423480083857442</v>
      </c>
      <c r="L309" s="64" t="n">
        <f aca="false">IF(OR(K309="",J309=""),"",(J309-K309)*100)</f>
        <v>0.367691755698479</v>
      </c>
      <c r="M309" s="21"/>
    </row>
    <row r="310" customFormat="false" ht="15" hidden="false" customHeight="false" outlineLevel="0" collapsed="false">
      <c r="A310" s="21" t="s">
        <v>377</v>
      </c>
      <c r="B310" s="21" t="s">
        <v>479</v>
      </c>
      <c r="C310" s="21" t="s">
        <v>483</v>
      </c>
      <c r="D310" s="37" t="n">
        <v>618</v>
      </c>
      <c r="E310" s="37"/>
      <c r="F310" s="63" t="str">
        <f aca="false">IF(E310="","",D310-E310)</f>
        <v/>
      </c>
      <c r="G310" s="37" t="n">
        <v>741</v>
      </c>
      <c r="H310" s="37"/>
      <c r="I310" s="63" t="str">
        <f aca="false">IF(H310="","",G310-H310)</f>
        <v/>
      </c>
      <c r="J310" s="52" t="n">
        <f aca="false">IF(OR(D310="",D310+G310=0),"",D310/(D310+G310))</f>
        <v>0.454746136865342</v>
      </c>
      <c r="K310" s="52" t="str">
        <f aca="false">IF(E310="","",E310/(E310+H310))</f>
        <v/>
      </c>
      <c r="L310" s="64" t="str">
        <f aca="false">IF(OR(K310="",J310=""),"",(J310-K310)*100)</f>
        <v/>
      </c>
      <c r="M310" s="21" t="s">
        <v>685</v>
      </c>
    </row>
    <row r="311" customFormat="false" ht="15" hidden="false" customHeight="false" outlineLevel="0" collapsed="false">
      <c r="A311" s="21" t="s">
        <v>377</v>
      </c>
      <c r="B311" s="21" t="s">
        <v>484</v>
      </c>
      <c r="C311" s="21" t="s">
        <v>485</v>
      </c>
      <c r="D311" s="37" t="n">
        <v>562</v>
      </c>
      <c r="E311" s="37" t="n">
        <v>585</v>
      </c>
      <c r="F311" s="63" t="n">
        <f aca="false">IF(E311="","",D311-E311)</f>
        <v>-23</v>
      </c>
      <c r="G311" s="37" t="n">
        <v>544</v>
      </c>
      <c r="H311" s="37" t="n">
        <v>527</v>
      </c>
      <c r="I311" s="63" t="n">
        <f aca="false">IF(H311="","",G311-H311)</f>
        <v>17</v>
      </c>
      <c r="J311" s="52" t="n">
        <f aca="false">IF(OR(D311="",D311+G311=0),"",D311/(D311+G311))</f>
        <v>0.508137432188065</v>
      </c>
      <c r="K311" s="52" t="n">
        <f aca="false">IF(E311="","",E311/(E311+H311))</f>
        <v>0.526079136690647</v>
      </c>
      <c r="L311" s="64" t="n">
        <f aca="false">IF(OR(K311="",J311=""),"",(J311-K311)*100)</f>
        <v>-1.79417045025824</v>
      </c>
      <c r="M311" s="21"/>
    </row>
    <row r="312" customFormat="false" ht="15" hidden="false" customHeight="false" outlineLevel="0" collapsed="false">
      <c r="A312" s="21" t="s">
        <v>377</v>
      </c>
      <c r="B312" s="21" t="s">
        <v>484</v>
      </c>
      <c r="C312" s="21" t="s">
        <v>486</v>
      </c>
      <c r="D312" s="37" t="n">
        <v>672</v>
      </c>
      <c r="E312" s="37" t="n">
        <v>639</v>
      </c>
      <c r="F312" s="63" t="n">
        <f aca="false">IF(E312="","",D312-E312)</f>
        <v>33</v>
      </c>
      <c r="G312" s="37" t="n">
        <v>892</v>
      </c>
      <c r="H312" s="37" t="n">
        <v>886</v>
      </c>
      <c r="I312" s="63" t="n">
        <f aca="false">IF(H312="","",G312-H312)</f>
        <v>6</v>
      </c>
      <c r="J312" s="52" t="n">
        <f aca="false">IF(OR(D312="",D312+G312=0),"",D312/(D312+G312))</f>
        <v>0.429667519181586</v>
      </c>
      <c r="K312" s="52" t="n">
        <f aca="false">IF(E312="","",E312/(E312+H312))</f>
        <v>0.419016393442623</v>
      </c>
      <c r="L312" s="64" t="n">
        <f aca="false">IF(OR(K312="",J312=""),"",(J312-K312)*100)</f>
        <v>1.06511257389628</v>
      </c>
      <c r="M312" s="21"/>
    </row>
    <row r="313" customFormat="false" ht="15" hidden="false" customHeight="false" outlineLevel="0" collapsed="false">
      <c r="A313" s="21" t="s">
        <v>377</v>
      </c>
      <c r="B313" s="21" t="s">
        <v>484</v>
      </c>
      <c r="C313" s="21" t="s">
        <v>487</v>
      </c>
      <c r="D313" s="37" t="n">
        <v>397</v>
      </c>
      <c r="E313" s="37"/>
      <c r="F313" s="63" t="str">
        <f aca="false">IF(E313="","",D313-E313)</f>
        <v/>
      </c>
      <c r="G313" s="37" t="n">
        <v>579</v>
      </c>
      <c r="H313" s="37"/>
      <c r="I313" s="63" t="str">
        <f aca="false">IF(H313="","",G313-H313)</f>
        <v/>
      </c>
      <c r="J313" s="52" t="n">
        <f aca="false">IF(OR(D313="",D313+G313=0),"",D313/(D313+G313))</f>
        <v>0.406762295081967</v>
      </c>
      <c r="K313" s="52" t="str">
        <f aca="false">IF(E313="","",E313/(E313+H313))</f>
        <v/>
      </c>
      <c r="L313" s="64" t="str">
        <f aca="false">IF(OR(K313="",J313=""),"",(J313-K313)*100)</f>
        <v/>
      </c>
      <c r="M313" s="21" t="s">
        <v>685</v>
      </c>
    </row>
    <row r="314" customFormat="false" ht="15" hidden="false" customHeight="false" outlineLevel="0" collapsed="false">
      <c r="A314" s="21" t="s">
        <v>377</v>
      </c>
      <c r="B314" s="21" t="s">
        <v>484</v>
      </c>
      <c r="C314" s="21" t="s">
        <v>488</v>
      </c>
      <c r="D314" s="37" t="n">
        <v>471</v>
      </c>
      <c r="E314" s="37" t="n">
        <v>496</v>
      </c>
      <c r="F314" s="63" t="n">
        <f aca="false">IF(E314="","",D314-E314)</f>
        <v>-25</v>
      </c>
      <c r="G314" s="37" t="n">
        <v>460</v>
      </c>
      <c r="H314" s="37" t="n">
        <v>458</v>
      </c>
      <c r="I314" s="63" t="n">
        <f aca="false">IF(H314="","",G314-H314)</f>
        <v>2</v>
      </c>
      <c r="J314" s="52" t="n">
        <f aca="false">IF(OR(D314="",D314+G314=0),"",D314/(D314+G314))</f>
        <v>0.505907626208378</v>
      </c>
      <c r="K314" s="52" t="n">
        <f aca="false">IF(E314="","",E314/(E314+H314))</f>
        <v>0.519916142557652</v>
      </c>
      <c r="L314" s="64" t="n">
        <f aca="false">IF(OR(K314="",J314=""),"",(J314-K314)*100)</f>
        <v>-1.40085163492739</v>
      </c>
      <c r="M314" s="21"/>
    </row>
    <row r="315" customFormat="false" ht="15" hidden="false" customHeight="false" outlineLevel="0" collapsed="false">
      <c r="A315" s="21" t="s">
        <v>377</v>
      </c>
      <c r="B315" s="21" t="s">
        <v>484</v>
      </c>
      <c r="C315" s="21" t="s">
        <v>489</v>
      </c>
      <c r="D315" s="37" t="n">
        <v>405</v>
      </c>
      <c r="E315" s="37" t="n">
        <v>423</v>
      </c>
      <c r="F315" s="63" t="n">
        <f aca="false">IF(E315="","",D315-E315)</f>
        <v>-18</v>
      </c>
      <c r="G315" s="37" t="n">
        <v>571</v>
      </c>
      <c r="H315" s="37" t="n">
        <v>592</v>
      </c>
      <c r="I315" s="63" t="n">
        <f aca="false">IF(H315="","",G315-H315)</f>
        <v>-21</v>
      </c>
      <c r="J315" s="52" t="n">
        <f aca="false">IF(OR(D315="",D315+G315=0),"",D315/(D315+G315))</f>
        <v>0.414959016393443</v>
      </c>
      <c r="K315" s="52" t="n">
        <f aca="false">IF(E315="","",E315/(E315+H315))</f>
        <v>0.416748768472906</v>
      </c>
      <c r="L315" s="64" t="n">
        <f aca="false">IF(OR(K315="",J315=""),"",(J315-K315)*100)</f>
        <v>-0.17897520794638</v>
      </c>
      <c r="M315" s="21"/>
    </row>
    <row r="316" customFormat="false" ht="15" hidden="false" customHeight="false" outlineLevel="0" collapsed="false">
      <c r="A316" s="21" t="s">
        <v>377</v>
      </c>
      <c r="B316" s="21" t="s">
        <v>484</v>
      </c>
      <c r="C316" s="21" t="s">
        <v>490</v>
      </c>
      <c r="D316" s="37" t="n">
        <v>761</v>
      </c>
      <c r="E316" s="37"/>
      <c r="F316" s="63" t="str">
        <f aca="false">IF(E316="","",D316-E316)</f>
        <v/>
      </c>
      <c r="G316" s="37" t="n">
        <v>895</v>
      </c>
      <c r="H316" s="37"/>
      <c r="I316" s="63" t="str">
        <f aca="false">IF(H316="","",G316-H316)</f>
        <v/>
      </c>
      <c r="J316" s="52" t="n">
        <f aca="false">IF(OR(D316="",D316+G316=0),"",D316/(D316+G316))</f>
        <v>0.459541062801932</v>
      </c>
      <c r="K316" s="52" t="str">
        <f aca="false">IF(E316="","",E316/(E316+H316))</f>
        <v/>
      </c>
      <c r="L316" s="64" t="str">
        <f aca="false">IF(OR(K316="",J316=""),"",(J316-K316)*100)</f>
        <v/>
      </c>
      <c r="M316" s="21" t="s">
        <v>685</v>
      </c>
    </row>
    <row r="317" customFormat="false" ht="15" hidden="false" customHeight="false" outlineLevel="0" collapsed="false">
      <c r="A317" s="21" t="s">
        <v>377</v>
      </c>
      <c r="B317" s="21" t="s">
        <v>491</v>
      </c>
      <c r="C317" s="21" t="s">
        <v>492</v>
      </c>
      <c r="D317" s="37" t="n">
        <v>381</v>
      </c>
      <c r="E317" s="37" t="n">
        <v>409</v>
      </c>
      <c r="F317" s="63" t="n">
        <f aca="false">IF(E317="","",D317-E317)</f>
        <v>-28</v>
      </c>
      <c r="G317" s="37" t="n">
        <v>780</v>
      </c>
      <c r="H317" s="37" t="n">
        <v>764</v>
      </c>
      <c r="I317" s="63" t="n">
        <f aca="false">IF(H317="","",G317-H317)</f>
        <v>16</v>
      </c>
      <c r="J317" s="52" t="n">
        <f aca="false">IF(OR(D317="",D317+G317=0),"",D317/(D317+G317))</f>
        <v>0.328165374677003</v>
      </c>
      <c r="K317" s="52" t="n">
        <f aca="false">IF(E317="","",E317/(E317+H317))</f>
        <v>0.348678601875533</v>
      </c>
      <c r="L317" s="64" t="n">
        <f aca="false">IF(OR(K317="",J317=""),"",(J317-K317)*100)</f>
        <v>-2.05132271985303</v>
      </c>
      <c r="M317" s="21"/>
    </row>
    <row r="318" customFormat="false" ht="15" hidden="false" customHeight="false" outlineLevel="0" collapsed="false">
      <c r="A318" s="21" t="s">
        <v>377</v>
      </c>
      <c r="B318" s="21" t="s">
        <v>491</v>
      </c>
      <c r="C318" s="21" t="s">
        <v>493</v>
      </c>
      <c r="D318" s="37" t="n">
        <v>780</v>
      </c>
      <c r="E318" s="37" t="n">
        <v>805</v>
      </c>
      <c r="F318" s="63" t="n">
        <f aca="false">IF(E318="","",D318-E318)</f>
        <v>-25</v>
      </c>
      <c r="G318" s="37" t="n">
        <v>1562</v>
      </c>
      <c r="H318" s="37" t="n">
        <v>1577</v>
      </c>
      <c r="I318" s="63" t="n">
        <f aca="false">IF(H318="","",G318-H318)</f>
        <v>-15</v>
      </c>
      <c r="J318" s="52" t="n">
        <f aca="false">IF(OR(D318="",D318+G318=0),"",D318/(D318+G318))</f>
        <v>0.333048676345004</v>
      </c>
      <c r="K318" s="52" t="n">
        <f aca="false">IF(E318="","",E318/(E318+H318))</f>
        <v>0.337951301427372</v>
      </c>
      <c r="L318" s="64" t="n">
        <f aca="false">IF(OR(K318="",J318=""),"",(J318-K318)*100)</f>
        <v>-0.490262508236766</v>
      </c>
      <c r="M318" s="21"/>
    </row>
    <row r="319" customFormat="false" ht="15" hidden="false" customHeight="false" outlineLevel="0" collapsed="false">
      <c r="A319" s="21" t="s">
        <v>377</v>
      </c>
      <c r="B319" s="21" t="s">
        <v>491</v>
      </c>
      <c r="C319" s="21" t="s">
        <v>494</v>
      </c>
      <c r="D319" s="37" t="n">
        <v>534</v>
      </c>
      <c r="E319" s="37" t="n">
        <v>547</v>
      </c>
      <c r="F319" s="63" t="n">
        <f aca="false">IF(E319="","",D319-E319)</f>
        <v>-13</v>
      </c>
      <c r="G319" s="37" t="n">
        <v>1147</v>
      </c>
      <c r="H319" s="37" t="n">
        <v>1179</v>
      </c>
      <c r="I319" s="63" t="n">
        <f aca="false">IF(H319="","",G319-H319)</f>
        <v>-32</v>
      </c>
      <c r="J319" s="52" t="n">
        <f aca="false">IF(OR(D319="",D319+G319=0),"",D319/(D319+G319))</f>
        <v>0.317668054729328</v>
      </c>
      <c r="K319" s="52" t="n">
        <f aca="false">IF(E319="","",E319/(E319+H319))</f>
        <v>0.316917728852839</v>
      </c>
      <c r="L319" s="64" t="n">
        <f aca="false">IF(OR(K319="",J319=""),"",(J319-K319)*100)</f>
        <v>0.0750325876488878</v>
      </c>
      <c r="M319" s="21"/>
    </row>
    <row r="320" customFormat="false" ht="15" hidden="false" customHeight="false" outlineLevel="0" collapsed="false">
      <c r="A320" s="21" t="s">
        <v>377</v>
      </c>
      <c r="B320" s="21" t="s">
        <v>491</v>
      </c>
      <c r="C320" s="21" t="s">
        <v>495</v>
      </c>
      <c r="D320" s="37" t="n">
        <v>253</v>
      </c>
      <c r="E320" s="37" t="n">
        <v>245</v>
      </c>
      <c r="F320" s="63" t="n">
        <f aca="false">IF(E320="","",D320-E320)</f>
        <v>8</v>
      </c>
      <c r="G320" s="37" t="n">
        <v>509</v>
      </c>
      <c r="H320" s="37" t="n">
        <v>537</v>
      </c>
      <c r="I320" s="63" t="n">
        <f aca="false">IF(H320="","",G320-H320)</f>
        <v>-28</v>
      </c>
      <c r="J320" s="52" t="n">
        <f aca="false">IF(OR(D320="",D320+G320=0),"",D320/(D320+G320))</f>
        <v>0.332020997375328</v>
      </c>
      <c r="K320" s="52" t="n">
        <f aca="false">IF(E320="","",E320/(E320+H320))</f>
        <v>0.313299232736573</v>
      </c>
      <c r="L320" s="64" t="n">
        <f aca="false">IF(OR(K320="",J320=""),"",(J320-K320)*100)</f>
        <v>1.87217646387552</v>
      </c>
      <c r="M320" s="21"/>
    </row>
    <row r="321" customFormat="false" ht="15" hidden="false" customHeight="false" outlineLevel="0" collapsed="false">
      <c r="A321" s="21" t="s">
        <v>377</v>
      </c>
      <c r="B321" s="21" t="s">
        <v>496</v>
      </c>
      <c r="C321" s="21" t="s">
        <v>497</v>
      </c>
      <c r="D321" s="37" t="n">
        <v>569</v>
      </c>
      <c r="E321" s="37" t="n">
        <v>601</v>
      </c>
      <c r="F321" s="63" t="n">
        <f aca="false">IF(E321="","",D321-E321)</f>
        <v>-32</v>
      </c>
      <c r="G321" s="37" t="n">
        <v>610</v>
      </c>
      <c r="H321" s="37" t="n">
        <v>605</v>
      </c>
      <c r="I321" s="63" t="n">
        <f aca="false">IF(H321="","",G321-H321)</f>
        <v>5</v>
      </c>
      <c r="J321" s="52" t="n">
        <f aca="false">IF(OR(D321="",D321+G321=0),"",D321/(D321+G321))</f>
        <v>0.482612383375742</v>
      </c>
      <c r="K321" s="52" t="n">
        <f aca="false">IF(E321="","",E321/(E321+H321))</f>
        <v>0.498341625207297</v>
      </c>
      <c r="L321" s="64" t="n">
        <f aca="false">IF(OR(K321="",J321=""),"",(J321-K321)*100)</f>
        <v>-1.57292418315547</v>
      </c>
      <c r="M321" s="21"/>
    </row>
    <row r="322" customFormat="false" ht="15" hidden="false" customHeight="false" outlineLevel="0" collapsed="false">
      <c r="A322" s="21" t="s">
        <v>377</v>
      </c>
      <c r="B322" s="21" t="s">
        <v>496</v>
      </c>
      <c r="C322" s="21" t="s">
        <v>498</v>
      </c>
      <c r="D322" s="37" t="n">
        <v>510</v>
      </c>
      <c r="E322" s="37" t="n">
        <v>523</v>
      </c>
      <c r="F322" s="63" t="n">
        <f aca="false">IF(E322="","",D322-E322)</f>
        <v>-13</v>
      </c>
      <c r="G322" s="37" t="n">
        <v>495</v>
      </c>
      <c r="H322" s="37" t="n">
        <v>542</v>
      </c>
      <c r="I322" s="63" t="n">
        <f aca="false">IF(H322="","",G322-H322)</f>
        <v>-47</v>
      </c>
      <c r="J322" s="52" t="n">
        <f aca="false">IF(OR(D322="",D322+G322=0),"",D322/(D322+G322))</f>
        <v>0.507462686567164</v>
      </c>
      <c r="K322" s="52" t="n">
        <f aca="false">IF(E322="","",E322/(E322+H322))</f>
        <v>0.491079812206573</v>
      </c>
      <c r="L322" s="64" t="n">
        <f aca="false">IF(OR(K322="",J322=""),"",(J322-K322)*100)</f>
        <v>1.63828743605914</v>
      </c>
      <c r="M322" s="21"/>
    </row>
    <row r="323" customFormat="false" ht="15" hidden="false" customHeight="false" outlineLevel="0" collapsed="false">
      <c r="A323" s="21" t="s">
        <v>377</v>
      </c>
      <c r="B323" s="21" t="s">
        <v>496</v>
      </c>
      <c r="C323" s="21" t="s">
        <v>499</v>
      </c>
      <c r="D323" s="37" t="n">
        <v>472</v>
      </c>
      <c r="E323" s="37" t="n">
        <v>472</v>
      </c>
      <c r="F323" s="63" t="n">
        <f aca="false">IF(E323="","",D323-E323)</f>
        <v>0</v>
      </c>
      <c r="G323" s="37" t="n">
        <v>510</v>
      </c>
      <c r="H323" s="37" t="n">
        <v>517</v>
      </c>
      <c r="I323" s="63" t="n">
        <f aca="false">IF(H323="","",G323-H323)</f>
        <v>-7</v>
      </c>
      <c r="J323" s="52" t="n">
        <f aca="false">IF(OR(D323="",D323+G323=0),"",D323/(D323+G323))</f>
        <v>0.480651731160896</v>
      </c>
      <c r="K323" s="52" t="n">
        <f aca="false">IF(E323="","",E323/(E323+H323))</f>
        <v>0.477249747219414</v>
      </c>
      <c r="L323" s="64" t="n">
        <f aca="false">IF(OR(K323="",J323=""),"",(J323-K323)*100)</f>
        <v>0.340198394148261</v>
      </c>
      <c r="M323" s="21"/>
    </row>
    <row r="324" customFormat="false" ht="15" hidden="false" customHeight="false" outlineLevel="0" collapsed="false">
      <c r="A324" s="21" t="s">
        <v>377</v>
      </c>
      <c r="B324" s="21" t="s">
        <v>500</v>
      </c>
      <c r="C324" s="21" t="s">
        <v>501</v>
      </c>
      <c r="D324" s="37" t="n">
        <v>239</v>
      </c>
      <c r="E324" s="37" t="n">
        <v>222</v>
      </c>
      <c r="F324" s="63" t="n">
        <f aca="false">IF(E324="","",D324-E324)</f>
        <v>17</v>
      </c>
      <c r="G324" s="37" t="n">
        <v>290</v>
      </c>
      <c r="H324" s="37" t="n">
        <v>276</v>
      </c>
      <c r="I324" s="63" t="n">
        <f aca="false">IF(H324="","",G324-H324)</f>
        <v>14</v>
      </c>
      <c r="J324" s="52" t="n">
        <f aca="false">IF(OR(D324="",D324+G324=0),"",D324/(D324+G324))</f>
        <v>0.45179584120983</v>
      </c>
      <c r="K324" s="52" t="n">
        <f aca="false">IF(E324="","",E324/(E324+H324))</f>
        <v>0.445783132530121</v>
      </c>
      <c r="L324" s="64" t="n">
        <f aca="false">IF(OR(K324="",J324=""),"",(J324-K324)*100)</f>
        <v>0.601270867970938</v>
      </c>
      <c r="M324" s="21"/>
    </row>
    <row r="325" customFormat="false" ht="15" hidden="false" customHeight="false" outlineLevel="0" collapsed="false">
      <c r="A325" s="21" t="s">
        <v>377</v>
      </c>
      <c r="B325" s="21" t="s">
        <v>500</v>
      </c>
      <c r="C325" s="21" t="s">
        <v>502</v>
      </c>
      <c r="D325" s="37" t="n">
        <v>616</v>
      </c>
      <c r="E325" s="37" t="n">
        <v>625</v>
      </c>
      <c r="F325" s="63" t="n">
        <f aca="false">IF(E325="","",D325-E325)</f>
        <v>-9</v>
      </c>
      <c r="G325" s="37" t="n">
        <v>633</v>
      </c>
      <c r="H325" s="37" t="n">
        <v>613</v>
      </c>
      <c r="I325" s="63" t="n">
        <f aca="false">IF(H325="","",G325-H325)</f>
        <v>20</v>
      </c>
      <c r="J325" s="52" t="n">
        <f aca="false">IF(OR(D325="",D325+G325=0),"",D325/(D325+G325))</f>
        <v>0.493194555644516</v>
      </c>
      <c r="K325" s="52" t="n">
        <f aca="false">IF(E325="","",E325/(E325+H325))</f>
        <v>0.504846526655897</v>
      </c>
      <c r="L325" s="64" t="n">
        <f aca="false">IF(OR(K325="",J325=""),"",(J325-K325)*100)</f>
        <v>-1.1651971011381</v>
      </c>
      <c r="M325" s="21"/>
    </row>
    <row r="326" customFormat="false" ht="15" hidden="false" customHeight="false" outlineLevel="0" collapsed="false">
      <c r="A326" s="21" t="s">
        <v>377</v>
      </c>
      <c r="B326" s="21" t="s">
        <v>503</v>
      </c>
      <c r="C326" s="21" t="s">
        <v>504</v>
      </c>
      <c r="D326" s="37" t="n">
        <v>656</v>
      </c>
      <c r="E326" s="37" t="n">
        <v>628</v>
      </c>
      <c r="F326" s="63" t="n">
        <f aca="false">IF(E326="","",D326-E326)</f>
        <v>28</v>
      </c>
      <c r="G326" s="37" t="n">
        <v>742</v>
      </c>
      <c r="H326" s="37" t="n">
        <v>719</v>
      </c>
      <c r="I326" s="63" t="n">
        <f aca="false">IF(H326="","",G326-H326)</f>
        <v>23</v>
      </c>
      <c r="J326" s="52" t="n">
        <f aca="false">IF(OR(D326="",D326+G326=0),"",D326/(D326+G326))</f>
        <v>0.469241773962804</v>
      </c>
      <c r="K326" s="52" t="n">
        <f aca="false">IF(E326="","",E326/(E326+H326))</f>
        <v>0.466221232368226</v>
      </c>
      <c r="L326" s="64" t="n">
        <f aca="false">IF(OR(K326="",J326=""),"",(J326-K326)*100)</f>
        <v>0.302054159457832</v>
      </c>
      <c r="M326" s="21"/>
    </row>
    <row r="327" customFormat="false" ht="15" hidden="false" customHeight="false" outlineLevel="0" collapsed="false">
      <c r="A327" s="21" t="s">
        <v>377</v>
      </c>
      <c r="B327" s="21" t="s">
        <v>503</v>
      </c>
      <c r="C327" s="21" t="s">
        <v>505</v>
      </c>
      <c r="D327" s="37" t="n">
        <v>580</v>
      </c>
      <c r="E327" s="37" t="n">
        <v>588</v>
      </c>
      <c r="F327" s="63" t="n">
        <f aca="false">IF(E327="","",D327-E327)</f>
        <v>-8</v>
      </c>
      <c r="G327" s="37" t="n">
        <v>631</v>
      </c>
      <c r="H327" s="37" t="n">
        <v>628</v>
      </c>
      <c r="I327" s="63" t="n">
        <f aca="false">IF(H327="","",G327-H327)</f>
        <v>3</v>
      </c>
      <c r="J327" s="52" t="n">
        <f aca="false">IF(OR(D327="",D327+G327=0),"",D327/(D327+G327))</f>
        <v>0.478943022295623</v>
      </c>
      <c r="K327" s="52" t="n">
        <f aca="false">IF(E327="","",E327/(E327+H327))</f>
        <v>0.483552631578947</v>
      </c>
      <c r="L327" s="64" t="n">
        <f aca="false">IF(OR(K327="",J327=""),"",(J327-K327)*100)</f>
        <v>-0.460960928332388</v>
      </c>
      <c r="M327" s="21"/>
    </row>
    <row r="328" customFormat="false" ht="15" hidden="false" customHeight="false" outlineLevel="0" collapsed="false">
      <c r="A328" s="21" t="s">
        <v>377</v>
      </c>
      <c r="B328" s="21" t="s">
        <v>503</v>
      </c>
      <c r="C328" s="21" t="s">
        <v>506</v>
      </c>
      <c r="D328" s="37" t="n">
        <v>1202</v>
      </c>
      <c r="E328" s="37" t="n">
        <v>1120</v>
      </c>
      <c r="F328" s="63" t="n">
        <f aca="false">IF(E328="","",D328-E328)</f>
        <v>82</v>
      </c>
      <c r="G328" s="37" t="n">
        <v>1335</v>
      </c>
      <c r="H328" s="37" t="n">
        <v>1352</v>
      </c>
      <c r="I328" s="63" t="n">
        <f aca="false">IF(H328="","",G328-H328)</f>
        <v>-17</v>
      </c>
      <c r="J328" s="52" t="n">
        <f aca="false">IF(OR(D328="",D328+G328=0),"",D328/(D328+G328))</f>
        <v>0.473787938510051</v>
      </c>
      <c r="K328" s="52" t="n">
        <f aca="false">IF(E328="","",E328/(E328+H328))</f>
        <v>0.453074433656958</v>
      </c>
      <c r="L328" s="64" t="n">
        <f aca="false">IF(OR(K328="",J328=""),"",(J328-K328)*100)</f>
        <v>2.07135048530933</v>
      </c>
      <c r="M328" s="21"/>
    </row>
    <row r="329" customFormat="false" ht="15" hidden="false" customHeight="false" outlineLevel="0" collapsed="false">
      <c r="A329" s="21" t="s">
        <v>377</v>
      </c>
      <c r="B329" s="21" t="s">
        <v>503</v>
      </c>
      <c r="C329" s="21" t="s">
        <v>507</v>
      </c>
      <c r="D329" s="37" t="n">
        <v>261</v>
      </c>
      <c r="E329" s="37" t="n">
        <v>237</v>
      </c>
      <c r="F329" s="63" t="n">
        <f aca="false">IF(E329="","",D329-E329)</f>
        <v>24</v>
      </c>
      <c r="G329" s="37" t="n">
        <v>306</v>
      </c>
      <c r="H329" s="37" t="n">
        <v>324</v>
      </c>
      <c r="I329" s="63" t="n">
        <f aca="false">IF(H329="","",G329-H329)</f>
        <v>-18</v>
      </c>
      <c r="J329" s="52" t="n">
        <f aca="false">IF(OR(D329="",D329+G329=0),"",D329/(D329+G329))</f>
        <v>0.46031746031746</v>
      </c>
      <c r="K329" s="52" t="n">
        <f aca="false">IF(E329="","",E329/(E329+H329))</f>
        <v>0.422459893048128</v>
      </c>
      <c r="L329" s="64" t="n">
        <f aca="false">IF(OR(K329="",J329=""),"",(J329-K329)*100)</f>
        <v>3.78575672693319</v>
      </c>
      <c r="M329" s="21"/>
    </row>
    <row r="330" customFormat="false" ht="15" hidden="false" customHeight="false" outlineLevel="0" collapsed="false">
      <c r="A330" s="21" t="s">
        <v>377</v>
      </c>
      <c r="B330" s="21" t="s">
        <v>508</v>
      </c>
      <c r="C330" s="21" t="s">
        <v>509</v>
      </c>
      <c r="D330" s="37" t="n">
        <v>649</v>
      </c>
      <c r="E330" s="37" t="n">
        <v>600</v>
      </c>
      <c r="F330" s="63" t="n">
        <f aca="false">IF(E330="","",D330-E330)</f>
        <v>49</v>
      </c>
      <c r="G330" s="37" t="n">
        <v>676</v>
      </c>
      <c r="H330" s="37" t="n">
        <v>681</v>
      </c>
      <c r="I330" s="63" t="n">
        <f aca="false">IF(H330="","",G330-H330)</f>
        <v>-5</v>
      </c>
      <c r="J330" s="52" t="n">
        <f aca="false">IF(OR(D330="",D330+G330=0),"",D330/(D330+G330))</f>
        <v>0.489811320754717</v>
      </c>
      <c r="K330" s="52" t="n">
        <f aca="false">IF(E330="","",E330/(E330+H330))</f>
        <v>0.468384074941452</v>
      </c>
      <c r="L330" s="64" t="n">
        <f aca="false">IF(OR(K330="",J330=""),"",(J330-K330)*100)</f>
        <v>2.1427245813265</v>
      </c>
      <c r="M330" s="21"/>
    </row>
    <row r="331" customFormat="false" ht="15" hidden="false" customHeight="false" outlineLevel="0" collapsed="false">
      <c r="A331" s="21" t="s">
        <v>377</v>
      </c>
      <c r="B331" s="21" t="s">
        <v>508</v>
      </c>
      <c r="C331" s="21" t="s">
        <v>510</v>
      </c>
      <c r="D331" s="37" t="n">
        <v>514</v>
      </c>
      <c r="E331" s="37"/>
      <c r="F331" s="63" t="str">
        <f aca="false">IF(E331="","",D331-E331)</f>
        <v/>
      </c>
      <c r="G331" s="37" t="n">
        <v>491</v>
      </c>
      <c r="H331" s="37"/>
      <c r="I331" s="63" t="str">
        <f aca="false">IF(H331="","",G331-H331)</f>
        <v/>
      </c>
      <c r="J331" s="52" t="n">
        <f aca="false">IF(OR(D331="",D331+G331=0),"",D331/(D331+G331))</f>
        <v>0.511442786069652</v>
      </c>
      <c r="K331" s="52" t="str">
        <f aca="false">IF(E331="","",E331/(E331+H331))</f>
        <v/>
      </c>
      <c r="L331" s="64" t="str">
        <f aca="false">IF(OR(K331="",J331=""),"",(J331-K331)*100)</f>
        <v/>
      </c>
      <c r="M331" s="21" t="s">
        <v>685</v>
      </c>
    </row>
    <row r="332" customFormat="false" ht="15" hidden="false" customHeight="false" outlineLevel="0" collapsed="false">
      <c r="A332" s="21" t="s">
        <v>377</v>
      </c>
      <c r="B332" s="21" t="s">
        <v>508</v>
      </c>
      <c r="C332" s="21" t="s">
        <v>511</v>
      </c>
      <c r="D332" s="37" t="n">
        <v>765</v>
      </c>
      <c r="E332" s="37"/>
      <c r="F332" s="63" t="str">
        <f aca="false">IF(E332="","",D332-E332)</f>
        <v/>
      </c>
      <c r="G332" s="37" t="n">
        <v>776</v>
      </c>
      <c r="H332" s="37"/>
      <c r="I332" s="63" t="str">
        <f aca="false">IF(H332="","",G332-H332)</f>
        <v/>
      </c>
      <c r="J332" s="52" t="n">
        <f aca="false">IF(OR(D332="",D332+G332=0),"",D332/(D332+G332))</f>
        <v>0.496430889033095</v>
      </c>
      <c r="K332" s="52" t="str">
        <f aca="false">IF(E332="","",E332/(E332+H332))</f>
        <v/>
      </c>
      <c r="L332" s="64" t="str">
        <f aca="false">IF(OR(K332="",J332=""),"",(J332-K332)*100)</f>
        <v/>
      </c>
      <c r="M332" s="21" t="s">
        <v>685</v>
      </c>
    </row>
    <row r="333" customFormat="false" ht="15" hidden="false" customHeight="false" outlineLevel="0" collapsed="false">
      <c r="A333" s="21" t="s">
        <v>377</v>
      </c>
      <c r="B333" s="21" t="s">
        <v>508</v>
      </c>
      <c r="C333" s="21" t="s">
        <v>512</v>
      </c>
      <c r="D333" s="37" t="n">
        <v>848</v>
      </c>
      <c r="E333" s="37" t="n">
        <v>824</v>
      </c>
      <c r="F333" s="63" t="n">
        <f aca="false">IF(E333="","",D333-E333)</f>
        <v>24</v>
      </c>
      <c r="G333" s="37" t="n">
        <v>799</v>
      </c>
      <c r="H333" s="37" t="n">
        <v>795</v>
      </c>
      <c r="I333" s="63" t="n">
        <f aca="false">IF(H333="","",G333-H333)</f>
        <v>4</v>
      </c>
      <c r="J333" s="52" t="n">
        <f aca="false">IF(OR(D333="",D333+G333=0),"",D333/(D333+G333))</f>
        <v>0.514875531268974</v>
      </c>
      <c r="K333" s="52" t="n">
        <f aca="false">IF(E333="","",E333/(E333+H333))</f>
        <v>0.508956145768993</v>
      </c>
      <c r="L333" s="64" t="n">
        <f aca="false">IF(OR(K333="",J333=""),"",(J333-K333)*100)</f>
        <v>0.591938549998072</v>
      </c>
      <c r="M333" s="21"/>
    </row>
    <row r="334" customFormat="false" ht="15" hidden="false" customHeight="false" outlineLevel="0" collapsed="false">
      <c r="A334" s="21" t="s">
        <v>377</v>
      </c>
      <c r="B334" s="21" t="s">
        <v>508</v>
      </c>
      <c r="C334" s="21" t="s">
        <v>513</v>
      </c>
      <c r="D334" s="37" t="n">
        <v>1206</v>
      </c>
      <c r="E334" s="37" t="n">
        <v>1193</v>
      </c>
      <c r="F334" s="63" t="n">
        <f aca="false">IF(E334="","",D334-E334)</f>
        <v>13</v>
      </c>
      <c r="G334" s="37" t="n">
        <v>1279</v>
      </c>
      <c r="H334" s="37" t="n">
        <v>1334</v>
      </c>
      <c r="I334" s="63" t="n">
        <f aca="false">IF(H334="","",G334-H334)</f>
        <v>-55</v>
      </c>
      <c r="J334" s="52" t="n">
        <f aca="false">IF(OR(D334="",D334+G334=0),"",D334/(D334+G334))</f>
        <v>0.485311871227364</v>
      </c>
      <c r="K334" s="52" t="n">
        <f aca="false">IF(E334="","",E334/(E334+H334))</f>
        <v>0.47210130589632</v>
      </c>
      <c r="L334" s="64" t="n">
        <f aca="false">IF(OR(K334="",J334=""),"",(J334-K334)*100)</f>
        <v>1.32105653310444</v>
      </c>
      <c r="M334" s="21"/>
    </row>
    <row r="335" customFormat="false" ht="15" hidden="false" customHeight="false" outlineLevel="0" collapsed="false">
      <c r="A335" s="21" t="s">
        <v>377</v>
      </c>
      <c r="B335" s="21" t="s">
        <v>508</v>
      </c>
      <c r="C335" s="21" t="s">
        <v>514</v>
      </c>
      <c r="D335" s="37" t="n">
        <v>747</v>
      </c>
      <c r="E335" s="37" t="n">
        <v>755</v>
      </c>
      <c r="F335" s="63" t="n">
        <f aca="false">IF(E335="","",D335-E335)</f>
        <v>-8</v>
      </c>
      <c r="G335" s="37" t="n">
        <v>808</v>
      </c>
      <c r="H335" s="37" t="n">
        <v>789</v>
      </c>
      <c r="I335" s="63" t="n">
        <f aca="false">IF(H335="","",G335-H335)</f>
        <v>19</v>
      </c>
      <c r="J335" s="52" t="n">
        <f aca="false">IF(OR(D335="",D335+G335=0),"",D335/(D335+G335))</f>
        <v>0.480385852090032</v>
      </c>
      <c r="K335" s="52" t="n">
        <f aca="false">IF(E335="","",E335/(E335+H335))</f>
        <v>0.4889896373057</v>
      </c>
      <c r="L335" s="64" t="n">
        <f aca="false">IF(OR(K335="",J335=""),"",(J335-K335)*100)</f>
        <v>-0.860378521566735</v>
      </c>
      <c r="M335" s="21"/>
    </row>
    <row r="336" customFormat="false" ht="15" hidden="false" customHeight="false" outlineLevel="0" collapsed="false">
      <c r="A336" s="21" t="s">
        <v>377</v>
      </c>
      <c r="B336" s="21" t="s">
        <v>508</v>
      </c>
      <c r="C336" s="21" t="s">
        <v>515</v>
      </c>
      <c r="D336" s="37" t="n">
        <v>779</v>
      </c>
      <c r="E336" s="37"/>
      <c r="F336" s="63" t="str">
        <f aca="false">IF(E336="","",D336-E336)</f>
        <v/>
      </c>
      <c r="G336" s="37" t="n">
        <v>671</v>
      </c>
      <c r="H336" s="37"/>
      <c r="I336" s="63" t="str">
        <f aca="false">IF(H336="","",G336-H336)</f>
        <v/>
      </c>
      <c r="J336" s="52" t="n">
        <f aca="false">IF(OR(D336="",D336+G336=0),"",D336/(D336+G336))</f>
        <v>0.537241379310345</v>
      </c>
      <c r="K336" s="52" t="str">
        <f aca="false">IF(E336="","",E336/(E336+H336))</f>
        <v/>
      </c>
      <c r="L336" s="64" t="str">
        <f aca="false">IF(OR(K336="",J336=""),"",(J336-K336)*100)</f>
        <v/>
      </c>
      <c r="M336" s="21" t="s">
        <v>685</v>
      </c>
    </row>
    <row r="337" customFormat="false" ht="15" hidden="false" customHeight="false" outlineLevel="0" collapsed="false">
      <c r="A337" s="21" t="s">
        <v>377</v>
      </c>
      <c r="B337" s="21" t="s">
        <v>508</v>
      </c>
      <c r="C337" s="21" t="s">
        <v>516</v>
      </c>
      <c r="D337" s="37" t="n">
        <v>701</v>
      </c>
      <c r="E337" s="37"/>
      <c r="F337" s="63" t="str">
        <f aca="false">IF(E337="","",D337-E337)</f>
        <v/>
      </c>
      <c r="G337" s="37" t="n">
        <v>776</v>
      </c>
      <c r="H337" s="37"/>
      <c r="I337" s="63" t="str">
        <f aca="false">IF(H337="","",G337-H337)</f>
        <v/>
      </c>
      <c r="J337" s="52" t="n">
        <f aca="false">IF(OR(D337="",D337+G337=0),"",D337/(D337+G337))</f>
        <v>0.474610697359513</v>
      </c>
      <c r="K337" s="52" t="str">
        <f aca="false">IF(E337="","",E337/(E337+H337))</f>
        <v/>
      </c>
      <c r="L337" s="64" t="str">
        <f aca="false">IF(OR(K337="",J337=""),"",(J337-K337)*100)</f>
        <v/>
      </c>
      <c r="M337" s="21" t="s">
        <v>685</v>
      </c>
    </row>
    <row r="338" customFormat="false" ht="15" hidden="false" customHeight="false" outlineLevel="0" collapsed="false">
      <c r="A338" s="21" t="s">
        <v>377</v>
      </c>
      <c r="B338" s="21" t="s">
        <v>508</v>
      </c>
      <c r="C338" s="21" t="s">
        <v>517</v>
      </c>
      <c r="D338" s="37" t="n">
        <v>749</v>
      </c>
      <c r="E338" s="37"/>
      <c r="F338" s="63" t="str">
        <f aca="false">IF(E338="","",D338-E338)</f>
        <v/>
      </c>
      <c r="G338" s="37" t="n">
        <v>887</v>
      </c>
      <c r="H338" s="37"/>
      <c r="I338" s="63" t="str">
        <f aca="false">IF(H338="","",G338-H338)</f>
        <v/>
      </c>
      <c r="J338" s="52" t="n">
        <f aca="false">IF(OR(D338="",D338+G338=0),"",D338/(D338+G338))</f>
        <v>0.457823960880196</v>
      </c>
      <c r="K338" s="52" t="str">
        <f aca="false">IF(E338="","",E338/(E338+H338))</f>
        <v/>
      </c>
      <c r="L338" s="64" t="str">
        <f aca="false">IF(OR(K338="",J338=""),"",(J338-K338)*100)</f>
        <v/>
      </c>
      <c r="M338" s="21" t="s">
        <v>685</v>
      </c>
    </row>
    <row r="339" customFormat="false" ht="15" hidden="false" customHeight="false" outlineLevel="0" collapsed="false">
      <c r="A339" s="21" t="s">
        <v>377</v>
      </c>
      <c r="B339" s="21" t="s">
        <v>518</v>
      </c>
      <c r="C339" s="21" t="s">
        <v>519</v>
      </c>
      <c r="D339" s="37" t="n">
        <v>106</v>
      </c>
      <c r="E339" s="37" t="n">
        <v>112</v>
      </c>
      <c r="F339" s="63" t="n">
        <f aca="false">IF(E339="","",D339-E339)</f>
        <v>-6</v>
      </c>
      <c r="G339" s="37" t="n">
        <v>190</v>
      </c>
      <c r="H339" s="37" t="n">
        <v>199</v>
      </c>
      <c r="I339" s="63" t="n">
        <f aca="false">IF(H339="","",G339-H339)</f>
        <v>-9</v>
      </c>
      <c r="J339" s="52" t="n">
        <f aca="false">IF(OR(D339="",D339+G339=0),"",D339/(D339+G339))</f>
        <v>0.358108108108108</v>
      </c>
      <c r="K339" s="52" t="n">
        <f aca="false">IF(E339="","",E339/(E339+H339))</f>
        <v>0.360128617363344</v>
      </c>
      <c r="L339" s="64" t="n">
        <f aca="false">IF(OR(K339="",J339=""),"",(J339-K339)*100)</f>
        <v>-0.202050925523595</v>
      </c>
      <c r="M339" s="21"/>
    </row>
    <row r="340" customFormat="false" ht="15" hidden="false" customHeight="false" outlineLevel="0" collapsed="false">
      <c r="A340" s="21" t="s">
        <v>377</v>
      </c>
      <c r="B340" s="21" t="s">
        <v>518</v>
      </c>
      <c r="C340" s="21" t="s">
        <v>520</v>
      </c>
      <c r="D340" s="37" t="n">
        <v>245</v>
      </c>
      <c r="E340" s="37" t="n">
        <v>259</v>
      </c>
      <c r="F340" s="63" t="n">
        <f aca="false">IF(E340="","",D340-E340)</f>
        <v>-14</v>
      </c>
      <c r="G340" s="37" t="n">
        <v>468</v>
      </c>
      <c r="H340" s="37" t="n">
        <v>480</v>
      </c>
      <c r="I340" s="63" t="n">
        <f aca="false">IF(H340="","",G340-H340)</f>
        <v>-12</v>
      </c>
      <c r="J340" s="52" t="n">
        <f aca="false">IF(OR(D340="",D340+G340=0),"",D340/(D340+G340))</f>
        <v>0.343618513323983</v>
      </c>
      <c r="K340" s="52" t="n">
        <f aca="false">IF(E340="","",E340/(E340+H340))</f>
        <v>0.350473612990528</v>
      </c>
      <c r="L340" s="64" t="n">
        <f aca="false">IF(OR(K340="",J340=""),"",(J340-K340)*100)</f>
        <v>-0.685509966654457</v>
      </c>
      <c r="M340" s="21"/>
    </row>
    <row r="341" customFormat="false" ht="15" hidden="false" customHeight="false" outlineLevel="0" collapsed="false">
      <c r="A341" s="21" t="s">
        <v>377</v>
      </c>
      <c r="B341" s="21" t="s">
        <v>518</v>
      </c>
      <c r="C341" s="21" t="s">
        <v>521</v>
      </c>
      <c r="D341" s="37" t="n">
        <v>200</v>
      </c>
      <c r="E341" s="37" t="n">
        <v>204</v>
      </c>
      <c r="F341" s="63" t="n">
        <f aca="false">IF(E341="","",D341-E341)</f>
        <v>-4</v>
      </c>
      <c r="G341" s="37" t="n">
        <v>296</v>
      </c>
      <c r="H341" s="37" t="n">
        <v>301</v>
      </c>
      <c r="I341" s="63" t="n">
        <f aca="false">IF(H341="","",G341-H341)</f>
        <v>-5</v>
      </c>
      <c r="J341" s="52" t="n">
        <f aca="false">IF(OR(D341="",D341+G341=0),"",D341/(D341+G341))</f>
        <v>0.403225806451613</v>
      </c>
      <c r="K341" s="52" t="n">
        <f aca="false">IF(E341="","",E341/(E341+H341))</f>
        <v>0.403960396039604</v>
      </c>
      <c r="L341" s="64" t="n">
        <f aca="false">IF(OR(K341="",J341=""),"",(J341-K341)*100)</f>
        <v>-0.0734589587991108</v>
      </c>
      <c r="M341" s="21"/>
    </row>
    <row r="342" customFormat="false" ht="15" hidden="false" customHeight="false" outlineLevel="0" collapsed="false">
      <c r="A342" s="21" t="s">
        <v>377</v>
      </c>
      <c r="B342" s="21" t="s">
        <v>518</v>
      </c>
      <c r="C342" s="21" t="s">
        <v>522</v>
      </c>
      <c r="D342" s="37" t="n">
        <v>140</v>
      </c>
      <c r="E342" s="37" t="n">
        <v>128</v>
      </c>
      <c r="F342" s="63" t="n">
        <f aca="false">IF(E342="","",D342-E342)</f>
        <v>12</v>
      </c>
      <c r="G342" s="37" t="n">
        <v>196</v>
      </c>
      <c r="H342" s="37" t="n">
        <v>200</v>
      </c>
      <c r="I342" s="63" t="n">
        <f aca="false">IF(H342="","",G342-H342)</f>
        <v>-4</v>
      </c>
      <c r="J342" s="52" t="n">
        <f aca="false">IF(OR(D342="",D342+G342=0),"",D342/(D342+G342))</f>
        <v>0.416666666666667</v>
      </c>
      <c r="K342" s="52" t="n">
        <f aca="false">IF(E342="","",E342/(E342+H342))</f>
        <v>0.390243902439024</v>
      </c>
      <c r="L342" s="64" t="n">
        <f aca="false">IF(OR(K342="",J342=""),"",(J342-K342)*100)</f>
        <v>2.64227642276423</v>
      </c>
      <c r="M342" s="21"/>
    </row>
    <row r="343" customFormat="false" ht="15" hidden="false" customHeight="false" outlineLevel="0" collapsed="false">
      <c r="A343" s="21" t="s">
        <v>377</v>
      </c>
      <c r="B343" s="21" t="s">
        <v>523</v>
      </c>
      <c r="C343" s="21" t="s">
        <v>524</v>
      </c>
      <c r="D343" s="37" t="n">
        <v>392</v>
      </c>
      <c r="E343" s="37" t="n">
        <v>412</v>
      </c>
      <c r="F343" s="63" t="n">
        <f aca="false">IF(E343="","",D343-E343)</f>
        <v>-20</v>
      </c>
      <c r="G343" s="37" t="n">
        <v>800</v>
      </c>
      <c r="H343" s="37" t="n">
        <v>767</v>
      </c>
      <c r="I343" s="63" t="n">
        <f aca="false">IF(H343="","",G343-H343)</f>
        <v>33</v>
      </c>
      <c r="J343" s="52" t="n">
        <f aca="false">IF(OR(D343="",D343+G343=0),"",D343/(D343+G343))</f>
        <v>0.328859060402685</v>
      </c>
      <c r="K343" s="52" t="n">
        <f aca="false">IF(E343="","",E343/(E343+H343))</f>
        <v>0.349448685326548</v>
      </c>
      <c r="L343" s="64" t="n">
        <f aca="false">IF(OR(K343="",J343=""),"",(J343-K343)*100)</f>
        <v>-2.05896249238633</v>
      </c>
      <c r="M343" s="21"/>
    </row>
    <row r="344" customFormat="false" ht="15" hidden="false" customHeight="false" outlineLevel="0" collapsed="false">
      <c r="A344" s="21" t="s">
        <v>377</v>
      </c>
      <c r="B344" s="21" t="s">
        <v>523</v>
      </c>
      <c r="C344" s="21" t="s">
        <v>525</v>
      </c>
      <c r="D344" s="37" t="n">
        <v>329</v>
      </c>
      <c r="E344" s="37" t="n">
        <v>361</v>
      </c>
      <c r="F344" s="63" t="n">
        <f aca="false">IF(E344="","",D344-E344)</f>
        <v>-32</v>
      </c>
      <c r="G344" s="37" t="n">
        <v>657</v>
      </c>
      <c r="H344" s="37" t="n">
        <v>633</v>
      </c>
      <c r="I344" s="63" t="n">
        <f aca="false">IF(H344="","",G344-H344)</f>
        <v>24</v>
      </c>
      <c r="J344" s="52" t="n">
        <f aca="false">IF(OR(D344="",D344+G344=0),"",D344/(D344+G344))</f>
        <v>0.33367139959432</v>
      </c>
      <c r="K344" s="52" t="n">
        <f aca="false">IF(E344="","",E344/(E344+H344))</f>
        <v>0.36317907444668</v>
      </c>
      <c r="L344" s="64" t="n">
        <f aca="false">IF(OR(K344="",J344=""),"",(J344-K344)*100)</f>
        <v>-2.95076748523596</v>
      </c>
      <c r="M344" s="21"/>
    </row>
    <row r="345" customFormat="false" ht="15" hidden="false" customHeight="false" outlineLevel="0" collapsed="false">
      <c r="A345" s="21" t="s">
        <v>377</v>
      </c>
      <c r="B345" s="21" t="s">
        <v>523</v>
      </c>
      <c r="C345" s="21" t="s">
        <v>526</v>
      </c>
      <c r="D345" s="37" t="n">
        <v>286</v>
      </c>
      <c r="E345" s="37" t="n">
        <v>286</v>
      </c>
      <c r="F345" s="63" t="n">
        <f aca="false">IF(E345="","",D345-E345)</f>
        <v>0</v>
      </c>
      <c r="G345" s="37" t="n">
        <v>590</v>
      </c>
      <c r="H345" s="37" t="n">
        <v>553</v>
      </c>
      <c r="I345" s="63" t="n">
        <f aca="false">IF(H345="","",G345-H345)</f>
        <v>37</v>
      </c>
      <c r="J345" s="52" t="n">
        <f aca="false">IF(OR(D345="",D345+G345=0),"",D345/(D345+G345))</f>
        <v>0.32648401826484</v>
      </c>
      <c r="K345" s="52" t="n">
        <f aca="false">IF(E345="","",E345/(E345+H345))</f>
        <v>0.34088200238379</v>
      </c>
      <c r="L345" s="64" t="n">
        <f aca="false">IF(OR(K345="",J345=""),"",(J345-K345)*100)</f>
        <v>-1.439798411895</v>
      </c>
      <c r="M345" s="21"/>
    </row>
    <row r="346" customFormat="false" ht="15" hidden="false" customHeight="false" outlineLevel="0" collapsed="false">
      <c r="A346" s="21" t="s">
        <v>377</v>
      </c>
      <c r="B346" s="21" t="s">
        <v>523</v>
      </c>
      <c r="C346" s="21" t="s">
        <v>527</v>
      </c>
      <c r="D346" s="37" t="n">
        <v>291</v>
      </c>
      <c r="E346" s="37" t="n">
        <v>302</v>
      </c>
      <c r="F346" s="63" t="n">
        <f aca="false">IF(E346="","",D346-E346)</f>
        <v>-11</v>
      </c>
      <c r="G346" s="37" t="n">
        <v>605</v>
      </c>
      <c r="H346" s="37" t="n">
        <v>608</v>
      </c>
      <c r="I346" s="63" t="n">
        <f aca="false">IF(H346="","",G346-H346)</f>
        <v>-3</v>
      </c>
      <c r="J346" s="52" t="n">
        <f aca="false">IF(OR(D346="",D346+G346=0),"",D346/(D346+G346))</f>
        <v>0.324776785714286</v>
      </c>
      <c r="K346" s="52" t="n">
        <f aca="false">IF(E346="","",E346/(E346+H346))</f>
        <v>0.331868131868132</v>
      </c>
      <c r="L346" s="64" t="n">
        <f aca="false">IF(OR(K346="",J346=""),"",(J346-K346)*100)</f>
        <v>-0.709134615384616</v>
      </c>
      <c r="M346" s="21"/>
    </row>
    <row r="347" customFormat="false" ht="15" hidden="false" customHeight="false" outlineLevel="0" collapsed="false">
      <c r="A347" s="21" t="s">
        <v>377</v>
      </c>
      <c r="B347" s="21" t="s">
        <v>528</v>
      </c>
      <c r="C347" s="21" t="s">
        <v>529</v>
      </c>
      <c r="D347" s="37" t="n">
        <v>77</v>
      </c>
      <c r="E347" s="37" t="n">
        <v>92</v>
      </c>
      <c r="F347" s="63" t="n">
        <f aca="false">IF(E347="","",D347-E347)</f>
        <v>-15</v>
      </c>
      <c r="G347" s="37" t="n">
        <v>172</v>
      </c>
      <c r="H347" s="37" t="n">
        <v>167</v>
      </c>
      <c r="I347" s="63" t="n">
        <f aca="false">IF(H347="","",G347-H347)</f>
        <v>5</v>
      </c>
      <c r="J347" s="52" t="n">
        <f aca="false">IF(OR(D347="",D347+G347=0),"",D347/(D347+G347))</f>
        <v>0.309236947791165</v>
      </c>
      <c r="K347" s="52" t="n">
        <f aca="false">IF(E347="","",E347/(E347+H347))</f>
        <v>0.355212355212355</v>
      </c>
      <c r="L347" s="64" t="n">
        <f aca="false">IF(OR(K347="",J347=""),"",(J347-K347)*100)</f>
        <v>-4.59754074211906</v>
      </c>
      <c r="M347" s="21"/>
    </row>
    <row r="348" customFormat="false" ht="15" hidden="false" customHeight="false" outlineLevel="0" collapsed="false">
      <c r="A348" s="21" t="s">
        <v>377</v>
      </c>
      <c r="B348" s="21" t="s">
        <v>530</v>
      </c>
      <c r="C348" s="21" t="s">
        <v>531</v>
      </c>
      <c r="D348" s="37" t="n">
        <v>355</v>
      </c>
      <c r="E348" s="37" t="n">
        <v>335</v>
      </c>
      <c r="F348" s="63" t="n">
        <f aca="false">IF(E348="","",D348-E348)</f>
        <v>20</v>
      </c>
      <c r="G348" s="37" t="n">
        <v>577</v>
      </c>
      <c r="H348" s="37" t="n">
        <v>581</v>
      </c>
      <c r="I348" s="63" t="n">
        <f aca="false">IF(H348="","",G348-H348)</f>
        <v>-4</v>
      </c>
      <c r="J348" s="52" t="n">
        <f aca="false">IF(OR(D348="",D348+G348=0),"",D348/(D348+G348))</f>
        <v>0.380901287553648</v>
      </c>
      <c r="K348" s="52" t="n">
        <f aca="false">IF(E348="","",E348/(E348+H348))</f>
        <v>0.365720524017467</v>
      </c>
      <c r="L348" s="64" t="n">
        <f aca="false">IF(OR(K348="",J348=""),"",(J348-K348)*100)</f>
        <v>1.51807635361808</v>
      </c>
      <c r="M348" s="21"/>
    </row>
    <row r="349" customFormat="false" ht="15" hidden="false" customHeight="false" outlineLevel="0" collapsed="false">
      <c r="A349" s="21" t="s">
        <v>377</v>
      </c>
      <c r="B349" s="21" t="s">
        <v>532</v>
      </c>
      <c r="C349" s="21" t="s">
        <v>533</v>
      </c>
      <c r="D349" s="37" t="n">
        <v>208</v>
      </c>
      <c r="E349" s="37" t="n">
        <v>210</v>
      </c>
      <c r="F349" s="63" t="n">
        <f aca="false">IF(E349="","",D349-E349)</f>
        <v>-2</v>
      </c>
      <c r="G349" s="37" t="n">
        <v>306</v>
      </c>
      <c r="H349" s="37" t="n">
        <v>309</v>
      </c>
      <c r="I349" s="63" t="n">
        <f aca="false">IF(H349="","",G349-H349)</f>
        <v>-3</v>
      </c>
      <c r="J349" s="52" t="n">
        <f aca="false">IF(OR(D349="",D349+G349=0),"",D349/(D349+G349))</f>
        <v>0.404669260700389</v>
      </c>
      <c r="K349" s="52" t="n">
        <f aca="false">IF(E349="","",E349/(E349+H349))</f>
        <v>0.404624277456647</v>
      </c>
      <c r="L349" s="64" t="n">
        <f aca="false">IF(OR(K349="",J349=""),"",(J349-K349)*100)</f>
        <v>0.00449832437416919</v>
      </c>
      <c r="M349" s="21"/>
    </row>
    <row r="350" customFormat="false" ht="15" hidden="false" customHeight="false" outlineLevel="0" collapsed="false">
      <c r="A350" s="21" t="s">
        <v>377</v>
      </c>
      <c r="B350" s="21" t="s">
        <v>534</v>
      </c>
      <c r="C350" s="21" t="s">
        <v>535</v>
      </c>
      <c r="D350" s="37" t="n">
        <v>336</v>
      </c>
      <c r="E350" s="37" t="n">
        <v>331</v>
      </c>
      <c r="F350" s="63" t="n">
        <f aca="false">IF(E350="","",D350-E350)</f>
        <v>5</v>
      </c>
      <c r="G350" s="37" t="n">
        <v>436</v>
      </c>
      <c r="H350" s="37" t="n">
        <v>458</v>
      </c>
      <c r="I350" s="63" t="n">
        <f aca="false">IF(H350="","",G350-H350)</f>
        <v>-22</v>
      </c>
      <c r="J350" s="52" t="n">
        <f aca="false">IF(OR(D350="",D350+G350=0),"",D350/(D350+G350))</f>
        <v>0.435233160621762</v>
      </c>
      <c r="K350" s="52" t="n">
        <f aca="false">IF(E350="","",E350/(E350+H350))</f>
        <v>0.419518377693283</v>
      </c>
      <c r="L350" s="64" t="n">
        <f aca="false">IF(OR(K350="",J350=""),"",(J350-K350)*100)</f>
        <v>1.5714782928479</v>
      </c>
      <c r="M350" s="21"/>
    </row>
    <row r="351" customFormat="false" ht="15" hidden="false" customHeight="false" outlineLevel="0" collapsed="false">
      <c r="A351" s="21" t="s">
        <v>377</v>
      </c>
      <c r="B351" s="21" t="s">
        <v>536</v>
      </c>
      <c r="C351" s="21" t="s">
        <v>537</v>
      </c>
      <c r="D351" s="37" t="n">
        <v>299</v>
      </c>
      <c r="E351" s="37" t="n">
        <v>307</v>
      </c>
      <c r="F351" s="63" t="n">
        <f aca="false">IF(E351="","",D351-E351)</f>
        <v>-8</v>
      </c>
      <c r="G351" s="37" t="n">
        <v>740</v>
      </c>
      <c r="H351" s="37" t="n">
        <v>746</v>
      </c>
      <c r="I351" s="63" t="n">
        <f aca="false">IF(H351="","",G351-H351)</f>
        <v>-6</v>
      </c>
      <c r="J351" s="52" t="n">
        <f aca="false">IF(OR(D351="",D351+G351=0),"",D351/(D351+G351))</f>
        <v>0.287776708373436</v>
      </c>
      <c r="K351" s="52" t="n">
        <f aca="false">IF(E351="","",E351/(E351+H351))</f>
        <v>0.291547958214625</v>
      </c>
      <c r="L351" s="64" t="n">
        <f aca="false">IF(OR(K351="",J351=""),"",(J351-K351)*100)</f>
        <v>-0.377124984118887</v>
      </c>
      <c r="M351" s="21"/>
    </row>
    <row r="352" customFormat="false" ht="15" hidden="false" customHeight="false" outlineLevel="0" collapsed="false">
      <c r="A352" s="21" t="s">
        <v>377</v>
      </c>
      <c r="B352" s="21" t="s">
        <v>536</v>
      </c>
      <c r="C352" s="21" t="s">
        <v>538</v>
      </c>
      <c r="D352" s="37" t="n">
        <v>226</v>
      </c>
      <c r="E352" s="37" t="n">
        <v>232</v>
      </c>
      <c r="F352" s="63" t="n">
        <f aca="false">IF(E352="","",D352-E352)</f>
        <v>-6</v>
      </c>
      <c r="G352" s="37" t="n">
        <v>491</v>
      </c>
      <c r="H352" s="37" t="n">
        <v>487</v>
      </c>
      <c r="I352" s="63" t="n">
        <f aca="false">IF(H352="","",G352-H352)</f>
        <v>4</v>
      </c>
      <c r="J352" s="52" t="n">
        <f aca="false">IF(OR(D352="",D352+G352=0),"",D352/(D352+G352))</f>
        <v>0.315202231520223</v>
      </c>
      <c r="K352" s="52" t="n">
        <f aca="false">IF(E352="","",E352/(E352+H352))</f>
        <v>0.322670375521558</v>
      </c>
      <c r="L352" s="64" t="n">
        <f aca="false">IF(OR(K352="",J352=""),"",(J352-K352)*100)</f>
        <v>-0.746814400133455</v>
      </c>
      <c r="M352" s="21"/>
    </row>
    <row r="353" customFormat="false" ht="15" hidden="false" customHeight="false" outlineLevel="0" collapsed="false">
      <c r="A353" s="21" t="s">
        <v>377</v>
      </c>
      <c r="B353" s="21" t="s">
        <v>536</v>
      </c>
      <c r="C353" s="21" t="s">
        <v>539</v>
      </c>
      <c r="D353" s="37" t="n">
        <v>182</v>
      </c>
      <c r="E353" s="37" t="n">
        <v>178</v>
      </c>
      <c r="F353" s="63" t="n">
        <f aca="false">IF(E353="","",D353-E353)</f>
        <v>4</v>
      </c>
      <c r="G353" s="37" t="n">
        <v>436</v>
      </c>
      <c r="H353" s="37" t="n">
        <v>480</v>
      </c>
      <c r="I353" s="63" t="n">
        <f aca="false">IF(H353="","",G353-H353)</f>
        <v>-44</v>
      </c>
      <c r="J353" s="52" t="n">
        <f aca="false">IF(OR(D353="",D353+G353=0),"",D353/(D353+G353))</f>
        <v>0.294498381877023</v>
      </c>
      <c r="K353" s="52" t="n">
        <f aca="false">IF(E353="","",E353/(E353+H353))</f>
        <v>0.270516717325228</v>
      </c>
      <c r="L353" s="64" t="n">
        <f aca="false">IF(OR(K353="",J353=""),"",(J353-K353)*100)</f>
        <v>2.39816645517947</v>
      </c>
      <c r="M353" s="21"/>
    </row>
    <row r="354" customFormat="false" ht="15" hidden="false" customHeight="false" outlineLevel="0" collapsed="false">
      <c r="A354" s="21" t="s">
        <v>377</v>
      </c>
      <c r="B354" s="21" t="s">
        <v>536</v>
      </c>
      <c r="C354" s="21" t="s">
        <v>540</v>
      </c>
      <c r="D354" s="37" t="n">
        <v>185</v>
      </c>
      <c r="E354" s="37" t="n">
        <v>180</v>
      </c>
      <c r="F354" s="63" t="n">
        <f aca="false">IF(E354="","",D354-E354)</f>
        <v>5</v>
      </c>
      <c r="G354" s="37" t="n">
        <v>415</v>
      </c>
      <c r="H354" s="37" t="n">
        <v>430</v>
      </c>
      <c r="I354" s="63" t="n">
        <f aca="false">IF(H354="","",G354-H354)</f>
        <v>-15</v>
      </c>
      <c r="J354" s="52" t="n">
        <f aca="false">IF(OR(D354="",D354+G354=0),"",D354/(D354+G354))</f>
        <v>0.308333333333333</v>
      </c>
      <c r="K354" s="52" t="n">
        <f aca="false">IF(E354="","",E354/(E354+H354))</f>
        <v>0.295081967213115</v>
      </c>
      <c r="L354" s="64" t="n">
        <f aca="false">IF(OR(K354="",J354=""),"",(J354-K354)*100)</f>
        <v>1.32513661202186</v>
      </c>
      <c r="M354" s="21"/>
    </row>
    <row r="355" customFormat="false" ht="15" hidden="false" customHeight="false" outlineLevel="0" collapsed="false">
      <c r="A355" s="21" t="s">
        <v>377</v>
      </c>
      <c r="B355" s="21" t="s">
        <v>536</v>
      </c>
      <c r="C355" s="21" t="s">
        <v>541</v>
      </c>
      <c r="D355" s="37" t="n">
        <v>310</v>
      </c>
      <c r="E355" s="37" t="n">
        <v>345</v>
      </c>
      <c r="F355" s="63" t="n">
        <f aca="false">IF(E355="","",D355-E355)</f>
        <v>-35</v>
      </c>
      <c r="G355" s="37" t="n">
        <v>578</v>
      </c>
      <c r="H355" s="37" t="n">
        <v>573</v>
      </c>
      <c r="I355" s="63" t="n">
        <f aca="false">IF(H355="","",G355-H355)</f>
        <v>5</v>
      </c>
      <c r="J355" s="52" t="n">
        <f aca="false">IF(OR(D355="",D355+G355=0),"",D355/(D355+G355))</f>
        <v>0.349099099099099</v>
      </c>
      <c r="K355" s="52" t="n">
        <f aca="false">IF(E355="","",E355/(E355+H355))</f>
        <v>0.375816993464052</v>
      </c>
      <c r="L355" s="64" t="n">
        <f aca="false">IF(OR(K355="",J355=""),"",(J355-K355)*100)</f>
        <v>-2.67178943649532</v>
      </c>
      <c r="M355" s="21"/>
    </row>
    <row r="356" customFormat="false" ht="15" hidden="false" customHeight="false" outlineLevel="0" collapsed="false">
      <c r="A356" s="21" t="s">
        <v>377</v>
      </c>
      <c r="B356" s="21" t="s">
        <v>542</v>
      </c>
      <c r="C356" s="21" t="s">
        <v>543</v>
      </c>
      <c r="D356" s="37" t="n">
        <v>1090</v>
      </c>
      <c r="E356" s="37" t="n">
        <v>1084</v>
      </c>
      <c r="F356" s="63" t="n">
        <f aca="false">IF(E356="","",D356-E356)</f>
        <v>6</v>
      </c>
      <c r="G356" s="37" t="n">
        <v>1145</v>
      </c>
      <c r="H356" s="37" t="n">
        <v>1187</v>
      </c>
      <c r="I356" s="63" t="n">
        <f aca="false">IF(H356="","",G356-H356)</f>
        <v>-42</v>
      </c>
      <c r="J356" s="52" t="n">
        <f aca="false">IF(OR(D356="",D356+G356=0),"",D356/(D356+G356))</f>
        <v>0.487695749440716</v>
      </c>
      <c r="K356" s="52" t="n">
        <f aca="false">IF(E356="","",E356/(E356+H356))</f>
        <v>0.477322765301629</v>
      </c>
      <c r="L356" s="64" t="n">
        <f aca="false">IF(OR(K356="",J356=""),"",(J356-K356)*100)</f>
        <v>1.03729841390866</v>
      </c>
      <c r="M356" s="21"/>
    </row>
    <row r="357" customFormat="false" ht="15" hidden="false" customHeight="false" outlineLevel="0" collapsed="false">
      <c r="A357" s="21" t="s">
        <v>377</v>
      </c>
      <c r="B357" s="21" t="s">
        <v>542</v>
      </c>
      <c r="C357" s="21" t="s">
        <v>544</v>
      </c>
      <c r="D357" s="37" t="n">
        <v>360</v>
      </c>
      <c r="E357" s="37"/>
      <c r="F357" s="63" t="str">
        <f aca="false">IF(E357="","",D357-E357)</f>
        <v/>
      </c>
      <c r="G357" s="37" t="n">
        <v>371</v>
      </c>
      <c r="H357" s="37"/>
      <c r="I357" s="63" t="str">
        <f aca="false">IF(H357="","",G357-H357)</f>
        <v/>
      </c>
      <c r="J357" s="52" t="n">
        <f aca="false">IF(OR(D357="",D357+G357=0),"",D357/(D357+G357))</f>
        <v>0.492476060191518</v>
      </c>
      <c r="K357" s="52" t="str">
        <f aca="false">IF(E357="","",E357/(E357+H357))</f>
        <v/>
      </c>
      <c r="L357" s="64" t="str">
        <f aca="false">IF(OR(K357="",J357=""),"",(J357-K357)*100)</f>
        <v/>
      </c>
      <c r="M357" s="21" t="s">
        <v>685</v>
      </c>
    </row>
    <row r="358" customFormat="false" ht="15" hidden="false" customHeight="false" outlineLevel="0" collapsed="false">
      <c r="A358" s="21" t="s">
        <v>377</v>
      </c>
      <c r="B358" s="21" t="s">
        <v>542</v>
      </c>
      <c r="C358" s="21" t="s">
        <v>545</v>
      </c>
      <c r="D358" s="37" t="n">
        <v>859</v>
      </c>
      <c r="E358" s="37" t="n">
        <v>880</v>
      </c>
      <c r="F358" s="63" t="n">
        <f aca="false">IF(E358="","",D358-E358)</f>
        <v>-21</v>
      </c>
      <c r="G358" s="37" t="n">
        <v>975</v>
      </c>
      <c r="H358" s="37" t="n">
        <v>960</v>
      </c>
      <c r="I358" s="63" t="n">
        <f aca="false">IF(H358="","",G358-H358)</f>
        <v>15</v>
      </c>
      <c r="J358" s="52" t="n">
        <f aca="false">IF(OR(D358="",D358+G358=0),"",D358/(D358+G358))</f>
        <v>0.468375136314068</v>
      </c>
      <c r="K358" s="52" t="n">
        <f aca="false">IF(E358="","",E358/(E358+H358))</f>
        <v>0.478260869565217</v>
      </c>
      <c r="L358" s="64" t="n">
        <f aca="false">IF(OR(K358="",J358=""),"",(J358-K358)*100)</f>
        <v>-0.988573325114978</v>
      </c>
      <c r="M358" s="21"/>
    </row>
    <row r="359" customFormat="false" ht="15" hidden="false" customHeight="false" outlineLevel="0" collapsed="false">
      <c r="A359" s="21" t="s">
        <v>377</v>
      </c>
      <c r="B359" s="21" t="s">
        <v>542</v>
      </c>
      <c r="C359" s="21" t="s">
        <v>546</v>
      </c>
      <c r="D359" s="37" t="n">
        <v>280</v>
      </c>
      <c r="E359" s="37"/>
      <c r="F359" s="63" t="str">
        <f aca="false">IF(E359="","",D359-E359)</f>
        <v/>
      </c>
      <c r="G359" s="37" t="n">
        <v>277</v>
      </c>
      <c r="H359" s="37"/>
      <c r="I359" s="63" t="str">
        <f aca="false">IF(H359="","",G359-H359)</f>
        <v/>
      </c>
      <c r="J359" s="52" t="n">
        <f aca="false">IF(OR(D359="",D359+G359=0),"",D359/(D359+G359))</f>
        <v>0.502692998204668</v>
      </c>
      <c r="K359" s="52" t="str">
        <f aca="false">IF(E359="","",E359/(E359+H359))</f>
        <v/>
      </c>
      <c r="L359" s="64" t="str">
        <f aca="false">IF(OR(K359="",J359=""),"",(J359-K359)*100)</f>
        <v/>
      </c>
      <c r="M359" s="21" t="s">
        <v>685</v>
      </c>
    </row>
    <row r="360" customFormat="false" ht="15" hidden="false" customHeight="false" outlineLevel="0" collapsed="false">
      <c r="A360" s="21" t="s">
        <v>377</v>
      </c>
      <c r="B360" s="21" t="s">
        <v>547</v>
      </c>
      <c r="C360" s="21" t="s">
        <v>548</v>
      </c>
      <c r="D360" s="37" t="n">
        <v>419</v>
      </c>
      <c r="E360" s="37" t="n">
        <v>416</v>
      </c>
      <c r="F360" s="63" t="n">
        <f aca="false">IF(E360="","",D360-E360)</f>
        <v>3</v>
      </c>
      <c r="G360" s="37" t="n">
        <v>642</v>
      </c>
      <c r="H360" s="37" t="n">
        <v>658</v>
      </c>
      <c r="I360" s="63" t="n">
        <f aca="false">IF(H360="","",G360-H360)</f>
        <v>-16</v>
      </c>
      <c r="J360" s="52" t="n">
        <f aca="false">IF(OR(D360="",D360+G360=0),"",D360/(D360+G360))</f>
        <v>0.394910461828464</v>
      </c>
      <c r="K360" s="52" t="n">
        <f aca="false">IF(E360="","",E360/(E360+H360))</f>
        <v>0.387337057728119</v>
      </c>
      <c r="L360" s="64" t="n">
        <f aca="false">IF(OR(K360="",J360=""),"",(J360-K360)*100)</f>
        <v>0.757340410034457</v>
      </c>
      <c r="M360" s="21"/>
    </row>
    <row r="361" customFormat="false" ht="15" hidden="false" customHeight="false" outlineLevel="0" collapsed="false">
      <c r="A361" s="21" t="s">
        <v>377</v>
      </c>
      <c r="B361" s="21" t="s">
        <v>352</v>
      </c>
      <c r="C361" s="21" t="s">
        <v>549</v>
      </c>
      <c r="D361" s="37" t="n">
        <v>541</v>
      </c>
      <c r="E361" s="37" t="n">
        <v>541</v>
      </c>
      <c r="F361" s="63" t="n">
        <f aca="false">IF(E361="","",D361-E361)</f>
        <v>0</v>
      </c>
      <c r="G361" s="37" t="n">
        <v>1085</v>
      </c>
      <c r="H361" s="37" t="n">
        <v>1106</v>
      </c>
      <c r="I361" s="63" t="n">
        <f aca="false">IF(H361="","",G361-H361)</f>
        <v>-21</v>
      </c>
      <c r="J361" s="52" t="n">
        <f aca="false">IF(OR(D361="",D361+G361=0),"",D361/(D361+G361))</f>
        <v>0.332718327183272</v>
      </c>
      <c r="K361" s="52" t="n">
        <f aca="false">IF(E361="","",E361/(E361+H361))</f>
        <v>0.328476017000607</v>
      </c>
      <c r="L361" s="64" t="n">
        <f aca="false">IF(OR(K361="",J361=""),"",(J361-K361)*100)</f>
        <v>0.424231018266463</v>
      </c>
      <c r="M361" s="21"/>
    </row>
    <row r="362" customFormat="false" ht="15" hidden="false" customHeight="false" outlineLevel="0" collapsed="false">
      <c r="A362" s="21" t="s">
        <v>377</v>
      </c>
      <c r="B362" s="21" t="s">
        <v>352</v>
      </c>
      <c r="C362" s="21" t="s">
        <v>550</v>
      </c>
      <c r="D362" s="37" t="n">
        <v>1012</v>
      </c>
      <c r="E362" s="37" t="n">
        <v>500</v>
      </c>
      <c r="F362" s="63" t="n">
        <f aca="false">IF(E362="","",D362-E362)</f>
        <v>512</v>
      </c>
      <c r="G362" s="37" t="n">
        <v>1911</v>
      </c>
      <c r="H362" s="37" t="n">
        <v>982</v>
      </c>
      <c r="I362" s="63" t="n">
        <f aca="false">IF(H362="","",G362-H362)</f>
        <v>929</v>
      </c>
      <c r="J362" s="52" t="n">
        <f aca="false">IF(OR(D362="",D362+G362=0),"",D362/(D362+G362))</f>
        <v>0.346219637358878</v>
      </c>
      <c r="K362" s="52" t="n">
        <f aca="false">IF(E362="","",E362/(E362+H362))</f>
        <v>0.337381916329285</v>
      </c>
      <c r="L362" s="64" t="n">
        <f aca="false">IF(OR(K362="",J362=""),"",(J362-K362)*100)</f>
        <v>0.883772102959307</v>
      </c>
      <c r="M362" s="21"/>
    </row>
    <row r="363" customFormat="false" ht="15" hidden="false" customHeight="false" outlineLevel="0" collapsed="false">
      <c r="A363" s="21" t="s">
        <v>377</v>
      </c>
      <c r="B363" s="21" t="s">
        <v>552</v>
      </c>
      <c r="C363" s="21" t="s">
        <v>552</v>
      </c>
      <c r="D363" s="37" t="n">
        <v>279</v>
      </c>
      <c r="E363" s="37" t="n">
        <v>281</v>
      </c>
      <c r="F363" s="63" t="n">
        <f aca="false">IF(E363="","",D363-E363)</f>
        <v>-2</v>
      </c>
      <c r="G363" s="37" t="n">
        <v>328</v>
      </c>
      <c r="H363" s="37" t="n">
        <v>310</v>
      </c>
      <c r="I363" s="63" t="n">
        <f aca="false">IF(H363="","",G363-H363)</f>
        <v>18</v>
      </c>
      <c r="J363" s="52" t="n">
        <f aca="false">IF(OR(D363="",D363+G363=0),"",D363/(D363+G363))</f>
        <v>0.459637561779242</v>
      </c>
      <c r="K363" s="52" t="n">
        <f aca="false">IF(E363="","",E363/(E363+H363))</f>
        <v>0.475465313028765</v>
      </c>
      <c r="L363" s="64" t="n">
        <f aca="false">IF(OR(K363="",J363=""),"",(J363-K363)*100)</f>
        <v>-1.58277512495226</v>
      </c>
      <c r="M363" s="21"/>
    </row>
    <row r="364" customFormat="false" ht="15" hidden="false" customHeight="false" outlineLevel="0" collapsed="false">
      <c r="A364" s="21" t="s">
        <v>377</v>
      </c>
      <c r="B364" s="21" t="s">
        <v>553</v>
      </c>
      <c r="C364" s="21" t="s">
        <v>554</v>
      </c>
      <c r="D364" s="37" t="n">
        <v>505</v>
      </c>
      <c r="E364" s="37" t="n">
        <v>514</v>
      </c>
      <c r="F364" s="63" t="n">
        <f aca="false">IF(E364="","",D364-E364)</f>
        <v>-9</v>
      </c>
      <c r="G364" s="37" t="n">
        <v>693</v>
      </c>
      <c r="H364" s="37" t="n">
        <v>713</v>
      </c>
      <c r="I364" s="63" t="n">
        <f aca="false">IF(H364="","",G364-H364)</f>
        <v>-20</v>
      </c>
      <c r="J364" s="52" t="n">
        <f aca="false">IF(OR(D364="",D364+G364=0),"",D364/(D364+G364))</f>
        <v>0.421535893155259</v>
      </c>
      <c r="K364" s="52" t="n">
        <f aca="false">IF(E364="","",E364/(E364+H364))</f>
        <v>0.418907905460473</v>
      </c>
      <c r="L364" s="64" t="n">
        <f aca="false">IF(OR(K364="",J364=""),"",(J364-K364)*100)</f>
        <v>0.262798769478606</v>
      </c>
      <c r="M364" s="21"/>
    </row>
    <row r="365" customFormat="false" ht="15" hidden="false" customHeight="false" outlineLevel="0" collapsed="false">
      <c r="A365" s="21" t="s">
        <v>377</v>
      </c>
      <c r="B365" s="21" t="s">
        <v>553</v>
      </c>
      <c r="C365" s="21" t="s">
        <v>555</v>
      </c>
      <c r="D365" s="37" t="n">
        <v>415</v>
      </c>
      <c r="E365" s="37" t="n">
        <v>425</v>
      </c>
      <c r="F365" s="63" t="n">
        <f aca="false">IF(E365="","",D365-E365)</f>
        <v>-10</v>
      </c>
      <c r="G365" s="37" t="n">
        <v>670</v>
      </c>
      <c r="H365" s="37" t="n">
        <v>656</v>
      </c>
      <c r="I365" s="63" t="n">
        <f aca="false">IF(H365="","",G365-H365)</f>
        <v>14</v>
      </c>
      <c r="J365" s="52" t="n">
        <f aca="false">IF(OR(D365="",D365+G365=0),"",D365/(D365+G365))</f>
        <v>0.382488479262673</v>
      </c>
      <c r="K365" s="52" t="n">
        <f aca="false">IF(E365="","",E365/(E365+H365))</f>
        <v>0.393154486586494</v>
      </c>
      <c r="L365" s="64" t="n">
        <f aca="false">IF(OR(K365="",J365=""),"",(J365-K365)*100)</f>
        <v>-1.06660073238212</v>
      </c>
      <c r="M365" s="21"/>
    </row>
    <row r="366" customFormat="false" ht="15" hidden="false" customHeight="false" outlineLevel="0" collapsed="false">
      <c r="A366" s="21" t="s">
        <v>377</v>
      </c>
      <c r="B366" s="21" t="s">
        <v>553</v>
      </c>
      <c r="C366" s="21" t="s">
        <v>556</v>
      </c>
      <c r="D366" s="37" t="n">
        <v>582</v>
      </c>
      <c r="E366" s="37" t="n">
        <v>624</v>
      </c>
      <c r="F366" s="63" t="n">
        <f aca="false">IF(E366="","",D366-E366)</f>
        <v>-42</v>
      </c>
      <c r="G366" s="37" t="n">
        <v>638</v>
      </c>
      <c r="H366" s="37" t="n">
        <v>618</v>
      </c>
      <c r="I366" s="63" t="n">
        <f aca="false">IF(H366="","",G366-H366)</f>
        <v>20</v>
      </c>
      <c r="J366" s="52" t="n">
        <f aca="false">IF(OR(D366="",D366+G366=0),"",D366/(D366+G366))</f>
        <v>0.477049180327869</v>
      </c>
      <c r="K366" s="52" t="n">
        <f aca="false">IF(E366="","",E366/(E366+H366))</f>
        <v>0.502415458937198</v>
      </c>
      <c r="L366" s="64" t="n">
        <f aca="false">IF(OR(K366="",J366=""),"",(J366-K366)*100)</f>
        <v>-2.53662786093292</v>
      </c>
      <c r="M366" s="21"/>
    </row>
    <row r="367" customFormat="false" ht="15" hidden="false" customHeight="false" outlineLevel="0" collapsed="false">
      <c r="A367" s="21" t="s">
        <v>377</v>
      </c>
      <c r="B367" s="21" t="s">
        <v>553</v>
      </c>
      <c r="C367" s="21" t="s">
        <v>557</v>
      </c>
      <c r="D367" s="37" t="n">
        <v>296</v>
      </c>
      <c r="E367" s="37" t="n">
        <v>284</v>
      </c>
      <c r="F367" s="63" t="n">
        <f aca="false">IF(E367="","",D367-E367)</f>
        <v>12</v>
      </c>
      <c r="G367" s="37" t="n">
        <v>399</v>
      </c>
      <c r="H367" s="37" t="n">
        <v>414</v>
      </c>
      <c r="I367" s="63" t="n">
        <f aca="false">IF(H367="","",G367-H367)</f>
        <v>-15</v>
      </c>
      <c r="J367" s="52" t="n">
        <f aca="false">IF(OR(D367="",D367+G367=0),"",D367/(D367+G367))</f>
        <v>0.42589928057554</v>
      </c>
      <c r="K367" s="52" t="n">
        <f aca="false">IF(E367="","",E367/(E367+H367))</f>
        <v>0.406876790830946</v>
      </c>
      <c r="L367" s="64" t="n">
        <f aca="false">IF(OR(K367="",J367=""),"",(J367-K367)*100)</f>
        <v>1.9022489744594</v>
      </c>
      <c r="M367" s="21"/>
    </row>
    <row r="368" customFormat="false" ht="15" hidden="false" customHeight="false" outlineLevel="0" collapsed="false">
      <c r="A368" s="21" t="s">
        <v>377</v>
      </c>
      <c r="B368" s="21" t="s">
        <v>558</v>
      </c>
      <c r="C368" s="21" t="s">
        <v>559</v>
      </c>
      <c r="D368" s="37" t="n">
        <v>637</v>
      </c>
      <c r="E368" s="37" t="n">
        <v>648</v>
      </c>
      <c r="F368" s="63" t="n">
        <f aca="false">IF(E368="","",D368-E368)</f>
        <v>-11</v>
      </c>
      <c r="G368" s="37" t="n">
        <v>445</v>
      </c>
      <c r="H368" s="37" t="n">
        <v>462</v>
      </c>
      <c r="I368" s="63" t="n">
        <f aca="false">IF(H368="","",G368-H368)</f>
        <v>-17</v>
      </c>
      <c r="J368" s="52" t="n">
        <f aca="false">IF(OR(D368="",D368+G368=0),"",D368/(D368+G368))</f>
        <v>0.588724584103512</v>
      </c>
      <c r="K368" s="52" t="n">
        <f aca="false">IF(E368="","",E368/(E368+H368))</f>
        <v>0.583783783783784</v>
      </c>
      <c r="L368" s="64" t="n">
        <f aca="false">IF(OR(K368="",J368=""),"",(J368-K368)*100)</f>
        <v>0.494080031972821</v>
      </c>
      <c r="M368" s="21"/>
    </row>
    <row r="369" customFormat="false" ht="15" hidden="false" customHeight="false" outlineLevel="0" collapsed="false">
      <c r="A369" s="21" t="s">
        <v>377</v>
      </c>
      <c r="B369" s="21" t="s">
        <v>558</v>
      </c>
      <c r="C369" s="21" t="s">
        <v>560</v>
      </c>
      <c r="D369" s="37" t="n">
        <v>490</v>
      </c>
      <c r="E369" s="37" t="n">
        <v>491</v>
      </c>
      <c r="F369" s="63" t="n">
        <f aca="false">IF(E369="","",D369-E369)</f>
        <v>-1</v>
      </c>
      <c r="G369" s="37" t="n">
        <v>393</v>
      </c>
      <c r="H369" s="37" t="n">
        <v>402</v>
      </c>
      <c r="I369" s="63" t="n">
        <f aca="false">IF(H369="","",G369-H369)</f>
        <v>-9</v>
      </c>
      <c r="J369" s="52" t="n">
        <f aca="false">IF(OR(D369="",D369+G369=0),"",D369/(D369+G369))</f>
        <v>0.554926387315968</v>
      </c>
      <c r="K369" s="52" t="n">
        <f aca="false">IF(E369="","",E369/(E369+H369))</f>
        <v>0.5498320268757</v>
      </c>
      <c r="L369" s="64" t="n">
        <f aca="false">IF(OR(K369="",J369=""),"",(J369-K369)*100)</f>
        <v>0.509436044026845</v>
      </c>
      <c r="M369" s="21"/>
    </row>
    <row r="370" customFormat="false" ht="15" hidden="false" customHeight="false" outlineLevel="0" collapsed="false">
      <c r="A370" s="21" t="s">
        <v>377</v>
      </c>
      <c r="B370" s="21" t="s">
        <v>558</v>
      </c>
      <c r="C370" s="21" t="s">
        <v>561</v>
      </c>
      <c r="D370" s="37" t="n">
        <v>775</v>
      </c>
      <c r="E370" s="37" t="n">
        <v>758</v>
      </c>
      <c r="F370" s="63" t="n">
        <f aca="false">IF(E370="","",D370-E370)</f>
        <v>17</v>
      </c>
      <c r="G370" s="37" t="n">
        <v>665</v>
      </c>
      <c r="H370" s="37" t="n">
        <v>674</v>
      </c>
      <c r="I370" s="63" t="n">
        <f aca="false">IF(H370="","",G370-H370)</f>
        <v>-9</v>
      </c>
      <c r="J370" s="52" t="n">
        <f aca="false">IF(OR(D370="",D370+G370=0),"",D370/(D370+G370))</f>
        <v>0.538194444444444</v>
      </c>
      <c r="K370" s="52" t="n">
        <f aca="false">IF(E370="","",E370/(E370+H370))</f>
        <v>0.529329608938548</v>
      </c>
      <c r="L370" s="64" t="n">
        <f aca="false">IF(OR(K370="",J370=""),"",(J370-K370)*100)</f>
        <v>0.88648355058969</v>
      </c>
      <c r="M370" s="21"/>
    </row>
    <row r="371" customFormat="false" ht="15" hidden="false" customHeight="false" outlineLevel="0" collapsed="false">
      <c r="A371" s="21" t="s">
        <v>377</v>
      </c>
      <c r="B371" s="21" t="s">
        <v>562</v>
      </c>
      <c r="C371" s="21" t="s">
        <v>562</v>
      </c>
      <c r="D371" s="37" t="n">
        <v>649</v>
      </c>
      <c r="E371" s="37" t="n">
        <v>634</v>
      </c>
      <c r="F371" s="63" t="n">
        <f aca="false">IF(E371="","",D371-E371)</f>
        <v>15</v>
      </c>
      <c r="G371" s="37" t="n">
        <v>877</v>
      </c>
      <c r="H371" s="37" t="n">
        <v>856</v>
      </c>
      <c r="I371" s="63" t="n">
        <f aca="false">IF(H371="","",G371-H371)</f>
        <v>21</v>
      </c>
      <c r="J371" s="52" t="n">
        <f aca="false">IF(OR(D371="",D371+G371=0),"",D371/(D371+G371))</f>
        <v>0.425294888597641</v>
      </c>
      <c r="K371" s="52" t="n">
        <f aca="false">IF(E371="","",E371/(E371+H371))</f>
        <v>0.425503355704698</v>
      </c>
      <c r="L371" s="64" t="n">
        <f aca="false">IF(OR(K371="",J371=""),"",(J371-K371)*100)</f>
        <v>-0.0208467107057075</v>
      </c>
      <c r="M371" s="21"/>
    </row>
    <row r="373" customFormat="false" ht="15" hidden="false" customHeight="false" outlineLevel="0" collapsed="false">
      <c r="A373" s="28" t="s">
        <v>686</v>
      </c>
      <c r="B373" s="65"/>
      <c r="C373" s="65"/>
      <c r="D373" s="66" t="n">
        <f aca="false">SUMIF(E2:E371,"&lt;&gt;",D2:D371)</f>
        <v>183443</v>
      </c>
      <c r="E373" s="66" t="n">
        <f aca="false">SUM(E2:E371)</f>
        <v>183378</v>
      </c>
      <c r="F373" s="67" t="n">
        <f aca="false">D373-E373</f>
        <v>65</v>
      </c>
      <c r="G373" s="66" t="n">
        <f aca="false">SUMIF(H2:H371,"&lt;&gt;",G2:G371)</f>
        <v>190303</v>
      </c>
      <c r="H373" s="66" t="n">
        <f aca="false">SUM(H2:H371)</f>
        <v>189309</v>
      </c>
      <c r="I373" s="67" t="n">
        <f aca="false">G373-H373</f>
        <v>994</v>
      </c>
      <c r="J373" s="68" t="n">
        <f aca="false">D373/(D373+G373)</f>
        <v>0.490822644255724</v>
      </c>
      <c r="K373" s="68" t="n">
        <f aca="false">E373/(E373+H373)</f>
        <v>0.492042920735094</v>
      </c>
      <c r="L373" s="69" t="n">
        <f aca="false">(J373-K373)*100</f>
        <v>-0.122027647936956</v>
      </c>
    </row>
    <row r="374" customFormat="false" ht="15" hidden="false" customHeight="false" outlineLevel="0" collapsed="false">
      <c r="A374" s="28" t="s">
        <v>687</v>
      </c>
      <c r="B374" s="65"/>
      <c r="C374" s="65"/>
      <c r="D374" s="66" t="n">
        <f aca="false">SUM(D2:D371)</f>
        <v>200033</v>
      </c>
      <c r="E374" s="66"/>
      <c r="F374" s="67"/>
      <c r="G374" s="66" t="n">
        <f aca="false">SUM(G2:G371)</f>
        <v>206591</v>
      </c>
      <c r="H374" s="66"/>
      <c r="I374" s="67"/>
      <c r="J374" s="68" t="n">
        <f aca="false">D374/(D374+G374)</f>
        <v>0.491936039190997</v>
      </c>
      <c r="K374" s="68"/>
      <c r="L374" s="69"/>
    </row>
    <row r="376" customFormat="false" ht="15" hidden="false" customHeight="false" outlineLevel="0" collapsed="false">
      <c r="A376" s="2" t="s">
        <v>688</v>
      </c>
      <c r="F376" s="70" t="n">
        <f aca="false">(SUMIF(F2:F371,"&gt;0")-SUMIF(F2:F371,"&lt;0"))/COUNT(F2:F371)</f>
        <v>26.0964912280702</v>
      </c>
    </row>
    <row r="377" customFormat="false" ht="15" hidden="false" customHeight="false" outlineLevel="0" collapsed="false">
      <c r="A377" s="2" t="s">
        <v>689</v>
      </c>
      <c r="F377" s="70" t="n">
        <f aca="false">(SUMIF(I2:I371,"&gt;0")-SUMIF(I2:I371,"&lt;0"))/COUNT(I2:I371)</f>
        <v>25.8011695906433</v>
      </c>
    </row>
    <row r="378" customFormat="false" ht="15" hidden="false" customHeight="false" outlineLevel="0" collapsed="false">
      <c r="A378" s="2" t="s">
        <v>690</v>
      </c>
      <c r="F378" s="71" t="n">
        <f aca="false">(SUMIF(L2:L371,"&gt;0")-SUMIF(L2:L371,"&lt;0"))/COUNT(L2:L371)</f>
        <v>1.56840522684137</v>
      </c>
    </row>
    <row r="379" customFormat="false" ht="15" hidden="false" customHeight="false" outlineLevel="0" collapsed="false">
      <c r="A379" s="5" t="s">
        <v>691</v>
      </c>
      <c r="F379" s="72" t="n">
        <f aca="false">SQRT(SUMSQ(L2:L371)/COUNT(L2:L371))</f>
        <v>2.14685856920301</v>
      </c>
    </row>
    <row r="380" customFormat="false" ht="15" hidden="false" customHeight="false" outlineLevel="0" collapsed="false">
      <c r="A380" s="5" t="s">
        <v>692</v>
      </c>
      <c r="F380" s="73" t="n">
        <f aca="false">L373</f>
        <v>-0.122027647936956</v>
      </c>
    </row>
    <row r="381" customFormat="false" ht="15" hidden="false" customHeight="false" outlineLevel="0" collapsed="false">
      <c r="A381" s="5" t="s">
        <v>693</v>
      </c>
      <c r="F381" s="72" t="n">
        <f aca="false">SQRT((SUMSQ(L2:L371)-2*L373*SUM(L2:L371)+COUNT(L2:L371)*L373^2)/COUNT(L2:L371))</f>
        <v>2.1625811910929</v>
      </c>
    </row>
    <row r="382" customFormat="false" ht="15" hidden="false" customHeight="false" outlineLevel="0" collapsed="false">
      <c r="A382" s="2" t="s">
        <v>694</v>
      </c>
      <c r="F382" s="74" t="n">
        <f aca="false">(D373+G373)/(E373+H373)-1</f>
        <v>0.00284152653567205</v>
      </c>
    </row>
    <row r="383" customFormat="false" ht="15" hidden="false" customHeight="false" outlineLevel="0" collapsed="false">
      <c r="A383" s="2" t="s">
        <v>695</v>
      </c>
      <c r="F383" s="75" t="n">
        <f aca="false">COUNTIFS(L2:L371,"&gt;=-3",L2:L371,"&lt;=3")/COUNT(L2:L371)</f>
        <v>0.853801169590643</v>
      </c>
    </row>
    <row r="384" customFormat="false" ht="15" hidden="false" customHeight="false" outlineLevel="0" collapsed="false">
      <c r="A384" s="2" t="s">
        <v>696</v>
      </c>
      <c r="F384" s="76" t="n">
        <f aca="false">COUNT(E2:E371)</f>
        <v>342</v>
      </c>
    </row>
    <row r="385" customFormat="false" ht="15" hidden="false" customHeight="false" outlineLevel="0" collapsed="false">
      <c r="A385" s="2" t="s">
        <v>697</v>
      </c>
      <c r="F385" s="76" t="n">
        <f aca="false">COUNTA(A2:A371)</f>
        <v>370</v>
      </c>
    </row>
    <row r="387" customFormat="false" ht="15" hidden="false" customHeight="false" outlineLevel="0" collapsed="false">
      <c r="M387" s="5" t="s">
        <v>103</v>
      </c>
    </row>
    <row r="388" customFormat="false" ht="28.35" hidden="false" customHeight="false" outlineLevel="0" collapsed="false">
      <c r="M388" s="62" t="s">
        <v>698</v>
      </c>
    </row>
    <row r="389" customFormat="false" ht="28.35" hidden="false" customHeight="false" outlineLevel="0" collapsed="false">
      <c r="M389" s="62" t="s">
        <v>699</v>
      </c>
    </row>
    <row r="390" customFormat="false" ht="28.35" hidden="false" customHeight="false" outlineLevel="0" collapsed="false">
      <c r="M390" s="62" t="s">
        <v>700</v>
      </c>
    </row>
    <row r="391" customFormat="false" ht="55.2" hidden="false" customHeight="false" outlineLevel="0" collapsed="false">
      <c r="M391" s="62" t="s">
        <v>701</v>
      </c>
    </row>
    <row r="392" customFormat="false" ht="68.65" hidden="false" customHeight="false" outlineLevel="0" collapsed="false">
      <c r="M392" s="62" t="s">
        <v>702</v>
      </c>
    </row>
    <row r="393" customFormat="false" ht="41.75" hidden="false" customHeight="false" outlineLevel="0" collapsed="false">
      <c r="M393" s="62" t="s">
        <v>703</v>
      </c>
    </row>
    <row r="394" customFormat="false" ht="28.35" hidden="false" customHeight="false" outlineLevel="0" collapsed="false">
      <c r="M394" s="62" t="s">
        <v>704</v>
      </c>
    </row>
    <row r="395" customFormat="false" ht="28.35" hidden="false" customHeight="false" outlineLevel="0" collapsed="false">
      <c r="M395" s="62" t="s">
        <v>705</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675</v>
      </c>
      <c r="E1" s="8" t="s">
        <v>676</v>
      </c>
      <c r="F1" s="8" t="s">
        <v>677</v>
      </c>
      <c r="G1" s="8" t="s">
        <v>678</v>
      </c>
      <c r="H1" s="8" t="s">
        <v>679</v>
      </c>
      <c r="I1" s="8" t="s">
        <v>680</v>
      </c>
      <c r="J1" s="8" t="s">
        <v>681</v>
      </c>
      <c r="K1" s="8" t="s">
        <v>682</v>
      </c>
      <c r="L1" s="8" t="s">
        <v>683</v>
      </c>
      <c r="M1" s="8" t="s">
        <v>684</v>
      </c>
    </row>
    <row r="2" customFormat="false" ht="15" hidden="false" customHeight="false" outlineLevel="0" collapsed="false">
      <c r="A2" s="21" t="s">
        <v>120</v>
      </c>
      <c r="B2" s="21" t="s">
        <v>121</v>
      </c>
      <c r="C2" s="21" t="s">
        <v>121</v>
      </c>
      <c r="D2" s="37" t="n">
        <v>168</v>
      </c>
      <c r="E2" s="37" t="n">
        <v>181</v>
      </c>
      <c r="F2" s="63" t="n">
        <f aca="false">IF(E2="","",D2-E2)</f>
        <v>-13</v>
      </c>
      <c r="G2" s="37" t="n">
        <v>270</v>
      </c>
      <c r="H2" s="37" t="n">
        <v>284</v>
      </c>
      <c r="I2" s="63" t="n">
        <f aca="false">IF(H2="","",G2-H2)</f>
        <v>-14</v>
      </c>
      <c r="J2" s="52" t="n">
        <f aca="false">IF(OR(D2="",D2+G2=0),"",D2/(D2+G2))</f>
        <v>0.383561643835616</v>
      </c>
      <c r="K2" s="52" t="n">
        <f aca="false">IF(E2="","",E2/(E2+H2))</f>
        <v>0.389247311827957</v>
      </c>
      <c r="L2" s="64" t="n">
        <f aca="false">IF(OR(K2="",J2=""),"",(J2-K2)*100)</f>
        <v>-0.568566799234055</v>
      </c>
      <c r="M2" s="21"/>
    </row>
    <row r="3" customFormat="false" ht="15" hidden="false" customHeight="false" outlineLevel="0" collapsed="false">
      <c r="A3" s="21" t="s">
        <v>120</v>
      </c>
      <c r="B3" s="21" t="s">
        <v>124</v>
      </c>
      <c r="C3" s="21" t="s">
        <v>124</v>
      </c>
      <c r="D3" s="37" t="n">
        <v>107</v>
      </c>
      <c r="E3" s="37" t="n">
        <v>118</v>
      </c>
      <c r="F3" s="63" t="n">
        <f aca="false">IF(E3="","",D3-E3)</f>
        <v>-11</v>
      </c>
      <c r="G3" s="37" t="n">
        <v>297</v>
      </c>
      <c r="H3" s="37" t="n">
        <v>298</v>
      </c>
      <c r="I3" s="63" t="n">
        <f aca="false">IF(H3="","",G3-H3)</f>
        <v>-1</v>
      </c>
      <c r="J3" s="52" t="n">
        <f aca="false">IF(OR(D3="",D3+G3=0),"",D3/(D3+G3))</f>
        <v>0.264851485148515</v>
      </c>
      <c r="K3" s="52" t="n">
        <f aca="false">IF(E3="","",E3/(E3+H3))</f>
        <v>0.283653846153846</v>
      </c>
      <c r="L3" s="64" t="n">
        <f aca="false">IF(OR(K3="",J3=""),"",(J3-K3)*100)</f>
        <v>-1.88023610053313</v>
      </c>
      <c r="M3" s="21"/>
    </row>
    <row r="4" customFormat="false" ht="15" hidden="false" customHeight="false" outlineLevel="0" collapsed="false">
      <c r="A4" s="21" t="s">
        <v>120</v>
      </c>
      <c r="B4" s="21" t="s">
        <v>125</v>
      </c>
      <c r="C4" s="21" t="s">
        <v>125</v>
      </c>
      <c r="D4" s="37" t="n">
        <v>133</v>
      </c>
      <c r="E4" s="37" t="n">
        <v>143</v>
      </c>
      <c r="F4" s="63" t="n">
        <f aca="false">IF(E4="","",D4-E4)</f>
        <v>-10</v>
      </c>
      <c r="G4" s="37" t="n">
        <v>270</v>
      </c>
      <c r="H4" s="37" t="n">
        <v>309</v>
      </c>
      <c r="I4" s="63" t="n">
        <f aca="false">IF(H4="","",G4-H4)</f>
        <v>-39</v>
      </c>
      <c r="J4" s="52" t="n">
        <f aca="false">IF(OR(D4="",D4+G4=0),"",D4/(D4+G4))</f>
        <v>0.330024813895782</v>
      </c>
      <c r="K4" s="52" t="n">
        <f aca="false">IF(E4="","",E4/(E4+H4))</f>
        <v>0.316371681415929</v>
      </c>
      <c r="L4" s="64" t="n">
        <f aca="false">IF(OR(K4="",J4=""),"",(J4-K4)*100)</f>
        <v>1.36531324798524</v>
      </c>
      <c r="M4" s="21"/>
    </row>
    <row r="5" customFormat="false" ht="15" hidden="false" customHeight="false" outlineLevel="0" collapsed="false">
      <c r="A5" s="21" t="s">
        <v>120</v>
      </c>
      <c r="B5" s="21" t="s">
        <v>126</v>
      </c>
      <c r="C5" s="21" t="s">
        <v>127</v>
      </c>
      <c r="D5" s="37" t="n">
        <v>201</v>
      </c>
      <c r="E5" s="37" t="n">
        <v>202</v>
      </c>
      <c r="F5" s="63" t="n">
        <f aca="false">IF(E5="","",D5-E5)</f>
        <v>-1</v>
      </c>
      <c r="G5" s="37" t="n">
        <v>591</v>
      </c>
      <c r="H5" s="37" t="n">
        <v>640</v>
      </c>
      <c r="I5" s="63" t="n">
        <f aca="false">IF(H5="","",G5-H5)</f>
        <v>-49</v>
      </c>
      <c r="J5" s="52" t="n">
        <f aca="false">IF(OR(D5="",D5+G5=0),"",D5/(D5+G5))</f>
        <v>0.253787878787879</v>
      </c>
      <c r="K5" s="52" t="n">
        <f aca="false">IF(E5="","",E5/(E5+H5))</f>
        <v>0.239904988123515</v>
      </c>
      <c r="L5" s="64" t="n">
        <f aca="false">IF(OR(K5="",J5=""),"",(J5-K5)*100)</f>
        <v>1.38828906643634</v>
      </c>
      <c r="M5" s="21"/>
    </row>
    <row r="6" customFormat="false" ht="15" hidden="false" customHeight="false" outlineLevel="0" collapsed="false">
      <c r="A6" s="21" t="s">
        <v>120</v>
      </c>
      <c r="B6" s="21" t="s">
        <v>126</v>
      </c>
      <c r="C6" s="21" t="s">
        <v>128</v>
      </c>
      <c r="D6" s="37" t="n">
        <v>213</v>
      </c>
      <c r="E6" s="37" t="n">
        <v>232</v>
      </c>
      <c r="F6" s="63" t="n">
        <f aca="false">IF(E6="","",D6-E6)</f>
        <v>-19</v>
      </c>
      <c r="G6" s="37" t="n">
        <v>570</v>
      </c>
      <c r="H6" s="37" t="n">
        <v>603</v>
      </c>
      <c r="I6" s="63" t="n">
        <f aca="false">IF(H6="","",G6-H6)</f>
        <v>-33</v>
      </c>
      <c r="J6" s="52" t="n">
        <f aca="false">IF(OR(D6="",D6+G6=0),"",D6/(D6+G6))</f>
        <v>0.272030651340996</v>
      </c>
      <c r="K6" s="52" t="n">
        <f aca="false">IF(E6="","",E6/(E6+H6))</f>
        <v>0.277844311377246</v>
      </c>
      <c r="L6" s="64" t="n">
        <f aca="false">IF(OR(K6="",J6=""),"",(J6-K6)*100)</f>
        <v>-0.581366003624934</v>
      </c>
      <c r="M6" s="21"/>
    </row>
    <row r="7" customFormat="false" ht="15" hidden="false" customHeight="false" outlineLevel="0" collapsed="false">
      <c r="A7" s="21" t="s">
        <v>120</v>
      </c>
      <c r="B7" s="21" t="s">
        <v>129</v>
      </c>
      <c r="C7" s="21" t="s">
        <v>129</v>
      </c>
      <c r="D7" s="37" t="n">
        <v>41</v>
      </c>
      <c r="E7" s="37" t="n">
        <v>38</v>
      </c>
      <c r="F7" s="63" t="n">
        <f aca="false">IF(E7="","",D7-E7)</f>
        <v>3</v>
      </c>
      <c r="G7" s="37" t="n">
        <v>71</v>
      </c>
      <c r="H7" s="37" t="n">
        <v>78</v>
      </c>
      <c r="I7" s="63" t="n">
        <f aca="false">IF(H7="","",G7-H7)</f>
        <v>-7</v>
      </c>
      <c r="J7" s="52" t="n">
        <f aca="false">IF(OR(D7="",D7+G7=0),"",D7/(D7+G7))</f>
        <v>0.366071428571429</v>
      </c>
      <c r="K7" s="52" t="n">
        <f aca="false">IF(E7="","",E7/(E7+H7))</f>
        <v>0.327586206896552</v>
      </c>
      <c r="L7" s="64" t="n">
        <f aca="false">IF(OR(K7="",J7=""),"",(J7-K7)*100)</f>
        <v>3.84852216748768</v>
      </c>
      <c r="M7" s="21"/>
    </row>
    <row r="8" customFormat="false" ht="15" hidden="false" customHeight="false" outlineLevel="0" collapsed="false">
      <c r="A8" s="21" t="s">
        <v>120</v>
      </c>
      <c r="B8" s="21" t="s">
        <v>130</v>
      </c>
      <c r="C8" s="21" t="s">
        <v>131</v>
      </c>
      <c r="D8" s="37" t="n">
        <v>279</v>
      </c>
      <c r="E8" s="37" t="n">
        <v>301</v>
      </c>
      <c r="F8" s="63" t="n">
        <f aca="false">IF(E8="","",D8-E8)</f>
        <v>-22</v>
      </c>
      <c r="G8" s="37" t="n">
        <v>730</v>
      </c>
      <c r="H8" s="37" t="n">
        <v>760</v>
      </c>
      <c r="I8" s="63" t="n">
        <f aca="false">IF(H8="","",G8-H8)</f>
        <v>-30</v>
      </c>
      <c r="J8" s="52" t="n">
        <f aca="false">IF(OR(D8="",D8+G8=0),"",D8/(D8+G8))</f>
        <v>0.276511397423191</v>
      </c>
      <c r="K8" s="52" t="n">
        <f aca="false">IF(E8="","",E8/(E8+H8))</f>
        <v>0.283694627709708</v>
      </c>
      <c r="L8" s="64" t="n">
        <f aca="false">IF(OR(K8="",J8=""),"",(J8-K8)*100)</f>
        <v>-0.718323028651657</v>
      </c>
      <c r="M8" s="21"/>
    </row>
    <row r="9" customFormat="false" ht="15" hidden="false" customHeight="false" outlineLevel="0" collapsed="false">
      <c r="A9" s="21" t="s">
        <v>120</v>
      </c>
      <c r="B9" s="21" t="s">
        <v>130</v>
      </c>
      <c r="C9" s="21" t="s">
        <v>133</v>
      </c>
      <c r="D9" s="37" t="n">
        <v>160</v>
      </c>
      <c r="E9" s="37" t="n">
        <v>164</v>
      </c>
      <c r="F9" s="63" t="n">
        <f aca="false">IF(E9="","",D9-E9)</f>
        <v>-4</v>
      </c>
      <c r="G9" s="37" t="n">
        <v>428</v>
      </c>
      <c r="H9" s="37" t="n">
        <v>450</v>
      </c>
      <c r="I9" s="63" t="n">
        <f aca="false">IF(H9="","",G9-H9)</f>
        <v>-22</v>
      </c>
      <c r="J9" s="52" t="n">
        <f aca="false">IF(OR(D9="",D9+G9=0),"",D9/(D9+G9))</f>
        <v>0.272108843537415</v>
      </c>
      <c r="K9" s="52" t="n">
        <f aca="false">IF(E9="","",E9/(E9+H9))</f>
        <v>0.267100977198697</v>
      </c>
      <c r="L9" s="64" t="n">
        <f aca="false">IF(OR(K9="",J9=""),"",(J9-K9)*100)</f>
        <v>0.500786633871792</v>
      </c>
      <c r="M9" s="21"/>
    </row>
    <row r="10" customFormat="false" ht="15" hidden="false" customHeight="false" outlineLevel="0" collapsed="false">
      <c r="A10" s="21" t="s">
        <v>120</v>
      </c>
      <c r="B10" s="21" t="s">
        <v>130</v>
      </c>
      <c r="C10" s="21" t="s">
        <v>134</v>
      </c>
      <c r="D10" s="37" t="n">
        <v>211</v>
      </c>
      <c r="E10" s="37" t="n">
        <v>235</v>
      </c>
      <c r="F10" s="63" t="n">
        <f aca="false">IF(E10="","",D10-E10)</f>
        <v>-24</v>
      </c>
      <c r="G10" s="37" t="n">
        <v>627</v>
      </c>
      <c r="H10" s="37" t="n">
        <v>626</v>
      </c>
      <c r="I10" s="63" t="n">
        <f aca="false">IF(H10="","",G10-H10)</f>
        <v>1</v>
      </c>
      <c r="J10" s="52" t="n">
        <f aca="false">IF(OR(D10="",D10+G10=0),"",D10/(D10+G10))</f>
        <v>0.251789976133652</v>
      </c>
      <c r="K10" s="52" t="n">
        <f aca="false">IF(E10="","",E10/(E10+H10))</f>
        <v>0.272938443670151</v>
      </c>
      <c r="L10" s="64" t="n">
        <f aca="false">IF(OR(K10="",J10=""),"",(J10-K10)*100)</f>
        <v>-2.11484675364994</v>
      </c>
      <c r="M10" s="21"/>
    </row>
    <row r="11" customFormat="false" ht="15" hidden="false" customHeight="false" outlineLevel="0" collapsed="false">
      <c r="A11" s="21" t="s">
        <v>120</v>
      </c>
      <c r="B11" s="21" t="s">
        <v>135</v>
      </c>
      <c r="C11" s="21" t="s">
        <v>136</v>
      </c>
      <c r="D11" s="37" t="n">
        <v>226</v>
      </c>
      <c r="E11" s="37" t="n">
        <v>229</v>
      </c>
      <c r="F11" s="63" t="n">
        <f aca="false">IF(E11="","",D11-E11)</f>
        <v>-3</v>
      </c>
      <c r="G11" s="37" t="n">
        <v>269</v>
      </c>
      <c r="H11" s="37" t="n">
        <v>297</v>
      </c>
      <c r="I11" s="63" t="n">
        <f aca="false">IF(H11="","",G11-H11)</f>
        <v>-28</v>
      </c>
      <c r="J11" s="52" t="n">
        <f aca="false">IF(OR(D11="",D11+G11=0),"",D11/(D11+G11))</f>
        <v>0.456565656565657</v>
      </c>
      <c r="K11" s="52" t="n">
        <f aca="false">IF(E11="","",E11/(E11+H11))</f>
        <v>0.435361216730038</v>
      </c>
      <c r="L11" s="64" t="n">
        <f aca="false">IF(OR(K11="",J11=""),"",(J11-K11)*100)</f>
        <v>2.12044398356185</v>
      </c>
      <c r="M11" s="21"/>
    </row>
    <row r="12" customFormat="false" ht="15" hidden="false" customHeight="false" outlineLevel="0" collapsed="false">
      <c r="A12" s="21" t="s">
        <v>120</v>
      </c>
      <c r="B12" s="21" t="s">
        <v>135</v>
      </c>
      <c r="C12" s="21" t="s">
        <v>137</v>
      </c>
      <c r="D12" s="37" t="n">
        <v>165</v>
      </c>
      <c r="E12" s="37" t="n">
        <v>163</v>
      </c>
      <c r="F12" s="63" t="n">
        <f aca="false">IF(E12="","",D12-E12)</f>
        <v>2</v>
      </c>
      <c r="G12" s="37" t="n">
        <v>205</v>
      </c>
      <c r="H12" s="37" t="n">
        <v>226</v>
      </c>
      <c r="I12" s="63" t="n">
        <f aca="false">IF(H12="","",G12-H12)</f>
        <v>-21</v>
      </c>
      <c r="J12" s="52" t="n">
        <f aca="false">IF(OR(D12="",D12+G12=0),"",D12/(D12+G12))</f>
        <v>0.445945945945946</v>
      </c>
      <c r="K12" s="52" t="n">
        <f aca="false">IF(E12="","",E12/(E12+H12))</f>
        <v>0.419023136246787</v>
      </c>
      <c r="L12" s="64" t="n">
        <f aca="false">IF(OR(K12="",J12=""),"",(J12-K12)*100)</f>
        <v>2.69228096991593</v>
      </c>
      <c r="M12" s="21"/>
    </row>
    <row r="13" customFormat="false" ht="15" hidden="false" customHeight="false" outlineLevel="0" collapsed="false">
      <c r="A13" s="21" t="s">
        <v>120</v>
      </c>
      <c r="B13" s="21" t="s">
        <v>135</v>
      </c>
      <c r="C13" s="21" t="s">
        <v>138</v>
      </c>
      <c r="D13" s="37" t="n">
        <v>287</v>
      </c>
      <c r="E13" s="37" t="n">
        <v>286</v>
      </c>
      <c r="F13" s="63" t="n">
        <f aca="false">IF(E13="","",D13-E13)</f>
        <v>1</v>
      </c>
      <c r="G13" s="37" t="n">
        <v>438</v>
      </c>
      <c r="H13" s="37" t="n">
        <v>464</v>
      </c>
      <c r="I13" s="63" t="n">
        <f aca="false">IF(H13="","",G13-H13)</f>
        <v>-26</v>
      </c>
      <c r="J13" s="52" t="n">
        <f aca="false">IF(OR(D13="",D13+G13=0),"",D13/(D13+G13))</f>
        <v>0.395862068965517</v>
      </c>
      <c r="K13" s="52" t="n">
        <f aca="false">IF(E13="","",E13/(E13+H13))</f>
        <v>0.381333333333333</v>
      </c>
      <c r="L13" s="64" t="n">
        <f aca="false">IF(OR(K13="",J13=""),"",(J13-K13)*100)</f>
        <v>1.45287356321839</v>
      </c>
      <c r="M13" s="21"/>
    </row>
    <row r="14" customFormat="false" ht="15" hidden="false" customHeight="false" outlineLevel="0" collapsed="false">
      <c r="A14" s="21" t="s">
        <v>120</v>
      </c>
      <c r="B14" s="21" t="s">
        <v>135</v>
      </c>
      <c r="C14" s="21" t="s">
        <v>139</v>
      </c>
      <c r="D14" s="37" t="n">
        <v>131</v>
      </c>
      <c r="E14" s="37" t="n">
        <v>138</v>
      </c>
      <c r="F14" s="63" t="n">
        <f aca="false">IF(E14="","",D14-E14)</f>
        <v>-7</v>
      </c>
      <c r="G14" s="37" t="n">
        <v>118</v>
      </c>
      <c r="H14" s="37" t="n">
        <v>134</v>
      </c>
      <c r="I14" s="63" t="n">
        <f aca="false">IF(H14="","",G14-H14)</f>
        <v>-16</v>
      </c>
      <c r="J14" s="52" t="n">
        <f aca="false">IF(OR(D14="",D14+G14=0),"",D14/(D14+G14))</f>
        <v>0.526104417670683</v>
      </c>
      <c r="K14" s="52" t="n">
        <f aca="false">IF(E14="","",E14/(E14+H14))</f>
        <v>0.507352941176471</v>
      </c>
      <c r="L14" s="64" t="n">
        <f aca="false">IF(OR(K14="",J14=""),"",(J14-K14)*100)</f>
        <v>1.87514764942122</v>
      </c>
      <c r="M14" s="21"/>
    </row>
    <row r="15" customFormat="false" ht="15" hidden="false" customHeight="false" outlineLevel="0" collapsed="false">
      <c r="A15" s="21" t="s">
        <v>120</v>
      </c>
      <c r="B15" s="21" t="s">
        <v>135</v>
      </c>
      <c r="C15" s="21" t="s">
        <v>140</v>
      </c>
      <c r="D15" s="37" t="n">
        <v>273</v>
      </c>
      <c r="E15" s="37" t="n">
        <v>275</v>
      </c>
      <c r="F15" s="63" t="n">
        <f aca="false">IF(E15="","",D15-E15)</f>
        <v>-2</v>
      </c>
      <c r="G15" s="37" t="n">
        <v>319</v>
      </c>
      <c r="H15" s="37" t="n">
        <v>352</v>
      </c>
      <c r="I15" s="63" t="n">
        <f aca="false">IF(H15="","",G15-H15)</f>
        <v>-33</v>
      </c>
      <c r="J15" s="52" t="n">
        <f aca="false">IF(OR(D15="",D15+G15=0),"",D15/(D15+G15))</f>
        <v>0.461148648648649</v>
      </c>
      <c r="K15" s="52" t="n">
        <f aca="false">IF(E15="","",E15/(E15+H15))</f>
        <v>0.43859649122807</v>
      </c>
      <c r="L15" s="64" t="n">
        <f aca="false">IF(OR(K15="",J15=""),"",(J15-K15)*100)</f>
        <v>2.25521574205785</v>
      </c>
      <c r="M15" s="21"/>
    </row>
    <row r="16" customFormat="false" ht="15" hidden="false" customHeight="false" outlineLevel="0" collapsed="false">
      <c r="A16" s="21" t="s">
        <v>120</v>
      </c>
      <c r="B16" s="21" t="s">
        <v>141</v>
      </c>
      <c r="C16" s="21" t="s">
        <v>142</v>
      </c>
      <c r="D16" s="37" t="n">
        <v>110</v>
      </c>
      <c r="E16" s="37" t="n">
        <v>120</v>
      </c>
      <c r="F16" s="63" t="n">
        <f aca="false">IF(E16="","",D16-E16)</f>
        <v>-10</v>
      </c>
      <c r="G16" s="37" t="n">
        <v>216</v>
      </c>
      <c r="H16" s="37" t="n">
        <v>202</v>
      </c>
      <c r="I16" s="63" t="n">
        <f aca="false">IF(H16="","",G16-H16)</f>
        <v>14</v>
      </c>
      <c r="J16" s="52" t="n">
        <f aca="false">IF(OR(D16="",D16+G16=0),"",D16/(D16+G16))</f>
        <v>0.337423312883436</v>
      </c>
      <c r="K16" s="52" t="n">
        <f aca="false">IF(E16="","",E16/(E16+H16))</f>
        <v>0.372670807453416</v>
      </c>
      <c r="L16" s="64" t="n">
        <f aca="false">IF(OR(K16="",J16=""),"",(J16-K16)*100)</f>
        <v>-3.52474945699806</v>
      </c>
      <c r="M16" s="21"/>
    </row>
    <row r="17" customFormat="false" ht="15" hidden="false" customHeight="false" outlineLevel="0" collapsed="false">
      <c r="A17" s="21" t="s">
        <v>120</v>
      </c>
      <c r="B17" s="21" t="s">
        <v>141</v>
      </c>
      <c r="C17" s="21" t="s">
        <v>143</v>
      </c>
      <c r="D17" s="37" t="n">
        <v>221</v>
      </c>
      <c r="E17" s="37" t="n">
        <v>227</v>
      </c>
      <c r="F17" s="63" t="n">
        <f aca="false">IF(E17="","",D17-E17)</f>
        <v>-6</v>
      </c>
      <c r="G17" s="37" t="n">
        <v>495</v>
      </c>
      <c r="H17" s="37" t="n">
        <v>484</v>
      </c>
      <c r="I17" s="63" t="n">
        <f aca="false">IF(H17="","",G17-H17)</f>
        <v>11</v>
      </c>
      <c r="J17" s="52" t="n">
        <f aca="false">IF(OR(D17="",D17+G17=0),"",D17/(D17+G17))</f>
        <v>0.308659217877095</v>
      </c>
      <c r="K17" s="52" t="n">
        <f aca="false">IF(E17="","",E17/(E17+H17))</f>
        <v>0.319268635724332</v>
      </c>
      <c r="L17" s="64" t="n">
        <f aca="false">IF(OR(K17="",J17=""),"",(J17-K17)*100)</f>
        <v>-1.0609417847237</v>
      </c>
      <c r="M17" s="21"/>
    </row>
    <row r="18" customFormat="false" ht="15" hidden="false" customHeight="false" outlineLevel="0" collapsed="false">
      <c r="A18" s="21" t="s">
        <v>120</v>
      </c>
      <c r="B18" s="21" t="s">
        <v>144</v>
      </c>
      <c r="C18" s="21" t="s">
        <v>145</v>
      </c>
      <c r="D18" s="37" t="n">
        <v>272</v>
      </c>
      <c r="E18" s="37" t="n">
        <v>249</v>
      </c>
      <c r="F18" s="63" t="n">
        <f aca="false">IF(E18="","",D18-E18)</f>
        <v>23</v>
      </c>
      <c r="G18" s="37" t="n">
        <v>381</v>
      </c>
      <c r="H18" s="37" t="n">
        <v>392</v>
      </c>
      <c r="I18" s="63" t="n">
        <f aca="false">IF(H18="","",G18-H18)</f>
        <v>-11</v>
      </c>
      <c r="J18" s="52" t="n">
        <f aca="false">IF(OR(D18="",D18+G18=0),"",D18/(D18+G18))</f>
        <v>0.416539050535988</v>
      </c>
      <c r="K18" s="52" t="n">
        <f aca="false">IF(E18="","",E18/(E18+H18))</f>
        <v>0.388455538221529</v>
      </c>
      <c r="L18" s="64" t="n">
        <f aca="false">IF(OR(K18="",J18=""),"",(J18-K18)*100)</f>
        <v>2.80835123144589</v>
      </c>
      <c r="M18" s="21"/>
    </row>
    <row r="19" customFormat="false" ht="15" hidden="false" customHeight="false" outlineLevel="0" collapsed="false">
      <c r="A19" s="21" t="s">
        <v>120</v>
      </c>
      <c r="B19" s="21" t="s">
        <v>144</v>
      </c>
      <c r="C19" s="21" t="s">
        <v>146</v>
      </c>
      <c r="D19" s="37" t="n">
        <v>171</v>
      </c>
      <c r="E19" s="37" t="n">
        <v>152</v>
      </c>
      <c r="F19" s="63" t="n">
        <f aca="false">IF(E19="","",D19-E19)</f>
        <v>19</v>
      </c>
      <c r="G19" s="37" t="n">
        <v>238</v>
      </c>
      <c r="H19" s="37" t="n">
        <v>246</v>
      </c>
      <c r="I19" s="63" t="n">
        <f aca="false">IF(H19="","",G19-H19)</f>
        <v>-8</v>
      </c>
      <c r="J19" s="52" t="n">
        <f aca="false">IF(OR(D19="",D19+G19=0),"",D19/(D19+G19))</f>
        <v>0.418092909535452</v>
      </c>
      <c r="K19" s="52" t="n">
        <f aca="false">IF(E19="","",E19/(E19+H19))</f>
        <v>0.381909547738693</v>
      </c>
      <c r="L19" s="64" t="n">
        <f aca="false">IF(OR(K19="",J19=""),"",(J19-K19)*100)</f>
        <v>3.61833617967589</v>
      </c>
      <c r="M19" s="21"/>
    </row>
    <row r="20" customFormat="false" ht="15" hidden="false" customHeight="false" outlineLevel="0" collapsed="false">
      <c r="A20" s="21" t="s">
        <v>120</v>
      </c>
      <c r="B20" s="21" t="s">
        <v>144</v>
      </c>
      <c r="C20" s="21" t="s">
        <v>147</v>
      </c>
      <c r="D20" s="37" t="n">
        <v>157</v>
      </c>
      <c r="E20" s="37" t="n">
        <v>165</v>
      </c>
      <c r="F20" s="63" t="n">
        <f aca="false">IF(E20="","",D20-E20)</f>
        <v>-8</v>
      </c>
      <c r="G20" s="37" t="n">
        <v>190</v>
      </c>
      <c r="H20" s="37" t="n">
        <v>237</v>
      </c>
      <c r="I20" s="63" t="n">
        <f aca="false">IF(H20="","",G20-H20)</f>
        <v>-47</v>
      </c>
      <c r="J20" s="52" t="n">
        <f aca="false">IF(OR(D20="",D20+G20=0),"",D20/(D20+G20))</f>
        <v>0.452449567723343</v>
      </c>
      <c r="K20" s="52" t="n">
        <f aca="false">IF(E20="","",E20/(E20+H20))</f>
        <v>0.41044776119403</v>
      </c>
      <c r="L20" s="64" t="n">
        <f aca="false">IF(OR(K20="",J20=""),"",(J20-K20)*100)</f>
        <v>4.20018065293131</v>
      </c>
      <c r="M20" s="21"/>
    </row>
    <row r="21" customFormat="false" ht="15" hidden="false" customHeight="false" outlineLevel="0" collapsed="false">
      <c r="A21" s="21" t="s">
        <v>120</v>
      </c>
      <c r="B21" s="21" t="s">
        <v>148</v>
      </c>
      <c r="C21" s="21" t="s">
        <v>148</v>
      </c>
      <c r="D21" s="37" t="n">
        <v>41</v>
      </c>
      <c r="E21" s="37" t="n">
        <v>38</v>
      </c>
      <c r="F21" s="63" t="n">
        <f aca="false">IF(E21="","",D21-E21)</f>
        <v>3</v>
      </c>
      <c r="G21" s="37" t="n">
        <v>98</v>
      </c>
      <c r="H21" s="37" t="n">
        <v>106</v>
      </c>
      <c r="I21" s="63" t="n">
        <f aca="false">IF(H21="","",G21-H21)</f>
        <v>-8</v>
      </c>
      <c r="J21" s="52" t="n">
        <f aca="false">IF(OR(D21="",D21+G21=0),"",D21/(D21+G21))</f>
        <v>0.294964028776978</v>
      </c>
      <c r="K21" s="52" t="n">
        <f aca="false">IF(E21="","",E21/(E21+H21))</f>
        <v>0.263888888888889</v>
      </c>
      <c r="L21" s="64" t="n">
        <f aca="false">IF(OR(K21="",J21=""),"",(J21-K21)*100)</f>
        <v>3.10751398880895</v>
      </c>
      <c r="M21" s="21"/>
    </row>
    <row r="22" customFormat="false" ht="15" hidden="false" customHeight="false" outlineLevel="0" collapsed="false">
      <c r="A22" s="21" t="s">
        <v>120</v>
      </c>
      <c r="B22" s="21" t="s">
        <v>149</v>
      </c>
      <c r="C22" s="21" t="s">
        <v>149</v>
      </c>
      <c r="D22" s="37" t="n">
        <v>58</v>
      </c>
      <c r="E22" s="37" t="n">
        <v>58</v>
      </c>
      <c r="F22" s="63" t="n">
        <f aca="false">IF(E22="","",D22-E22)</f>
        <v>0</v>
      </c>
      <c r="G22" s="37" t="n">
        <v>206</v>
      </c>
      <c r="H22" s="37" t="n">
        <v>214</v>
      </c>
      <c r="I22" s="63" t="n">
        <f aca="false">IF(H22="","",G22-H22)</f>
        <v>-8</v>
      </c>
      <c r="J22" s="52" t="n">
        <f aca="false">IF(OR(D22="",D22+G22=0),"",D22/(D22+G22))</f>
        <v>0.21969696969697</v>
      </c>
      <c r="K22" s="52" t="n">
        <f aca="false">IF(E22="","",E22/(E22+H22))</f>
        <v>0.213235294117647</v>
      </c>
      <c r="L22" s="64" t="n">
        <f aca="false">IF(OR(K22="",J22=""),"",(J22-K22)*100)</f>
        <v>0.646167557932265</v>
      </c>
      <c r="M22" s="21"/>
    </row>
    <row r="23" customFormat="false" ht="15" hidden="false" customHeight="false" outlineLevel="0" collapsed="false">
      <c r="A23" s="21" t="s">
        <v>120</v>
      </c>
      <c r="B23" s="21" t="s">
        <v>150</v>
      </c>
      <c r="C23" s="21" t="s">
        <v>151</v>
      </c>
      <c r="D23" s="37" t="n">
        <v>304</v>
      </c>
      <c r="E23" s="37" t="n">
        <v>321</v>
      </c>
      <c r="F23" s="63" t="n">
        <f aca="false">IF(E23="","",D23-E23)</f>
        <v>-17</v>
      </c>
      <c r="G23" s="37" t="n">
        <v>481</v>
      </c>
      <c r="H23" s="37" t="n">
        <v>498</v>
      </c>
      <c r="I23" s="63" t="n">
        <f aca="false">IF(H23="","",G23-H23)</f>
        <v>-17</v>
      </c>
      <c r="J23" s="52" t="n">
        <f aca="false">IF(OR(D23="",D23+G23=0),"",D23/(D23+G23))</f>
        <v>0.387261146496815</v>
      </c>
      <c r="K23" s="52" t="n">
        <f aca="false">IF(E23="","",E23/(E23+H23))</f>
        <v>0.391941391941392</v>
      </c>
      <c r="L23" s="64" t="n">
        <f aca="false">IF(OR(K23="",J23=""),"",(J23-K23)*100)</f>
        <v>-0.468024544457663</v>
      </c>
      <c r="M23" s="21"/>
    </row>
    <row r="24" customFormat="false" ht="15" hidden="false" customHeight="false" outlineLevel="0" collapsed="false">
      <c r="A24" s="21" t="s">
        <v>120</v>
      </c>
      <c r="B24" s="21" t="s">
        <v>150</v>
      </c>
      <c r="C24" s="21" t="s">
        <v>152</v>
      </c>
      <c r="D24" s="37" t="n">
        <v>286</v>
      </c>
      <c r="E24" s="37" t="n">
        <v>288</v>
      </c>
      <c r="F24" s="63" t="n">
        <f aca="false">IF(E24="","",D24-E24)</f>
        <v>-2</v>
      </c>
      <c r="G24" s="37" t="n">
        <v>418</v>
      </c>
      <c r="H24" s="37" t="n">
        <v>448</v>
      </c>
      <c r="I24" s="63" t="n">
        <f aca="false">IF(H24="","",G24-H24)</f>
        <v>-30</v>
      </c>
      <c r="J24" s="52" t="n">
        <f aca="false">IF(OR(D24="",D24+G24=0),"",D24/(D24+G24))</f>
        <v>0.40625</v>
      </c>
      <c r="K24" s="52" t="n">
        <f aca="false">IF(E24="","",E24/(E24+H24))</f>
        <v>0.391304347826087</v>
      </c>
      <c r="L24" s="64" t="n">
        <f aca="false">IF(OR(K24="",J24=""),"",(J24-K24)*100)</f>
        <v>1.4945652173913</v>
      </c>
      <c r="M24" s="21"/>
    </row>
    <row r="25" customFormat="false" ht="15" hidden="false" customHeight="false" outlineLevel="0" collapsed="false">
      <c r="A25" s="21" t="s">
        <v>120</v>
      </c>
      <c r="B25" s="21" t="s">
        <v>150</v>
      </c>
      <c r="C25" s="21" t="s">
        <v>153</v>
      </c>
      <c r="D25" s="37" t="n">
        <v>310</v>
      </c>
      <c r="E25" s="37" t="n">
        <v>317</v>
      </c>
      <c r="F25" s="63" t="n">
        <f aca="false">IF(E25="","",D25-E25)</f>
        <v>-7</v>
      </c>
      <c r="G25" s="37" t="n">
        <v>465</v>
      </c>
      <c r="H25" s="37" t="n">
        <v>527</v>
      </c>
      <c r="I25" s="63" t="n">
        <f aca="false">IF(H25="","",G25-H25)</f>
        <v>-62</v>
      </c>
      <c r="J25" s="52" t="n">
        <f aca="false">IF(OR(D25="",D25+G25=0),"",D25/(D25+G25))</f>
        <v>0.4</v>
      </c>
      <c r="K25" s="52" t="n">
        <f aca="false">IF(E25="","",E25/(E25+H25))</f>
        <v>0.375592417061611</v>
      </c>
      <c r="L25" s="64" t="n">
        <f aca="false">IF(OR(K25="",J25=""),"",(J25-K25)*100)</f>
        <v>2.44075829383886</v>
      </c>
      <c r="M25" s="21"/>
    </row>
    <row r="26" customFormat="false" ht="15" hidden="false" customHeight="false" outlineLevel="0" collapsed="false">
      <c r="A26" s="21" t="s">
        <v>120</v>
      </c>
      <c r="B26" s="21" t="s">
        <v>154</v>
      </c>
      <c r="C26" s="21" t="s">
        <v>155</v>
      </c>
      <c r="D26" s="37" t="n">
        <v>310</v>
      </c>
      <c r="E26" s="37" t="n">
        <v>285</v>
      </c>
      <c r="F26" s="63" t="n">
        <f aca="false">IF(E26="","",D26-E26)</f>
        <v>25</v>
      </c>
      <c r="G26" s="37" t="n">
        <v>695</v>
      </c>
      <c r="H26" s="37" t="n">
        <v>760</v>
      </c>
      <c r="I26" s="63" t="n">
        <f aca="false">IF(H26="","",G26-H26)</f>
        <v>-65</v>
      </c>
      <c r="J26" s="52" t="n">
        <f aca="false">IF(OR(D26="",D26+G26=0),"",D26/(D26+G26))</f>
        <v>0.308457711442786</v>
      </c>
      <c r="K26" s="52" t="n">
        <f aca="false">IF(E26="","",E26/(E26+H26))</f>
        <v>0.272727272727273</v>
      </c>
      <c r="L26" s="64" t="n">
        <f aca="false">IF(OR(K26="",J26=""),"",(J26-K26)*100)</f>
        <v>3.57304387155133</v>
      </c>
      <c r="M26" s="21"/>
    </row>
    <row r="27" customFormat="false" ht="15" hidden="false" customHeight="false" outlineLevel="0" collapsed="false">
      <c r="A27" s="21" t="s">
        <v>120</v>
      </c>
      <c r="B27" s="21" t="s">
        <v>154</v>
      </c>
      <c r="C27" s="21" t="s">
        <v>156</v>
      </c>
      <c r="D27" s="37" t="n">
        <v>212</v>
      </c>
      <c r="E27" s="37" t="n">
        <v>228</v>
      </c>
      <c r="F27" s="63" t="n">
        <f aca="false">IF(E27="","",D27-E27)</f>
        <v>-16</v>
      </c>
      <c r="G27" s="37" t="n">
        <v>463</v>
      </c>
      <c r="H27" s="37" t="n">
        <v>522</v>
      </c>
      <c r="I27" s="63" t="n">
        <f aca="false">IF(H27="","",G27-H27)</f>
        <v>-59</v>
      </c>
      <c r="J27" s="52" t="n">
        <f aca="false">IF(OR(D27="",D27+G27=0),"",D27/(D27+G27))</f>
        <v>0.314074074074074</v>
      </c>
      <c r="K27" s="52" t="n">
        <f aca="false">IF(E27="","",E27/(E27+H27))</f>
        <v>0.304</v>
      </c>
      <c r="L27" s="64" t="n">
        <f aca="false">IF(OR(K27="",J27=""),"",(J27-K27)*100)</f>
        <v>1.00740740740741</v>
      </c>
      <c r="M27" s="21"/>
    </row>
    <row r="28" customFormat="false" ht="15" hidden="false" customHeight="false" outlineLevel="0" collapsed="false">
      <c r="A28" s="21" t="s">
        <v>120</v>
      </c>
      <c r="B28" s="21" t="s">
        <v>157</v>
      </c>
      <c r="C28" s="21" t="s">
        <v>158</v>
      </c>
      <c r="D28" s="37" t="n">
        <v>124</v>
      </c>
      <c r="E28" s="37" t="n">
        <v>135</v>
      </c>
      <c r="F28" s="63" t="n">
        <f aca="false">IF(E28="","",D28-E28)</f>
        <v>-11</v>
      </c>
      <c r="G28" s="37" t="n">
        <v>393</v>
      </c>
      <c r="H28" s="37" t="n">
        <v>395</v>
      </c>
      <c r="I28" s="63" t="n">
        <f aca="false">IF(H28="","",G28-H28)</f>
        <v>-2</v>
      </c>
      <c r="J28" s="52" t="n">
        <f aca="false">IF(OR(D28="",D28+G28=0),"",D28/(D28+G28))</f>
        <v>0.239845261121857</v>
      </c>
      <c r="K28" s="52" t="n">
        <f aca="false">IF(E28="","",E28/(E28+H28))</f>
        <v>0.254716981132075</v>
      </c>
      <c r="L28" s="64" t="n">
        <f aca="false">IF(OR(K28="",J28=""),"",(J28-K28)*100)</f>
        <v>-1.48717200102186</v>
      </c>
      <c r="M28" s="21"/>
    </row>
    <row r="29" customFormat="false" ht="15" hidden="false" customHeight="false" outlineLevel="0" collapsed="false">
      <c r="A29" s="21" t="s">
        <v>120</v>
      </c>
      <c r="B29" s="21" t="s">
        <v>157</v>
      </c>
      <c r="C29" s="21" t="s">
        <v>159</v>
      </c>
      <c r="D29" s="37" t="n">
        <v>115</v>
      </c>
      <c r="E29" s="37" t="n">
        <v>124</v>
      </c>
      <c r="F29" s="63" t="n">
        <f aca="false">IF(E29="","",D29-E29)</f>
        <v>-9</v>
      </c>
      <c r="G29" s="37" t="n">
        <v>280</v>
      </c>
      <c r="H29" s="37" t="n">
        <v>298</v>
      </c>
      <c r="I29" s="63" t="n">
        <f aca="false">IF(H29="","",G29-H29)</f>
        <v>-18</v>
      </c>
      <c r="J29" s="52" t="n">
        <f aca="false">IF(OR(D29="",D29+G29=0),"",D29/(D29+G29))</f>
        <v>0.291139240506329</v>
      </c>
      <c r="K29" s="52" t="n">
        <f aca="false">IF(E29="","",E29/(E29+H29))</f>
        <v>0.293838862559242</v>
      </c>
      <c r="L29" s="64" t="n">
        <f aca="false">IF(OR(K29="",J29=""),"",(J29-K29)*100)</f>
        <v>-0.269962205291258</v>
      </c>
      <c r="M29" s="21"/>
    </row>
    <row r="30" customFormat="false" ht="15" hidden="false" customHeight="false" outlineLevel="0" collapsed="false">
      <c r="A30" s="21" t="s">
        <v>120</v>
      </c>
      <c r="B30" s="21" t="s">
        <v>157</v>
      </c>
      <c r="C30" s="21" t="s">
        <v>160</v>
      </c>
      <c r="D30" s="37" t="n">
        <v>366</v>
      </c>
      <c r="E30" s="37" t="n">
        <v>424</v>
      </c>
      <c r="F30" s="63" t="n">
        <f aca="false">IF(E30="","",D30-E30)</f>
        <v>-58</v>
      </c>
      <c r="G30" s="37" t="n">
        <v>911</v>
      </c>
      <c r="H30" s="37" t="n">
        <v>988</v>
      </c>
      <c r="I30" s="63" t="n">
        <f aca="false">IF(H30="","",G30-H30)</f>
        <v>-77</v>
      </c>
      <c r="J30" s="52" t="n">
        <f aca="false">IF(OR(D30="",D30+G30=0),"",D30/(D30+G30))</f>
        <v>0.286609240407204</v>
      </c>
      <c r="K30" s="52" t="n">
        <f aca="false">IF(E30="","",E30/(E30+H30))</f>
        <v>0.30028328611898</v>
      </c>
      <c r="L30" s="64" t="n">
        <f aca="false">IF(OR(K30="",J30=""),"",(J30-K30)*100)</f>
        <v>-1.36740457117758</v>
      </c>
      <c r="M30" s="21"/>
    </row>
    <row r="31" customFormat="false" ht="15" hidden="false" customHeight="false" outlineLevel="0" collapsed="false">
      <c r="A31" s="21" t="s">
        <v>120</v>
      </c>
      <c r="B31" s="21" t="s">
        <v>161</v>
      </c>
      <c r="C31" s="21" t="s">
        <v>162</v>
      </c>
      <c r="D31" s="37" t="n">
        <v>293</v>
      </c>
      <c r="E31" s="37" t="n">
        <v>279</v>
      </c>
      <c r="F31" s="63" t="n">
        <f aca="false">IF(E31="","",D31-E31)</f>
        <v>14</v>
      </c>
      <c r="G31" s="37" t="n">
        <v>411</v>
      </c>
      <c r="H31" s="37" t="n">
        <v>445</v>
      </c>
      <c r="I31" s="63" t="n">
        <f aca="false">IF(H31="","",G31-H31)</f>
        <v>-34</v>
      </c>
      <c r="J31" s="52" t="n">
        <f aca="false">IF(OR(D31="",D31+G31=0),"",D31/(D31+G31))</f>
        <v>0.416193181818182</v>
      </c>
      <c r="K31" s="52" t="n">
        <f aca="false">IF(E31="","",E31/(E31+H31))</f>
        <v>0.385359116022099</v>
      </c>
      <c r="L31" s="64" t="n">
        <f aca="false">IF(OR(K31="",J31=""),"",(J31-K31)*100)</f>
        <v>3.08340657960824</v>
      </c>
      <c r="M31" s="21"/>
    </row>
    <row r="32" customFormat="false" ht="15" hidden="false" customHeight="false" outlineLevel="0" collapsed="false">
      <c r="A32" s="21" t="s">
        <v>120</v>
      </c>
      <c r="B32" s="21" t="s">
        <v>161</v>
      </c>
      <c r="C32" s="21" t="s">
        <v>163</v>
      </c>
      <c r="D32" s="37" t="n">
        <v>289</v>
      </c>
      <c r="E32" s="37" t="n">
        <v>309</v>
      </c>
      <c r="F32" s="63" t="n">
        <f aca="false">IF(E32="","",D32-E32)</f>
        <v>-20</v>
      </c>
      <c r="G32" s="37" t="n">
        <v>464</v>
      </c>
      <c r="H32" s="37" t="n">
        <v>488</v>
      </c>
      <c r="I32" s="63" t="n">
        <f aca="false">IF(H32="","",G32-H32)</f>
        <v>-24</v>
      </c>
      <c r="J32" s="52" t="n">
        <f aca="false">IF(OR(D32="",D32+G32=0),"",D32/(D32+G32))</f>
        <v>0.383798140770252</v>
      </c>
      <c r="K32" s="52" t="n">
        <f aca="false">IF(E32="","",E32/(E32+H32))</f>
        <v>0.387703889585947</v>
      </c>
      <c r="L32" s="64" t="n">
        <f aca="false">IF(OR(K32="",J32=""),"",(J32-K32)*100)</f>
        <v>-0.3905748815695</v>
      </c>
      <c r="M32" s="21"/>
    </row>
    <row r="33" customFormat="false" ht="15" hidden="false" customHeight="false" outlineLevel="0" collapsed="false">
      <c r="A33" s="21" t="s">
        <v>120</v>
      </c>
      <c r="B33" s="21" t="s">
        <v>164</v>
      </c>
      <c r="C33" s="21" t="s">
        <v>164</v>
      </c>
      <c r="D33" s="37" t="n">
        <v>131</v>
      </c>
      <c r="E33" s="37" t="n">
        <v>134</v>
      </c>
      <c r="F33" s="63" t="n">
        <f aca="false">IF(E33="","",D33-E33)</f>
        <v>-3</v>
      </c>
      <c r="G33" s="37" t="n">
        <v>464</v>
      </c>
      <c r="H33" s="37" t="n">
        <v>503</v>
      </c>
      <c r="I33" s="63" t="n">
        <f aca="false">IF(H33="","",G33-H33)</f>
        <v>-39</v>
      </c>
      <c r="J33" s="52" t="n">
        <f aca="false">IF(OR(D33="",D33+G33=0),"",D33/(D33+G33))</f>
        <v>0.220168067226891</v>
      </c>
      <c r="K33" s="52" t="n">
        <f aca="false">IF(E33="","",E33/(E33+H33))</f>
        <v>0.210361067503925</v>
      </c>
      <c r="L33" s="64" t="n">
        <f aca="false">IF(OR(K33="",J33=""),"",(J33-K33)*100)</f>
        <v>0.980699972296611</v>
      </c>
      <c r="M33" s="21"/>
    </row>
    <row r="34" customFormat="false" ht="15" hidden="false" customHeight="false" outlineLevel="0" collapsed="false">
      <c r="A34" s="21" t="s">
        <v>120</v>
      </c>
      <c r="B34" s="21" t="s">
        <v>165</v>
      </c>
      <c r="C34" s="21" t="s">
        <v>166</v>
      </c>
      <c r="D34" s="37" t="n">
        <v>303</v>
      </c>
      <c r="E34" s="37" t="n">
        <v>281</v>
      </c>
      <c r="F34" s="63" t="n">
        <f aca="false">IF(E34="","",D34-E34)</f>
        <v>22</v>
      </c>
      <c r="G34" s="37" t="n">
        <v>566</v>
      </c>
      <c r="H34" s="37" t="n">
        <v>592</v>
      </c>
      <c r="I34" s="63" t="n">
        <f aca="false">IF(H34="","",G34-H34)</f>
        <v>-26</v>
      </c>
      <c r="J34" s="52" t="n">
        <f aca="false">IF(OR(D34="",D34+G34=0),"",D34/(D34+G34))</f>
        <v>0.34867663981588</v>
      </c>
      <c r="K34" s="52" t="n">
        <f aca="false">IF(E34="","",E34/(E34+H34))</f>
        <v>0.321878579610538</v>
      </c>
      <c r="L34" s="64" t="n">
        <f aca="false">IF(OR(K34="",J34=""),"",(J34-K34)*100)</f>
        <v>2.67980602053419</v>
      </c>
      <c r="M34" s="21"/>
    </row>
    <row r="35" customFormat="false" ht="15" hidden="false" customHeight="false" outlineLevel="0" collapsed="false">
      <c r="A35" s="21" t="s">
        <v>120</v>
      </c>
      <c r="B35" s="21" t="s">
        <v>165</v>
      </c>
      <c r="C35" s="21" t="s">
        <v>167</v>
      </c>
      <c r="D35" s="37" t="n">
        <v>502</v>
      </c>
      <c r="E35" s="37" t="n">
        <v>467</v>
      </c>
      <c r="F35" s="63" t="n">
        <f aca="false">IF(E35="","",D35-E35)</f>
        <v>35</v>
      </c>
      <c r="G35" s="37" t="n">
        <v>774</v>
      </c>
      <c r="H35" s="37" t="n">
        <v>782</v>
      </c>
      <c r="I35" s="63" t="n">
        <f aca="false">IF(H35="","",G35-H35)</f>
        <v>-8</v>
      </c>
      <c r="J35" s="52" t="n">
        <f aca="false">IF(OR(D35="",D35+G35=0),"",D35/(D35+G35))</f>
        <v>0.393416927899687</v>
      </c>
      <c r="K35" s="52" t="n">
        <f aca="false">IF(E35="","",E35/(E35+H35))</f>
        <v>0.373899119295436</v>
      </c>
      <c r="L35" s="64" t="n">
        <f aca="false">IF(OR(K35="",J35=""),"",(J35-K35)*100)</f>
        <v>1.95178086042502</v>
      </c>
      <c r="M35" s="21"/>
    </row>
    <row r="36" customFormat="false" ht="15" hidden="false" customHeight="false" outlineLevel="0" collapsed="false">
      <c r="A36" s="21" t="s">
        <v>120</v>
      </c>
      <c r="B36" s="21" t="s">
        <v>165</v>
      </c>
      <c r="C36" s="21" t="s">
        <v>168</v>
      </c>
      <c r="D36" s="37" t="n">
        <v>151</v>
      </c>
      <c r="E36" s="37" t="n">
        <v>136</v>
      </c>
      <c r="F36" s="63" t="n">
        <f aca="false">IF(E36="","",D36-E36)</f>
        <v>15</v>
      </c>
      <c r="G36" s="37" t="n">
        <v>264</v>
      </c>
      <c r="H36" s="37" t="n">
        <v>278</v>
      </c>
      <c r="I36" s="63" t="n">
        <f aca="false">IF(H36="","",G36-H36)</f>
        <v>-14</v>
      </c>
      <c r="J36" s="52" t="n">
        <f aca="false">IF(OR(D36="",D36+G36=0),"",D36/(D36+G36))</f>
        <v>0.363855421686747</v>
      </c>
      <c r="K36" s="52" t="n">
        <f aca="false">IF(E36="","",E36/(E36+H36))</f>
        <v>0.328502415458937</v>
      </c>
      <c r="L36" s="64" t="n">
        <f aca="false">IF(OR(K36="",J36=""),"",(J36-K36)*100)</f>
        <v>3.53530062278098</v>
      </c>
      <c r="M36" s="21"/>
    </row>
    <row r="37" customFormat="false" ht="15" hidden="false" customHeight="false" outlineLevel="0" collapsed="false">
      <c r="A37" s="21" t="s">
        <v>120</v>
      </c>
      <c r="B37" s="21" t="s">
        <v>169</v>
      </c>
      <c r="C37" s="21" t="s">
        <v>169</v>
      </c>
      <c r="D37" s="37" t="n">
        <v>59</v>
      </c>
      <c r="E37" s="37" t="n">
        <v>68</v>
      </c>
      <c r="F37" s="63" t="n">
        <f aca="false">IF(E37="","",D37-E37)</f>
        <v>-9</v>
      </c>
      <c r="G37" s="37" t="n">
        <v>156</v>
      </c>
      <c r="H37" s="37" t="n">
        <v>153</v>
      </c>
      <c r="I37" s="63" t="n">
        <f aca="false">IF(H37="","",G37-H37)</f>
        <v>3</v>
      </c>
      <c r="J37" s="52" t="n">
        <f aca="false">IF(OR(D37="",D37+G37=0),"",D37/(D37+G37))</f>
        <v>0.274418604651163</v>
      </c>
      <c r="K37" s="52" t="n">
        <f aca="false">IF(E37="","",E37/(E37+H37))</f>
        <v>0.307692307692308</v>
      </c>
      <c r="L37" s="64" t="n">
        <f aca="false">IF(OR(K37="",J37=""),"",(J37-K37)*100)</f>
        <v>-3.32737030411449</v>
      </c>
      <c r="M37" s="21"/>
    </row>
    <row r="38" customFormat="false" ht="15" hidden="false" customHeight="false" outlineLevel="0" collapsed="false">
      <c r="A38" s="21" t="s">
        <v>120</v>
      </c>
      <c r="B38" s="21" t="s">
        <v>170</v>
      </c>
      <c r="C38" s="21" t="s">
        <v>171</v>
      </c>
      <c r="D38" s="37" t="n">
        <v>391</v>
      </c>
      <c r="E38" s="37" t="n">
        <v>432</v>
      </c>
      <c r="F38" s="63" t="n">
        <f aca="false">IF(E38="","",D38-E38)</f>
        <v>-41</v>
      </c>
      <c r="G38" s="37" t="n">
        <v>645</v>
      </c>
      <c r="H38" s="37" t="n">
        <v>705</v>
      </c>
      <c r="I38" s="63" t="n">
        <f aca="false">IF(H38="","",G38-H38)</f>
        <v>-60</v>
      </c>
      <c r="J38" s="52" t="n">
        <f aca="false">IF(OR(D38="",D38+G38=0),"",D38/(D38+G38))</f>
        <v>0.377413127413127</v>
      </c>
      <c r="K38" s="52" t="n">
        <f aca="false">IF(E38="","",E38/(E38+H38))</f>
        <v>0.379947229551451</v>
      </c>
      <c r="L38" s="64" t="n">
        <f aca="false">IF(OR(K38="",J38=""),"",(J38-K38)*100)</f>
        <v>-0.253410213832372</v>
      </c>
      <c r="M38" s="21"/>
    </row>
    <row r="39" customFormat="false" ht="15" hidden="false" customHeight="false" outlineLevel="0" collapsed="false">
      <c r="A39" s="21" t="s">
        <v>120</v>
      </c>
      <c r="B39" s="21" t="s">
        <v>170</v>
      </c>
      <c r="C39" s="21" t="s">
        <v>172</v>
      </c>
      <c r="D39" s="37" t="n">
        <v>293</v>
      </c>
      <c r="E39" s="37" t="n">
        <v>296</v>
      </c>
      <c r="F39" s="63" t="n">
        <f aca="false">IF(E39="","",D39-E39)</f>
        <v>-3</v>
      </c>
      <c r="G39" s="37" t="n">
        <v>512</v>
      </c>
      <c r="H39" s="37" t="n">
        <v>529</v>
      </c>
      <c r="I39" s="63" t="n">
        <f aca="false">IF(H39="","",G39-H39)</f>
        <v>-17</v>
      </c>
      <c r="J39" s="52" t="n">
        <f aca="false">IF(OR(D39="",D39+G39=0),"",D39/(D39+G39))</f>
        <v>0.363975155279503</v>
      </c>
      <c r="K39" s="52" t="n">
        <f aca="false">IF(E39="","",E39/(E39+H39))</f>
        <v>0.358787878787879</v>
      </c>
      <c r="L39" s="64" t="n">
        <f aca="false">IF(OR(K39="",J39=""),"",(J39-K39)*100)</f>
        <v>0.518727649162432</v>
      </c>
      <c r="M39" s="21"/>
    </row>
    <row r="40" customFormat="false" ht="15" hidden="false" customHeight="false" outlineLevel="0" collapsed="false">
      <c r="A40" s="21" t="s">
        <v>120</v>
      </c>
      <c r="B40" s="21" t="s">
        <v>170</v>
      </c>
      <c r="C40" s="21" t="s">
        <v>173</v>
      </c>
      <c r="D40" s="37" t="n">
        <v>432</v>
      </c>
      <c r="E40" s="37" t="n">
        <v>460</v>
      </c>
      <c r="F40" s="63" t="n">
        <f aca="false">IF(E40="","",D40-E40)</f>
        <v>-28</v>
      </c>
      <c r="G40" s="37" t="n">
        <v>728</v>
      </c>
      <c r="H40" s="37" t="n">
        <v>791</v>
      </c>
      <c r="I40" s="63" t="n">
        <f aca="false">IF(H40="","",G40-H40)</f>
        <v>-63</v>
      </c>
      <c r="J40" s="52" t="n">
        <f aca="false">IF(OR(D40="",D40+G40=0),"",D40/(D40+G40))</f>
        <v>0.372413793103448</v>
      </c>
      <c r="K40" s="52" t="n">
        <f aca="false">IF(E40="","",E40/(E40+H40))</f>
        <v>0.367705835331735</v>
      </c>
      <c r="L40" s="64" t="n">
        <f aca="false">IF(OR(K40="",J40=""),"",(J40-K40)*100)</f>
        <v>0.470795777171368</v>
      </c>
      <c r="M40" s="21"/>
    </row>
    <row r="41" customFormat="false" ht="15" hidden="false" customHeight="false" outlineLevel="0" collapsed="false">
      <c r="A41" s="21" t="s">
        <v>120</v>
      </c>
      <c r="B41" s="21" t="s">
        <v>170</v>
      </c>
      <c r="C41" s="21" t="s">
        <v>174</v>
      </c>
      <c r="D41" s="37" t="n">
        <v>383</v>
      </c>
      <c r="E41" s="37" t="n">
        <v>425</v>
      </c>
      <c r="F41" s="63" t="n">
        <f aca="false">IF(E41="","",D41-E41)</f>
        <v>-42</v>
      </c>
      <c r="G41" s="37" t="n">
        <v>812</v>
      </c>
      <c r="H41" s="37" t="n">
        <v>920</v>
      </c>
      <c r="I41" s="63" t="n">
        <f aca="false">IF(H41="","",G41-H41)</f>
        <v>-108</v>
      </c>
      <c r="J41" s="52" t="n">
        <f aca="false">IF(OR(D41="",D41+G41=0),"",D41/(D41+G41))</f>
        <v>0.320502092050209</v>
      </c>
      <c r="K41" s="52" t="n">
        <f aca="false">IF(E41="","",E41/(E41+H41))</f>
        <v>0.315985130111524</v>
      </c>
      <c r="L41" s="64" t="n">
        <f aca="false">IF(OR(K41="",J41=""),"",(J41-K41)*100)</f>
        <v>0.4516961938685</v>
      </c>
      <c r="M41" s="21"/>
    </row>
    <row r="42" customFormat="false" ht="15" hidden="false" customHeight="false" outlineLevel="0" collapsed="false">
      <c r="A42" s="21" t="s">
        <v>120</v>
      </c>
      <c r="B42" s="21" t="s">
        <v>170</v>
      </c>
      <c r="C42" s="21" t="s">
        <v>175</v>
      </c>
      <c r="D42" s="37" t="n">
        <v>362</v>
      </c>
      <c r="E42" s="37" t="n">
        <v>397</v>
      </c>
      <c r="F42" s="63" t="n">
        <f aca="false">IF(E42="","",D42-E42)</f>
        <v>-35</v>
      </c>
      <c r="G42" s="37" t="n">
        <v>687</v>
      </c>
      <c r="H42" s="37" t="n">
        <v>692</v>
      </c>
      <c r="I42" s="63" t="n">
        <f aca="false">IF(H42="","",G42-H42)</f>
        <v>-5</v>
      </c>
      <c r="J42" s="52" t="n">
        <f aca="false">IF(OR(D42="",D42+G42=0),"",D42/(D42+G42))</f>
        <v>0.345090562440419</v>
      </c>
      <c r="K42" s="52" t="n">
        <f aca="false">IF(E42="","",E42/(E42+H42))</f>
        <v>0.36455463728191</v>
      </c>
      <c r="L42" s="64" t="n">
        <f aca="false">IF(OR(K42="",J42=""),"",(J42-K42)*100)</f>
        <v>-1.94640748414905</v>
      </c>
      <c r="M42" s="21"/>
    </row>
    <row r="43" customFormat="false" ht="15" hidden="false" customHeight="false" outlineLevel="0" collapsed="false">
      <c r="A43" s="21" t="s">
        <v>120</v>
      </c>
      <c r="B43" s="21" t="s">
        <v>176</v>
      </c>
      <c r="C43" s="21" t="s">
        <v>177</v>
      </c>
      <c r="D43" s="37" t="n">
        <v>185</v>
      </c>
      <c r="E43" s="37" t="n">
        <v>175</v>
      </c>
      <c r="F43" s="63" t="n">
        <f aca="false">IF(E43="","",D43-E43)</f>
        <v>10</v>
      </c>
      <c r="G43" s="37" t="n">
        <v>195</v>
      </c>
      <c r="H43" s="37" t="n">
        <v>212</v>
      </c>
      <c r="I43" s="63" t="n">
        <f aca="false">IF(H43="","",G43-H43)</f>
        <v>-17</v>
      </c>
      <c r="J43" s="52" t="n">
        <f aca="false">IF(OR(D43="",D43+G43=0),"",D43/(D43+G43))</f>
        <v>0.486842105263158</v>
      </c>
      <c r="K43" s="52" t="n">
        <f aca="false">IF(E43="","",E43/(E43+H43))</f>
        <v>0.452196382428941</v>
      </c>
      <c r="L43" s="64" t="n">
        <f aca="false">IF(OR(K43="",J43=""),"",(J43-K43)*100)</f>
        <v>3.46457228342174</v>
      </c>
      <c r="M43" s="21"/>
    </row>
    <row r="44" customFormat="false" ht="15" hidden="false" customHeight="false" outlineLevel="0" collapsed="false">
      <c r="A44" s="21" t="s">
        <v>120</v>
      </c>
      <c r="B44" s="21" t="s">
        <v>176</v>
      </c>
      <c r="C44" s="21" t="s">
        <v>178</v>
      </c>
      <c r="D44" s="37" t="n">
        <v>192</v>
      </c>
      <c r="E44" s="37" t="n">
        <v>184</v>
      </c>
      <c r="F44" s="63" t="n">
        <f aca="false">IF(E44="","",D44-E44)</f>
        <v>8</v>
      </c>
      <c r="G44" s="37" t="n">
        <v>199</v>
      </c>
      <c r="H44" s="37" t="n">
        <v>208</v>
      </c>
      <c r="I44" s="63" t="n">
        <f aca="false">IF(H44="","",G44-H44)</f>
        <v>-9</v>
      </c>
      <c r="J44" s="52" t="n">
        <f aca="false">IF(OR(D44="",D44+G44=0),"",D44/(D44+G44))</f>
        <v>0.491048593350384</v>
      </c>
      <c r="K44" s="52" t="n">
        <f aca="false">IF(E44="","",E44/(E44+H44))</f>
        <v>0.469387755102041</v>
      </c>
      <c r="L44" s="64" t="n">
        <f aca="false">IF(OR(K44="",J44=""),"",(J44-K44)*100)</f>
        <v>2.16608382483428</v>
      </c>
      <c r="M44" s="21"/>
    </row>
    <row r="45" customFormat="false" ht="15" hidden="false" customHeight="false" outlineLevel="0" collapsed="false">
      <c r="A45" s="21" t="s">
        <v>120</v>
      </c>
      <c r="B45" s="21" t="s">
        <v>176</v>
      </c>
      <c r="C45" s="21" t="s">
        <v>179</v>
      </c>
      <c r="D45" s="37" t="n">
        <v>117</v>
      </c>
      <c r="E45" s="37" t="n">
        <v>102</v>
      </c>
      <c r="F45" s="63" t="n">
        <f aca="false">IF(E45="","",D45-E45)</f>
        <v>15</v>
      </c>
      <c r="G45" s="37" t="n">
        <v>188</v>
      </c>
      <c r="H45" s="37" t="n">
        <v>192</v>
      </c>
      <c r="I45" s="63" t="n">
        <f aca="false">IF(H45="","",G45-H45)</f>
        <v>-4</v>
      </c>
      <c r="J45" s="52" t="n">
        <f aca="false">IF(OR(D45="",D45+G45=0),"",D45/(D45+G45))</f>
        <v>0.383606557377049</v>
      </c>
      <c r="K45" s="52" t="n">
        <f aca="false">IF(E45="","",E45/(E45+H45))</f>
        <v>0.346938775510204</v>
      </c>
      <c r="L45" s="64" t="n">
        <f aca="false">IF(OR(K45="",J45=""),"",(J45-K45)*100)</f>
        <v>3.66677818668451</v>
      </c>
      <c r="M45" s="21"/>
    </row>
    <row r="46" customFormat="false" ht="15" hidden="false" customHeight="false" outlineLevel="0" collapsed="false">
      <c r="A46" s="21" t="s">
        <v>120</v>
      </c>
      <c r="B46" s="21" t="s">
        <v>176</v>
      </c>
      <c r="C46" s="21" t="s">
        <v>180</v>
      </c>
      <c r="D46" s="37" t="n">
        <v>195</v>
      </c>
      <c r="E46" s="37" t="n">
        <v>194</v>
      </c>
      <c r="F46" s="63" t="n">
        <f aca="false">IF(E46="","",D46-E46)</f>
        <v>1</v>
      </c>
      <c r="G46" s="37" t="n">
        <v>268</v>
      </c>
      <c r="H46" s="37" t="n">
        <v>296</v>
      </c>
      <c r="I46" s="63" t="n">
        <f aca="false">IF(H46="","",G46-H46)</f>
        <v>-28</v>
      </c>
      <c r="J46" s="52" t="n">
        <f aca="false">IF(OR(D46="",D46+G46=0),"",D46/(D46+G46))</f>
        <v>0.421166306695464</v>
      </c>
      <c r="K46" s="52" t="n">
        <f aca="false">IF(E46="","",E46/(E46+H46))</f>
        <v>0.395918367346939</v>
      </c>
      <c r="L46" s="64" t="n">
        <f aca="false">IF(OR(K46="",J46=""),"",(J46-K46)*100)</f>
        <v>2.52479393485256</v>
      </c>
      <c r="M46" s="21"/>
    </row>
    <row r="47" customFormat="false" ht="15" hidden="false" customHeight="false" outlineLevel="0" collapsed="false">
      <c r="A47" s="21" t="s">
        <v>120</v>
      </c>
      <c r="B47" s="21" t="s">
        <v>181</v>
      </c>
      <c r="C47" s="21" t="s">
        <v>182</v>
      </c>
      <c r="D47" s="37" t="n">
        <v>265</v>
      </c>
      <c r="E47" s="37" t="n">
        <v>298</v>
      </c>
      <c r="F47" s="63" t="n">
        <f aca="false">IF(E47="","",D47-E47)</f>
        <v>-33</v>
      </c>
      <c r="G47" s="37" t="n">
        <v>659</v>
      </c>
      <c r="H47" s="37" t="n">
        <v>649</v>
      </c>
      <c r="I47" s="63" t="n">
        <f aca="false">IF(H47="","",G47-H47)</f>
        <v>10</v>
      </c>
      <c r="J47" s="52" t="n">
        <f aca="false">IF(OR(D47="",D47+G47=0),"",D47/(D47+G47))</f>
        <v>0.286796536796537</v>
      </c>
      <c r="K47" s="52" t="n">
        <f aca="false">IF(E47="","",E47/(E47+H47))</f>
        <v>0.31467793030623</v>
      </c>
      <c r="L47" s="64" t="n">
        <f aca="false">IF(OR(K47="",J47=""),"",(J47-K47)*100)</f>
        <v>-2.78813935096934</v>
      </c>
      <c r="M47" s="21"/>
    </row>
    <row r="48" customFormat="false" ht="15" hidden="false" customHeight="false" outlineLevel="0" collapsed="false">
      <c r="A48" s="21" t="s">
        <v>120</v>
      </c>
      <c r="B48" s="21" t="s">
        <v>181</v>
      </c>
      <c r="C48" s="21" t="s">
        <v>183</v>
      </c>
      <c r="D48" s="37" t="n">
        <v>236</v>
      </c>
      <c r="E48" s="37" t="n">
        <v>253</v>
      </c>
      <c r="F48" s="63" t="n">
        <f aca="false">IF(E48="","",D48-E48)</f>
        <v>-17</v>
      </c>
      <c r="G48" s="37" t="n">
        <v>665</v>
      </c>
      <c r="H48" s="37" t="n">
        <v>710</v>
      </c>
      <c r="I48" s="63" t="n">
        <f aca="false">IF(H48="","",G48-H48)</f>
        <v>-45</v>
      </c>
      <c r="J48" s="52" t="n">
        <f aca="false">IF(OR(D48="",D48+G48=0),"",D48/(D48+G48))</f>
        <v>0.261931187569367</v>
      </c>
      <c r="K48" s="52" t="n">
        <f aca="false">IF(E48="","",E48/(E48+H48))</f>
        <v>0.262720664589823</v>
      </c>
      <c r="L48" s="64" t="n">
        <f aca="false">IF(OR(K48="",J48=""),"",(J48-K48)*100)</f>
        <v>-0.0789477020456064</v>
      </c>
      <c r="M48" s="21"/>
    </row>
    <row r="49" customFormat="false" ht="15" hidden="false" customHeight="false" outlineLevel="0" collapsed="false">
      <c r="A49" s="21" t="s">
        <v>120</v>
      </c>
      <c r="B49" s="21" t="s">
        <v>181</v>
      </c>
      <c r="C49" s="21" t="s">
        <v>184</v>
      </c>
      <c r="D49" s="37" t="n">
        <v>234</v>
      </c>
      <c r="E49" s="37" t="n">
        <v>238</v>
      </c>
      <c r="F49" s="63" t="n">
        <f aca="false">IF(E49="","",D49-E49)</f>
        <v>-4</v>
      </c>
      <c r="G49" s="37" t="n">
        <v>584</v>
      </c>
      <c r="H49" s="37" t="n">
        <v>586</v>
      </c>
      <c r="I49" s="63" t="n">
        <f aca="false">IF(H49="","",G49-H49)</f>
        <v>-2</v>
      </c>
      <c r="J49" s="52" t="n">
        <f aca="false">IF(OR(D49="",D49+G49=0),"",D49/(D49+G49))</f>
        <v>0.286063569682152</v>
      </c>
      <c r="K49" s="52" t="n">
        <f aca="false">IF(E49="","",E49/(E49+H49))</f>
        <v>0.288834951456311</v>
      </c>
      <c r="L49" s="64" t="n">
        <f aca="false">IF(OR(K49="",J49=""),"",(J49-K49)*100)</f>
        <v>-0.277138177415909</v>
      </c>
      <c r="M49" s="21"/>
    </row>
    <row r="50" customFormat="false" ht="15" hidden="false" customHeight="false" outlineLevel="0" collapsed="false">
      <c r="A50" s="21" t="s">
        <v>120</v>
      </c>
      <c r="B50" s="21" t="s">
        <v>185</v>
      </c>
      <c r="C50" s="21" t="s">
        <v>186</v>
      </c>
      <c r="D50" s="37" t="n">
        <v>207</v>
      </c>
      <c r="E50" s="37" t="n">
        <v>238</v>
      </c>
      <c r="F50" s="63" t="n">
        <f aca="false">IF(E50="","",D50-E50)</f>
        <v>-31</v>
      </c>
      <c r="G50" s="37" t="n">
        <v>586</v>
      </c>
      <c r="H50" s="37" t="n">
        <v>541</v>
      </c>
      <c r="I50" s="63" t="n">
        <f aca="false">IF(H50="","",G50-H50)</f>
        <v>45</v>
      </c>
      <c r="J50" s="52" t="n">
        <f aca="false">IF(OR(D50="",D50+G50=0),"",D50/(D50+G50))</f>
        <v>0.261034047919294</v>
      </c>
      <c r="K50" s="52" t="n">
        <f aca="false">IF(E50="","",E50/(E50+H50))</f>
        <v>0.305519897304236</v>
      </c>
      <c r="L50" s="64" t="n">
        <f aca="false">IF(OR(K50="",J50=""),"",(J50-K50)*100)</f>
        <v>-4.44858493849424</v>
      </c>
      <c r="M50" s="21"/>
    </row>
    <row r="51" customFormat="false" ht="15" hidden="false" customHeight="false" outlineLevel="0" collapsed="false">
      <c r="A51" s="21" t="s">
        <v>120</v>
      </c>
      <c r="B51" s="21" t="s">
        <v>185</v>
      </c>
      <c r="C51" s="21" t="s">
        <v>187</v>
      </c>
      <c r="D51" s="37" t="n">
        <v>105</v>
      </c>
      <c r="E51" s="37" t="n">
        <v>103</v>
      </c>
      <c r="F51" s="63" t="n">
        <f aca="false">IF(E51="","",D51-E51)</f>
        <v>2</v>
      </c>
      <c r="G51" s="37" t="n">
        <v>291</v>
      </c>
      <c r="H51" s="37" t="n">
        <v>292</v>
      </c>
      <c r="I51" s="63" t="n">
        <f aca="false">IF(H51="","",G51-H51)</f>
        <v>-1</v>
      </c>
      <c r="J51" s="52" t="n">
        <f aca="false">IF(OR(D51="",D51+G51=0),"",D51/(D51+G51))</f>
        <v>0.265151515151515</v>
      </c>
      <c r="K51" s="52" t="n">
        <f aca="false">IF(E51="","",E51/(E51+H51))</f>
        <v>0.260759493670886</v>
      </c>
      <c r="L51" s="64" t="n">
        <f aca="false">IF(OR(K51="",J51=""),"",(J51-K51)*100)</f>
        <v>0.439202148062906</v>
      </c>
      <c r="M51" s="21"/>
    </row>
    <row r="52" customFormat="false" ht="15" hidden="false" customHeight="false" outlineLevel="0" collapsed="false">
      <c r="A52" s="21" t="s">
        <v>120</v>
      </c>
      <c r="B52" s="21" t="s">
        <v>188</v>
      </c>
      <c r="C52" s="21" t="s">
        <v>188</v>
      </c>
      <c r="D52" s="37" t="n">
        <v>58</v>
      </c>
      <c r="E52" s="37" t="n">
        <v>53</v>
      </c>
      <c r="F52" s="63" t="n">
        <f aca="false">IF(E52="","",D52-E52)</f>
        <v>5</v>
      </c>
      <c r="G52" s="37" t="n">
        <v>85</v>
      </c>
      <c r="H52" s="37" t="n">
        <v>99</v>
      </c>
      <c r="I52" s="63" t="n">
        <f aca="false">IF(H52="","",G52-H52)</f>
        <v>-14</v>
      </c>
      <c r="J52" s="52" t="n">
        <f aca="false">IF(OR(D52="",D52+G52=0),"",D52/(D52+G52))</f>
        <v>0.405594405594406</v>
      </c>
      <c r="K52" s="52" t="n">
        <f aca="false">IF(E52="","",E52/(E52+H52))</f>
        <v>0.348684210526316</v>
      </c>
      <c r="L52" s="64" t="n">
        <f aca="false">IF(OR(K52="",J52=""),"",(J52-K52)*100)</f>
        <v>5.69101950680898</v>
      </c>
      <c r="M52" s="21"/>
    </row>
    <row r="53" customFormat="false" ht="15" hidden="false" customHeight="false" outlineLevel="0" collapsed="false">
      <c r="A53" s="21" t="s">
        <v>189</v>
      </c>
      <c r="B53" s="21" t="s">
        <v>190</v>
      </c>
      <c r="C53" s="21" t="s">
        <v>190</v>
      </c>
      <c r="D53" s="37" t="n">
        <v>693</v>
      </c>
      <c r="E53" s="37" t="n">
        <v>601</v>
      </c>
      <c r="F53" s="63" t="n">
        <f aca="false">IF(E53="","",D53-E53)</f>
        <v>92</v>
      </c>
      <c r="G53" s="37" t="n">
        <v>726</v>
      </c>
      <c r="H53" s="37" t="n">
        <v>766</v>
      </c>
      <c r="I53" s="63" t="n">
        <f aca="false">IF(H53="","",G53-H53)</f>
        <v>-40</v>
      </c>
      <c r="J53" s="52" t="n">
        <f aca="false">IF(OR(D53="",D53+G53=0),"",D53/(D53+G53))</f>
        <v>0.488372093023256</v>
      </c>
      <c r="K53" s="52" t="n">
        <f aca="false">IF(E53="","",E53/(E53+H53))</f>
        <v>0.439648866130212</v>
      </c>
      <c r="L53" s="64" t="n">
        <f aca="false">IF(OR(K53="",J53=""),"",(J53-K53)*100)</f>
        <v>4.87232268930437</v>
      </c>
      <c r="M53" s="21"/>
    </row>
    <row r="54" customFormat="false" ht="15" hidden="false" customHeight="false" outlineLevel="0" collapsed="false">
      <c r="A54" s="21" t="s">
        <v>189</v>
      </c>
      <c r="B54" s="21" t="s">
        <v>191</v>
      </c>
      <c r="C54" s="21" t="s">
        <v>192</v>
      </c>
      <c r="D54" s="37" t="n">
        <v>527</v>
      </c>
      <c r="E54" s="37" t="n">
        <v>437</v>
      </c>
      <c r="F54" s="63" t="n">
        <f aca="false">IF(E54="","",D54-E54)</f>
        <v>90</v>
      </c>
      <c r="G54" s="37" t="n">
        <v>187</v>
      </c>
      <c r="H54" s="37" t="n">
        <v>173</v>
      </c>
      <c r="I54" s="63" t="n">
        <f aca="false">IF(H54="","",G54-H54)</f>
        <v>14</v>
      </c>
      <c r="J54" s="52" t="n">
        <f aca="false">IF(OR(D54="",D54+G54=0),"",D54/(D54+G54))</f>
        <v>0.738095238095238</v>
      </c>
      <c r="K54" s="52" t="n">
        <f aca="false">IF(E54="","",E54/(E54+H54))</f>
        <v>0.716393442622951</v>
      </c>
      <c r="L54" s="64" t="n">
        <f aca="false">IF(OR(K54="",J54=""),"",(J54-K54)*100)</f>
        <v>2.17017954722873</v>
      </c>
      <c r="M54" s="21"/>
    </row>
    <row r="55" customFormat="false" ht="15" hidden="false" customHeight="false" outlineLevel="0" collapsed="false">
      <c r="A55" s="21" t="s">
        <v>189</v>
      </c>
      <c r="B55" s="21" t="s">
        <v>191</v>
      </c>
      <c r="C55" s="21" t="s">
        <v>193</v>
      </c>
      <c r="D55" s="37" t="n">
        <v>344</v>
      </c>
      <c r="E55" s="37" t="n">
        <v>328</v>
      </c>
      <c r="F55" s="63" t="n">
        <f aca="false">IF(E55="","",D55-E55)</f>
        <v>16</v>
      </c>
      <c r="G55" s="37" t="n">
        <v>132</v>
      </c>
      <c r="H55" s="37" t="n">
        <v>173</v>
      </c>
      <c r="I55" s="63" t="n">
        <f aca="false">IF(H55="","",G55-H55)</f>
        <v>-41</v>
      </c>
      <c r="J55" s="52" t="n">
        <f aca="false">IF(OR(D55="",D55+G55=0),"",D55/(D55+G55))</f>
        <v>0.722689075630252</v>
      </c>
      <c r="K55" s="52" t="n">
        <f aca="false">IF(E55="","",E55/(E55+H55))</f>
        <v>0.654690618762475</v>
      </c>
      <c r="L55" s="64" t="n">
        <f aca="false">IF(OR(K55="",J55=""),"",(J55-K55)*100)</f>
        <v>6.79984568677771</v>
      </c>
      <c r="M55" s="21"/>
    </row>
    <row r="56" customFormat="false" ht="15" hidden="false" customHeight="false" outlineLevel="0" collapsed="false">
      <c r="A56" s="21" t="s">
        <v>189</v>
      </c>
      <c r="B56" s="21" t="s">
        <v>191</v>
      </c>
      <c r="C56" s="21" t="s">
        <v>194</v>
      </c>
      <c r="D56" s="37" t="n">
        <v>376</v>
      </c>
      <c r="E56" s="37" t="n">
        <v>347</v>
      </c>
      <c r="F56" s="63" t="n">
        <f aca="false">IF(E56="","",D56-E56)</f>
        <v>29</v>
      </c>
      <c r="G56" s="37" t="n">
        <v>137</v>
      </c>
      <c r="H56" s="37" t="n">
        <v>147</v>
      </c>
      <c r="I56" s="63" t="n">
        <f aca="false">IF(H56="","",G56-H56)</f>
        <v>-10</v>
      </c>
      <c r="J56" s="52" t="n">
        <f aca="false">IF(OR(D56="",D56+G56=0),"",D56/(D56+G56))</f>
        <v>0.732943469785575</v>
      </c>
      <c r="K56" s="52" t="n">
        <f aca="false">IF(E56="","",E56/(E56+H56))</f>
        <v>0.702429149797571</v>
      </c>
      <c r="L56" s="64" t="n">
        <f aca="false">IF(OR(K56="",J56=""),"",(J56-K56)*100)</f>
        <v>3.05143199880041</v>
      </c>
      <c r="M56" s="21"/>
    </row>
    <row r="57" customFormat="false" ht="15" hidden="false" customHeight="false" outlineLevel="0" collapsed="false">
      <c r="A57" s="21" t="s">
        <v>189</v>
      </c>
      <c r="B57" s="21" t="s">
        <v>191</v>
      </c>
      <c r="C57" s="21" t="s">
        <v>195</v>
      </c>
      <c r="D57" s="37" t="n">
        <v>330</v>
      </c>
      <c r="E57" s="37" t="n">
        <v>314</v>
      </c>
      <c r="F57" s="63" t="n">
        <f aca="false">IF(E57="","",D57-E57)</f>
        <v>16</v>
      </c>
      <c r="G57" s="37" t="n">
        <v>144</v>
      </c>
      <c r="H57" s="37" t="n">
        <v>149</v>
      </c>
      <c r="I57" s="63" t="n">
        <f aca="false">IF(H57="","",G57-H57)</f>
        <v>-5</v>
      </c>
      <c r="J57" s="52" t="n">
        <f aca="false">IF(OR(D57="",D57+G57=0),"",D57/(D57+G57))</f>
        <v>0.69620253164557</v>
      </c>
      <c r="K57" s="52" t="n">
        <f aca="false">IF(E57="","",E57/(E57+H57))</f>
        <v>0.678185745140389</v>
      </c>
      <c r="L57" s="64" t="n">
        <f aca="false">IF(OR(K57="",J57=""),"",(J57-K57)*100)</f>
        <v>1.80167865051809</v>
      </c>
      <c r="M57" s="21"/>
    </row>
    <row r="58" customFormat="false" ht="15" hidden="false" customHeight="false" outlineLevel="0" collapsed="false">
      <c r="A58" s="21" t="s">
        <v>189</v>
      </c>
      <c r="B58" s="21" t="s">
        <v>191</v>
      </c>
      <c r="C58" s="21" t="s">
        <v>196</v>
      </c>
      <c r="D58" s="37" t="n">
        <v>384</v>
      </c>
      <c r="E58" s="37" t="n">
        <v>364</v>
      </c>
      <c r="F58" s="63" t="n">
        <f aca="false">IF(E58="","",D58-E58)</f>
        <v>20</v>
      </c>
      <c r="G58" s="37" t="n">
        <v>136</v>
      </c>
      <c r="H58" s="37" t="n">
        <v>137</v>
      </c>
      <c r="I58" s="63" t="n">
        <f aca="false">IF(H58="","",G58-H58)</f>
        <v>-1</v>
      </c>
      <c r="J58" s="52" t="n">
        <f aca="false">IF(OR(D58="",D58+G58=0),"",D58/(D58+G58))</f>
        <v>0.738461538461539</v>
      </c>
      <c r="K58" s="52" t="n">
        <f aca="false">IF(E58="","",E58/(E58+H58))</f>
        <v>0.726546906187625</v>
      </c>
      <c r="L58" s="64" t="n">
        <f aca="false">IF(OR(K58="",J58=""),"",(J58-K58)*100)</f>
        <v>1.19146322739138</v>
      </c>
      <c r="M58" s="21"/>
    </row>
    <row r="59" customFormat="false" ht="15" hidden="false" customHeight="false" outlineLevel="0" collapsed="false">
      <c r="A59" s="21" t="s">
        <v>189</v>
      </c>
      <c r="B59" s="21" t="s">
        <v>191</v>
      </c>
      <c r="C59" s="21" t="s">
        <v>197</v>
      </c>
      <c r="D59" s="37" t="n">
        <v>446</v>
      </c>
      <c r="E59" s="37" t="n">
        <v>399</v>
      </c>
      <c r="F59" s="63" t="n">
        <f aca="false">IF(E59="","",D59-E59)</f>
        <v>47</v>
      </c>
      <c r="G59" s="37" t="n">
        <v>191</v>
      </c>
      <c r="H59" s="37" t="n">
        <v>171</v>
      </c>
      <c r="I59" s="63" t="n">
        <f aca="false">IF(H59="","",G59-H59)</f>
        <v>20</v>
      </c>
      <c r="J59" s="52" t="n">
        <f aca="false">IF(OR(D59="",D59+G59=0),"",D59/(D59+G59))</f>
        <v>0.700156985871272</v>
      </c>
      <c r="K59" s="52" t="n">
        <f aca="false">IF(E59="","",E59/(E59+H59))</f>
        <v>0.7</v>
      </c>
      <c r="L59" s="64" t="n">
        <f aca="false">IF(OR(K59="",J59=""),"",(J59-K59)*100)</f>
        <v>0.0156985871271664</v>
      </c>
      <c r="M59" s="21"/>
    </row>
    <row r="60" customFormat="false" ht="15" hidden="false" customHeight="false" outlineLevel="0" collapsed="false">
      <c r="A60" s="21" t="s">
        <v>189</v>
      </c>
      <c r="B60" s="21" t="s">
        <v>191</v>
      </c>
      <c r="C60" s="21" t="s">
        <v>198</v>
      </c>
      <c r="D60" s="37" t="n">
        <v>933</v>
      </c>
      <c r="E60" s="37" t="n">
        <v>1034</v>
      </c>
      <c r="F60" s="63" t="n">
        <f aca="false">IF(E60="","",D60-E60)</f>
        <v>-101</v>
      </c>
      <c r="G60" s="37" t="n">
        <v>340</v>
      </c>
      <c r="H60" s="37" t="n">
        <v>285</v>
      </c>
      <c r="I60" s="63" t="n">
        <f aca="false">IF(H60="","",G60-H60)</f>
        <v>55</v>
      </c>
      <c r="J60" s="52" t="n">
        <f aca="false">IF(OR(D60="",D60+G60=0),"",D60/(D60+G60))</f>
        <v>0.732914375490966</v>
      </c>
      <c r="K60" s="52" t="n">
        <f aca="false">IF(E60="","",E60/(E60+H60))</f>
        <v>0.783927217589083</v>
      </c>
      <c r="L60" s="64" t="n">
        <f aca="false">IF(OR(K60="",J60=""),"",(J60-K60)*100)</f>
        <v>-5.10128420981164</v>
      </c>
      <c r="M60" s="21"/>
    </row>
    <row r="61" customFormat="false" ht="15" hidden="false" customHeight="false" outlineLevel="0" collapsed="false">
      <c r="A61" s="21" t="s">
        <v>189</v>
      </c>
      <c r="B61" s="21" t="s">
        <v>191</v>
      </c>
      <c r="C61" s="21" t="s">
        <v>199</v>
      </c>
      <c r="D61" s="37" t="n">
        <v>393</v>
      </c>
      <c r="E61" s="37" t="n">
        <v>377</v>
      </c>
      <c r="F61" s="63" t="n">
        <f aca="false">IF(E61="","",D61-E61)</f>
        <v>16</v>
      </c>
      <c r="G61" s="37" t="n">
        <v>212</v>
      </c>
      <c r="H61" s="37" t="n">
        <v>190</v>
      </c>
      <c r="I61" s="63" t="n">
        <f aca="false">IF(H61="","",G61-H61)</f>
        <v>22</v>
      </c>
      <c r="J61" s="52" t="n">
        <f aca="false">IF(OR(D61="",D61+G61=0),"",D61/(D61+G61))</f>
        <v>0.649586776859504</v>
      </c>
      <c r="K61" s="52" t="n">
        <f aca="false">IF(E61="","",E61/(E61+H61))</f>
        <v>0.664902998236332</v>
      </c>
      <c r="L61" s="64" t="n">
        <f aca="false">IF(OR(K61="",J61=""),"",(J61-K61)*100)</f>
        <v>-1.53162213768274</v>
      </c>
      <c r="M61" s="21"/>
    </row>
    <row r="62" customFormat="false" ht="15" hidden="false" customHeight="false" outlineLevel="0" collapsed="false">
      <c r="A62" s="21" t="s">
        <v>189</v>
      </c>
      <c r="B62" s="21" t="s">
        <v>191</v>
      </c>
      <c r="C62" s="21" t="s">
        <v>200</v>
      </c>
      <c r="D62" s="37" t="n">
        <v>599</v>
      </c>
      <c r="E62" s="37" t="n">
        <v>619</v>
      </c>
      <c r="F62" s="63" t="n">
        <f aca="false">IF(E62="","",D62-E62)</f>
        <v>-20</v>
      </c>
      <c r="G62" s="37" t="n">
        <v>399</v>
      </c>
      <c r="H62" s="37" t="n">
        <v>400</v>
      </c>
      <c r="I62" s="63" t="n">
        <f aca="false">IF(H62="","",G62-H62)</f>
        <v>-1</v>
      </c>
      <c r="J62" s="52" t="n">
        <f aca="false">IF(OR(D62="",D62+G62=0),"",D62/(D62+G62))</f>
        <v>0.600200400801603</v>
      </c>
      <c r="K62" s="52" t="n">
        <f aca="false">IF(E62="","",E62/(E62+H62))</f>
        <v>0.607458292443572</v>
      </c>
      <c r="L62" s="64" t="n">
        <f aca="false">IF(OR(K62="",J62=""),"",(J62-K62)*100)</f>
        <v>-0.725789164196888</v>
      </c>
      <c r="M62" s="21"/>
    </row>
    <row r="63" customFormat="false" ht="15" hidden="false" customHeight="false" outlineLevel="0" collapsed="false">
      <c r="A63" s="21" t="s">
        <v>189</v>
      </c>
      <c r="B63" s="21" t="s">
        <v>191</v>
      </c>
      <c r="C63" s="21" t="s">
        <v>201</v>
      </c>
      <c r="D63" s="37" t="n">
        <v>427</v>
      </c>
      <c r="E63" s="37" t="n">
        <v>438</v>
      </c>
      <c r="F63" s="63" t="n">
        <f aca="false">IF(E63="","",D63-E63)</f>
        <v>-11</v>
      </c>
      <c r="G63" s="37" t="n">
        <v>289</v>
      </c>
      <c r="H63" s="37" t="n">
        <v>259</v>
      </c>
      <c r="I63" s="63" t="n">
        <f aca="false">IF(H63="","",G63-H63)</f>
        <v>30</v>
      </c>
      <c r="J63" s="52" t="n">
        <f aca="false">IF(OR(D63="",D63+G63=0),"",D63/(D63+G63))</f>
        <v>0.596368715083799</v>
      </c>
      <c r="K63" s="52" t="n">
        <f aca="false">IF(E63="","",E63/(E63+H63))</f>
        <v>0.628407460545194</v>
      </c>
      <c r="L63" s="64" t="n">
        <f aca="false">IF(OR(K63="",J63=""),"",(J63-K63)*100)</f>
        <v>-3.20387454613948</v>
      </c>
      <c r="M63" s="21"/>
    </row>
    <row r="64" customFormat="false" ht="15" hidden="false" customHeight="false" outlineLevel="0" collapsed="false">
      <c r="A64" s="21" t="s">
        <v>189</v>
      </c>
      <c r="B64" s="21" t="s">
        <v>191</v>
      </c>
      <c r="C64" s="21" t="s">
        <v>202</v>
      </c>
      <c r="D64" s="37" t="n">
        <v>453</v>
      </c>
      <c r="E64" s="37" t="n">
        <v>428</v>
      </c>
      <c r="F64" s="63" t="n">
        <f aca="false">IF(E64="","",D64-E64)</f>
        <v>25</v>
      </c>
      <c r="G64" s="37" t="n">
        <v>207</v>
      </c>
      <c r="H64" s="37" t="n">
        <v>195</v>
      </c>
      <c r="I64" s="63" t="n">
        <f aca="false">IF(H64="","",G64-H64)</f>
        <v>12</v>
      </c>
      <c r="J64" s="52" t="n">
        <f aca="false">IF(OR(D64="",D64+G64=0),"",D64/(D64+G64))</f>
        <v>0.686363636363636</v>
      </c>
      <c r="K64" s="52" t="n">
        <f aca="false">IF(E64="","",E64/(E64+H64))</f>
        <v>0.686998394863563</v>
      </c>
      <c r="L64" s="64" t="n">
        <f aca="false">IF(OR(K64="",J64=""),"",(J64-K64)*100)</f>
        <v>-0.0634758499927002</v>
      </c>
      <c r="M64" s="21"/>
    </row>
    <row r="65" customFormat="false" ht="15" hidden="false" customHeight="false" outlineLevel="0" collapsed="false">
      <c r="A65" s="21" t="s">
        <v>189</v>
      </c>
      <c r="B65" s="21" t="s">
        <v>191</v>
      </c>
      <c r="C65" s="21" t="s">
        <v>203</v>
      </c>
      <c r="D65" s="37" t="n">
        <v>552</v>
      </c>
      <c r="E65" s="37" t="n">
        <v>563</v>
      </c>
      <c r="F65" s="63" t="n">
        <f aca="false">IF(E65="","",D65-E65)</f>
        <v>-11</v>
      </c>
      <c r="G65" s="37" t="n">
        <v>295</v>
      </c>
      <c r="H65" s="37" t="n">
        <v>322</v>
      </c>
      <c r="I65" s="63" t="n">
        <f aca="false">IF(H65="","",G65-H65)</f>
        <v>-27</v>
      </c>
      <c r="J65" s="52" t="n">
        <f aca="false">IF(OR(D65="",D65+G65=0),"",D65/(D65+G65))</f>
        <v>0.651711924439197</v>
      </c>
      <c r="K65" s="52" t="n">
        <f aca="false">IF(E65="","",E65/(E65+H65))</f>
        <v>0.636158192090396</v>
      </c>
      <c r="L65" s="64" t="n">
        <f aca="false">IF(OR(K65="",J65=""),"",(J65-K65)*100)</f>
        <v>1.55537323488016</v>
      </c>
      <c r="M65" s="21"/>
    </row>
    <row r="66" customFormat="false" ht="15" hidden="false" customHeight="false" outlineLevel="0" collapsed="false">
      <c r="A66" s="21" t="s">
        <v>189</v>
      </c>
      <c r="B66" s="21" t="s">
        <v>191</v>
      </c>
      <c r="C66" s="21" t="s">
        <v>204</v>
      </c>
      <c r="D66" s="37" t="n">
        <v>462</v>
      </c>
      <c r="E66" s="37" t="n">
        <v>472</v>
      </c>
      <c r="F66" s="63" t="n">
        <f aca="false">IF(E66="","",D66-E66)</f>
        <v>-10</v>
      </c>
      <c r="G66" s="37" t="n">
        <v>306</v>
      </c>
      <c r="H66" s="37" t="n">
        <v>273</v>
      </c>
      <c r="I66" s="63" t="n">
        <f aca="false">IF(H66="","",G66-H66)</f>
        <v>33</v>
      </c>
      <c r="J66" s="52" t="n">
        <f aca="false">IF(OR(D66="",D66+G66=0),"",D66/(D66+G66))</f>
        <v>0.6015625</v>
      </c>
      <c r="K66" s="52" t="n">
        <f aca="false">IF(E66="","",E66/(E66+H66))</f>
        <v>0.633557046979866</v>
      </c>
      <c r="L66" s="64" t="n">
        <f aca="false">IF(OR(K66="",J66=""),"",(J66-K66)*100)</f>
        <v>-3.19945469798658</v>
      </c>
      <c r="M66" s="21"/>
    </row>
    <row r="67" customFormat="false" ht="15" hidden="false" customHeight="false" outlineLevel="0" collapsed="false">
      <c r="A67" s="21" t="s">
        <v>189</v>
      </c>
      <c r="B67" s="21" t="s">
        <v>191</v>
      </c>
      <c r="C67" s="21" t="s">
        <v>205</v>
      </c>
      <c r="D67" s="37" t="n">
        <v>435</v>
      </c>
      <c r="E67" s="37" t="n">
        <v>426</v>
      </c>
      <c r="F67" s="63" t="n">
        <f aca="false">IF(E67="","",D67-E67)</f>
        <v>9</v>
      </c>
      <c r="G67" s="37" t="n">
        <v>323</v>
      </c>
      <c r="H67" s="37" t="n">
        <v>331</v>
      </c>
      <c r="I67" s="63" t="n">
        <f aca="false">IF(H67="","",G67-H67)</f>
        <v>-8</v>
      </c>
      <c r="J67" s="52" t="n">
        <f aca="false">IF(OR(D67="",D67+G67=0),"",D67/(D67+G67))</f>
        <v>0.573878627968338</v>
      </c>
      <c r="K67" s="52" t="n">
        <f aca="false">IF(E67="","",E67/(E67+H67))</f>
        <v>0.562747688243065</v>
      </c>
      <c r="L67" s="64" t="n">
        <f aca="false">IF(OR(K67="",J67=""),"",(J67-K67)*100)</f>
        <v>1.1130939725273</v>
      </c>
      <c r="M67" s="21"/>
    </row>
    <row r="68" customFormat="false" ht="15" hidden="false" customHeight="false" outlineLevel="0" collapsed="false">
      <c r="A68" s="21" t="s">
        <v>189</v>
      </c>
      <c r="B68" s="21" t="s">
        <v>191</v>
      </c>
      <c r="C68" s="21" t="s">
        <v>206</v>
      </c>
      <c r="D68" s="37" t="n">
        <v>441</v>
      </c>
      <c r="E68" s="37" t="n">
        <v>418</v>
      </c>
      <c r="F68" s="63" t="n">
        <f aca="false">IF(E68="","",D68-E68)</f>
        <v>23</v>
      </c>
      <c r="G68" s="37" t="n">
        <v>276</v>
      </c>
      <c r="H68" s="37" t="n">
        <v>278</v>
      </c>
      <c r="I68" s="63" t="n">
        <f aca="false">IF(H68="","",G68-H68)</f>
        <v>-2</v>
      </c>
      <c r="J68" s="52" t="n">
        <f aca="false">IF(OR(D68="",D68+G68=0),"",D68/(D68+G68))</f>
        <v>0.615062761506276</v>
      </c>
      <c r="K68" s="52" t="n">
        <f aca="false">IF(E68="","",E68/(E68+H68))</f>
        <v>0.600574712643678</v>
      </c>
      <c r="L68" s="64" t="n">
        <f aca="false">IF(OR(K68="",J68=""),"",(J68-K68)*100)</f>
        <v>1.4488048862598</v>
      </c>
      <c r="M68" s="21"/>
    </row>
    <row r="69" customFormat="false" ht="15" hidden="false" customHeight="false" outlineLevel="0" collapsed="false">
      <c r="A69" s="21" t="s">
        <v>189</v>
      </c>
      <c r="B69" s="21" t="s">
        <v>191</v>
      </c>
      <c r="C69" s="21" t="s">
        <v>207</v>
      </c>
      <c r="D69" s="37" t="n">
        <v>454</v>
      </c>
      <c r="E69" s="37" t="n">
        <v>424</v>
      </c>
      <c r="F69" s="63" t="n">
        <f aca="false">IF(E69="","",D69-E69)</f>
        <v>30</v>
      </c>
      <c r="G69" s="37" t="n">
        <v>174</v>
      </c>
      <c r="H69" s="37" t="n">
        <v>188</v>
      </c>
      <c r="I69" s="63" t="n">
        <f aca="false">IF(H69="","",G69-H69)</f>
        <v>-14</v>
      </c>
      <c r="J69" s="52" t="n">
        <f aca="false">IF(OR(D69="",D69+G69=0),"",D69/(D69+G69))</f>
        <v>0.722929936305732</v>
      </c>
      <c r="K69" s="52" t="n">
        <f aca="false">IF(E69="","",E69/(E69+H69))</f>
        <v>0.69281045751634</v>
      </c>
      <c r="L69" s="64" t="n">
        <f aca="false">IF(OR(K69="",J69=""),"",(J69-K69)*100)</f>
        <v>3.01194787893926</v>
      </c>
      <c r="M69" s="21"/>
    </row>
    <row r="70" customFormat="false" ht="15" hidden="false" customHeight="false" outlineLevel="0" collapsed="false">
      <c r="A70" s="21" t="s">
        <v>189</v>
      </c>
      <c r="B70" s="21" t="s">
        <v>191</v>
      </c>
      <c r="C70" s="21" t="s">
        <v>208</v>
      </c>
      <c r="D70" s="37" t="n">
        <v>363</v>
      </c>
      <c r="E70" s="37" t="n">
        <v>330</v>
      </c>
      <c r="F70" s="63" t="n">
        <f aca="false">IF(E70="","",D70-E70)</f>
        <v>33</v>
      </c>
      <c r="G70" s="37" t="n">
        <v>180</v>
      </c>
      <c r="H70" s="37" t="n">
        <v>195</v>
      </c>
      <c r="I70" s="63" t="n">
        <f aca="false">IF(H70="","",G70-H70)</f>
        <v>-15</v>
      </c>
      <c r="J70" s="52" t="n">
        <f aca="false">IF(OR(D70="",D70+G70=0),"",D70/(D70+G70))</f>
        <v>0.668508287292818</v>
      </c>
      <c r="K70" s="52" t="n">
        <f aca="false">IF(E70="","",E70/(E70+H70))</f>
        <v>0.628571428571429</v>
      </c>
      <c r="L70" s="64" t="n">
        <f aca="false">IF(OR(K70="",J70=""),"",(J70-K70)*100)</f>
        <v>3.99368587213891</v>
      </c>
      <c r="M70" s="21"/>
    </row>
    <row r="71" customFormat="false" ht="15" hidden="false" customHeight="false" outlineLevel="0" collapsed="false">
      <c r="A71" s="21" t="s">
        <v>189</v>
      </c>
      <c r="B71" s="21" t="s">
        <v>191</v>
      </c>
      <c r="C71" s="21" t="s">
        <v>209</v>
      </c>
      <c r="D71" s="37" t="n">
        <v>452</v>
      </c>
      <c r="E71" s="37" t="n">
        <v>441</v>
      </c>
      <c r="F71" s="63" t="n">
        <f aca="false">IF(E71="","",D71-E71)</f>
        <v>11</v>
      </c>
      <c r="G71" s="37" t="n">
        <v>238</v>
      </c>
      <c r="H71" s="37" t="n">
        <v>232</v>
      </c>
      <c r="I71" s="63" t="n">
        <f aca="false">IF(H71="","",G71-H71)</f>
        <v>6</v>
      </c>
      <c r="J71" s="52" t="n">
        <f aca="false">IF(OR(D71="",D71+G71=0),"",D71/(D71+G71))</f>
        <v>0.655072463768116</v>
      </c>
      <c r="K71" s="52" t="n">
        <f aca="false">IF(E71="","",E71/(E71+H71))</f>
        <v>0.655274888558692</v>
      </c>
      <c r="L71" s="64" t="n">
        <f aca="false">IF(OR(K71="",J71=""),"",(J71-K71)*100)</f>
        <v>-0.0202424790576528</v>
      </c>
      <c r="M71" s="21"/>
    </row>
    <row r="72" customFormat="false" ht="15" hidden="false" customHeight="false" outlineLevel="0" collapsed="false">
      <c r="A72" s="21" t="s">
        <v>189</v>
      </c>
      <c r="B72" s="21" t="s">
        <v>191</v>
      </c>
      <c r="C72" s="21" t="s">
        <v>210</v>
      </c>
      <c r="D72" s="37" t="n">
        <v>310</v>
      </c>
      <c r="E72" s="37" t="n">
        <v>313</v>
      </c>
      <c r="F72" s="63" t="n">
        <f aca="false">IF(E72="","",D72-E72)</f>
        <v>-3</v>
      </c>
      <c r="G72" s="37" t="n">
        <v>148</v>
      </c>
      <c r="H72" s="37" t="n">
        <v>155</v>
      </c>
      <c r="I72" s="63" t="n">
        <f aca="false">IF(H72="","",G72-H72)</f>
        <v>-7</v>
      </c>
      <c r="J72" s="52" t="n">
        <f aca="false">IF(OR(D72="",D72+G72=0),"",D72/(D72+G72))</f>
        <v>0.676855895196507</v>
      </c>
      <c r="K72" s="52" t="n">
        <f aca="false">IF(E72="","",E72/(E72+H72))</f>
        <v>0.668803418803419</v>
      </c>
      <c r="L72" s="64" t="n">
        <f aca="false">IF(OR(K72="",J72=""),"",(J72-K72)*100)</f>
        <v>0.805247639308782</v>
      </c>
      <c r="M72" s="21"/>
    </row>
    <row r="73" customFormat="false" ht="15" hidden="false" customHeight="false" outlineLevel="0" collapsed="false">
      <c r="A73" s="21" t="s">
        <v>189</v>
      </c>
      <c r="B73" s="21" t="s">
        <v>191</v>
      </c>
      <c r="C73" s="21" t="s">
        <v>211</v>
      </c>
      <c r="D73" s="37" t="n">
        <v>674</v>
      </c>
      <c r="E73" s="37" t="n">
        <v>658</v>
      </c>
      <c r="F73" s="63" t="n">
        <f aca="false">IF(E73="","",D73-E73)</f>
        <v>16</v>
      </c>
      <c r="G73" s="37" t="n">
        <v>396</v>
      </c>
      <c r="H73" s="37" t="n">
        <v>375</v>
      </c>
      <c r="I73" s="63" t="n">
        <f aca="false">IF(H73="","",G73-H73)</f>
        <v>21</v>
      </c>
      <c r="J73" s="52" t="n">
        <f aca="false">IF(OR(D73="",D73+G73=0),"",D73/(D73+G73))</f>
        <v>0.629906542056075</v>
      </c>
      <c r="K73" s="52" t="n">
        <f aca="false">IF(E73="","",E73/(E73+H73))</f>
        <v>0.636979670861568</v>
      </c>
      <c r="L73" s="64" t="n">
        <f aca="false">IF(OR(K73="",J73=""),"",(J73-K73)*100)</f>
        <v>-0.707312880549349</v>
      </c>
      <c r="M73" s="21"/>
    </row>
    <row r="74" customFormat="false" ht="15" hidden="false" customHeight="false" outlineLevel="0" collapsed="false">
      <c r="A74" s="21" t="s">
        <v>189</v>
      </c>
      <c r="B74" s="21" t="s">
        <v>191</v>
      </c>
      <c r="C74" s="21" t="s">
        <v>212</v>
      </c>
      <c r="D74" s="37" t="n">
        <v>801</v>
      </c>
      <c r="E74" s="37" t="n">
        <v>693</v>
      </c>
      <c r="F74" s="63" t="n">
        <f aca="false">IF(E74="","",D74-E74)</f>
        <v>108</v>
      </c>
      <c r="G74" s="37" t="n">
        <v>349</v>
      </c>
      <c r="H74" s="37" t="n">
        <v>389</v>
      </c>
      <c r="I74" s="63" t="n">
        <f aca="false">IF(H74="","",G74-H74)</f>
        <v>-40</v>
      </c>
      <c r="J74" s="52" t="n">
        <f aca="false">IF(OR(D74="",D74+G74=0),"",D74/(D74+G74))</f>
        <v>0.696521739130435</v>
      </c>
      <c r="K74" s="52" t="n">
        <f aca="false">IF(E74="","",E74/(E74+H74))</f>
        <v>0.640480591497227</v>
      </c>
      <c r="L74" s="64" t="n">
        <f aca="false">IF(OR(K74="",J74=""),"",(J74-K74)*100)</f>
        <v>5.60411476332074</v>
      </c>
      <c r="M74" s="21"/>
    </row>
    <row r="75" customFormat="false" ht="15" hidden="false" customHeight="false" outlineLevel="0" collapsed="false">
      <c r="A75" s="21" t="s">
        <v>189</v>
      </c>
      <c r="B75" s="21" t="s">
        <v>191</v>
      </c>
      <c r="C75" s="21" t="s">
        <v>213</v>
      </c>
      <c r="D75" s="37" t="n">
        <v>499</v>
      </c>
      <c r="E75" s="37" t="n">
        <v>446</v>
      </c>
      <c r="F75" s="63" t="n">
        <f aca="false">IF(E75="","",D75-E75)</f>
        <v>53</v>
      </c>
      <c r="G75" s="37" t="n">
        <v>334</v>
      </c>
      <c r="H75" s="37" t="n">
        <v>382</v>
      </c>
      <c r="I75" s="63" t="n">
        <f aca="false">IF(H75="","",G75-H75)</f>
        <v>-48</v>
      </c>
      <c r="J75" s="52" t="n">
        <f aca="false">IF(OR(D75="",D75+G75=0),"",D75/(D75+G75))</f>
        <v>0.599039615846339</v>
      </c>
      <c r="K75" s="52" t="n">
        <f aca="false">IF(E75="","",E75/(E75+H75))</f>
        <v>0.538647342995169</v>
      </c>
      <c r="L75" s="64" t="n">
        <f aca="false">IF(OR(K75="",J75=""),"",(J75-K75)*100)</f>
        <v>6.03922728511695</v>
      </c>
      <c r="M75" s="21"/>
    </row>
    <row r="76" customFormat="false" ht="15" hidden="false" customHeight="false" outlineLevel="0" collapsed="false">
      <c r="A76" s="21" t="s">
        <v>189</v>
      </c>
      <c r="B76" s="21" t="s">
        <v>191</v>
      </c>
      <c r="C76" s="21" t="s">
        <v>214</v>
      </c>
      <c r="D76" s="37" t="n">
        <v>634</v>
      </c>
      <c r="E76" s="37" t="n">
        <v>627</v>
      </c>
      <c r="F76" s="63" t="n">
        <f aca="false">IF(E76="","",D76-E76)</f>
        <v>7</v>
      </c>
      <c r="G76" s="37" t="n">
        <v>376</v>
      </c>
      <c r="H76" s="37" t="n">
        <v>389</v>
      </c>
      <c r="I76" s="63" t="n">
        <f aca="false">IF(H76="","",G76-H76)</f>
        <v>-13</v>
      </c>
      <c r="J76" s="52" t="n">
        <f aca="false">IF(OR(D76="",D76+G76=0),"",D76/(D76+G76))</f>
        <v>0.627722772277228</v>
      </c>
      <c r="K76" s="52" t="n">
        <f aca="false">IF(E76="","",E76/(E76+H76))</f>
        <v>0.617125984251969</v>
      </c>
      <c r="L76" s="64" t="n">
        <f aca="false">IF(OR(K76="",J76=""),"",(J76-K76)*100)</f>
        <v>1.05967880252592</v>
      </c>
      <c r="M76" s="21"/>
    </row>
    <row r="77" customFormat="false" ht="15" hidden="false" customHeight="false" outlineLevel="0" collapsed="false">
      <c r="A77" s="21" t="s">
        <v>189</v>
      </c>
      <c r="B77" s="21" t="s">
        <v>191</v>
      </c>
      <c r="C77" s="21" t="s">
        <v>215</v>
      </c>
      <c r="D77" s="37" t="n">
        <v>642</v>
      </c>
      <c r="E77" s="37" t="n">
        <v>645</v>
      </c>
      <c r="F77" s="63" t="n">
        <f aca="false">IF(E77="","",D77-E77)</f>
        <v>-3</v>
      </c>
      <c r="G77" s="37" t="n">
        <v>389</v>
      </c>
      <c r="H77" s="37" t="n">
        <v>418</v>
      </c>
      <c r="I77" s="63" t="n">
        <f aca="false">IF(H77="","",G77-H77)</f>
        <v>-29</v>
      </c>
      <c r="J77" s="52" t="n">
        <f aca="false">IF(OR(D77="",D77+G77=0),"",D77/(D77+G77))</f>
        <v>0.622696411251212</v>
      </c>
      <c r="K77" s="52" t="n">
        <f aca="false">IF(E77="","",E77/(E77+H77))</f>
        <v>0.606773283160865</v>
      </c>
      <c r="L77" s="64" t="n">
        <f aca="false">IF(OR(K77="",J77=""),"",(J77-K77)*100)</f>
        <v>1.5923128090347</v>
      </c>
      <c r="M77" s="21"/>
    </row>
    <row r="78" customFormat="false" ht="15" hidden="false" customHeight="false" outlineLevel="0" collapsed="false">
      <c r="A78" s="21" t="s">
        <v>189</v>
      </c>
      <c r="B78" s="21" t="s">
        <v>191</v>
      </c>
      <c r="C78" s="21" t="s">
        <v>216</v>
      </c>
      <c r="D78" s="37" t="n">
        <v>501</v>
      </c>
      <c r="E78" s="37" t="n">
        <v>452</v>
      </c>
      <c r="F78" s="63" t="n">
        <f aca="false">IF(E78="","",D78-E78)</f>
        <v>49</v>
      </c>
      <c r="G78" s="37" t="n">
        <v>309</v>
      </c>
      <c r="H78" s="37" t="n">
        <v>341</v>
      </c>
      <c r="I78" s="63" t="n">
        <f aca="false">IF(H78="","",G78-H78)</f>
        <v>-32</v>
      </c>
      <c r="J78" s="52" t="n">
        <f aca="false">IF(OR(D78="",D78+G78=0),"",D78/(D78+G78))</f>
        <v>0.618518518518519</v>
      </c>
      <c r="K78" s="52" t="n">
        <f aca="false">IF(E78="","",E78/(E78+H78))</f>
        <v>0.569987389659521</v>
      </c>
      <c r="L78" s="64" t="n">
        <f aca="false">IF(OR(K78="",J78=""),"",(J78-K78)*100)</f>
        <v>4.85311288589977</v>
      </c>
      <c r="M78" s="21"/>
    </row>
    <row r="79" customFormat="false" ht="15" hidden="false" customHeight="false" outlineLevel="0" collapsed="false">
      <c r="A79" s="21" t="s">
        <v>189</v>
      </c>
      <c r="B79" s="21" t="s">
        <v>191</v>
      </c>
      <c r="C79" s="21" t="s">
        <v>217</v>
      </c>
      <c r="D79" s="37" t="n">
        <v>568</v>
      </c>
      <c r="E79" s="37" t="n">
        <v>541</v>
      </c>
      <c r="F79" s="63" t="n">
        <f aca="false">IF(E79="","",D79-E79)</f>
        <v>27</v>
      </c>
      <c r="G79" s="37" t="n">
        <v>341</v>
      </c>
      <c r="H79" s="37" t="n">
        <v>325</v>
      </c>
      <c r="I79" s="63" t="n">
        <f aca="false">IF(H79="","",G79-H79)</f>
        <v>16</v>
      </c>
      <c r="J79" s="52" t="n">
        <f aca="false">IF(OR(D79="",D79+G79=0),"",D79/(D79+G79))</f>
        <v>0.624862486248625</v>
      </c>
      <c r="K79" s="52" t="n">
        <f aca="false">IF(E79="","",E79/(E79+H79))</f>
        <v>0.624711316397229</v>
      </c>
      <c r="L79" s="64" t="n">
        <f aca="false">IF(OR(K79="",J79=""),"",(J79-K79)*100)</f>
        <v>0.0151169851396182</v>
      </c>
      <c r="M79" s="21"/>
    </row>
    <row r="80" customFormat="false" ht="15" hidden="false" customHeight="false" outlineLevel="0" collapsed="false">
      <c r="A80" s="21" t="s">
        <v>189</v>
      </c>
      <c r="B80" s="21" t="s">
        <v>191</v>
      </c>
      <c r="C80" s="21" t="s">
        <v>218</v>
      </c>
      <c r="D80" s="37" t="n">
        <v>803</v>
      </c>
      <c r="E80" s="37" t="n">
        <v>783</v>
      </c>
      <c r="F80" s="63" t="n">
        <f aca="false">IF(E80="","",D80-E80)</f>
        <v>20</v>
      </c>
      <c r="G80" s="37" t="n">
        <v>530</v>
      </c>
      <c r="H80" s="37" t="n">
        <v>562</v>
      </c>
      <c r="I80" s="63" t="n">
        <f aca="false">IF(H80="","",G80-H80)</f>
        <v>-32</v>
      </c>
      <c r="J80" s="52" t="n">
        <f aca="false">IF(OR(D80="",D80+G80=0),"",D80/(D80+G80))</f>
        <v>0.602400600150038</v>
      </c>
      <c r="K80" s="52" t="n">
        <f aca="false">IF(E80="","",E80/(E80+H80))</f>
        <v>0.582156133828996</v>
      </c>
      <c r="L80" s="64" t="n">
        <f aca="false">IF(OR(K80="",J80=""),"",(J80-K80)*100)</f>
        <v>2.02444663210412</v>
      </c>
      <c r="M80" s="21"/>
    </row>
    <row r="81" customFormat="false" ht="15" hidden="false" customHeight="false" outlineLevel="0" collapsed="false">
      <c r="A81" s="21" t="s">
        <v>189</v>
      </c>
      <c r="B81" s="21" t="s">
        <v>191</v>
      </c>
      <c r="C81" s="21" t="s">
        <v>219</v>
      </c>
      <c r="D81" s="37" t="n">
        <v>468</v>
      </c>
      <c r="E81" s="37" t="n">
        <v>454</v>
      </c>
      <c r="F81" s="63" t="n">
        <f aca="false">IF(E81="","",D81-E81)</f>
        <v>14</v>
      </c>
      <c r="G81" s="37" t="n">
        <v>231</v>
      </c>
      <c r="H81" s="37" t="n">
        <v>218</v>
      </c>
      <c r="I81" s="63" t="n">
        <f aca="false">IF(H81="","",G81-H81)</f>
        <v>13</v>
      </c>
      <c r="J81" s="52" t="n">
        <f aca="false">IF(OR(D81="",D81+G81=0),"",D81/(D81+G81))</f>
        <v>0.669527896995708</v>
      </c>
      <c r="K81" s="52" t="n">
        <f aca="false">IF(E81="","",E81/(E81+H81))</f>
        <v>0.675595238095238</v>
      </c>
      <c r="L81" s="64" t="n">
        <f aca="false">IF(OR(K81="",J81=""),"",(J81-K81)*100)</f>
        <v>-0.606734109953</v>
      </c>
      <c r="M81" s="21"/>
    </row>
    <row r="82" customFormat="false" ht="15" hidden="false" customHeight="false" outlineLevel="0" collapsed="false">
      <c r="A82" s="21" t="s">
        <v>189</v>
      </c>
      <c r="B82" s="21" t="s">
        <v>191</v>
      </c>
      <c r="C82" s="21" t="s">
        <v>220</v>
      </c>
      <c r="D82" s="37" t="n">
        <v>473</v>
      </c>
      <c r="E82" s="37" t="n">
        <v>502</v>
      </c>
      <c r="F82" s="63" t="n">
        <f aca="false">IF(E82="","",D82-E82)</f>
        <v>-29</v>
      </c>
      <c r="G82" s="37" t="n">
        <v>298</v>
      </c>
      <c r="H82" s="37" t="n">
        <v>274</v>
      </c>
      <c r="I82" s="63" t="n">
        <f aca="false">IF(H82="","",G82-H82)</f>
        <v>24</v>
      </c>
      <c r="J82" s="52" t="n">
        <f aca="false">IF(OR(D82="",D82+G82=0),"",D82/(D82+G82))</f>
        <v>0.61348897535668</v>
      </c>
      <c r="K82" s="52" t="n">
        <f aca="false">IF(E82="","",E82/(E82+H82))</f>
        <v>0.646907216494845</v>
      </c>
      <c r="L82" s="64" t="n">
        <f aca="false">IF(OR(K82="",J82=""),"",(J82-K82)*100)</f>
        <v>-3.34182411381657</v>
      </c>
      <c r="M82" s="21"/>
    </row>
    <row r="83" customFormat="false" ht="15" hidden="false" customHeight="false" outlineLevel="0" collapsed="false">
      <c r="A83" s="21" t="s">
        <v>189</v>
      </c>
      <c r="B83" s="21" t="s">
        <v>191</v>
      </c>
      <c r="C83" s="21" t="s">
        <v>221</v>
      </c>
      <c r="D83" s="37" t="n">
        <v>477</v>
      </c>
      <c r="E83" s="37" t="n">
        <v>502</v>
      </c>
      <c r="F83" s="63" t="n">
        <f aca="false">IF(E83="","",D83-E83)</f>
        <v>-25</v>
      </c>
      <c r="G83" s="37" t="n">
        <v>326</v>
      </c>
      <c r="H83" s="37" t="n">
        <v>283</v>
      </c>
      <c r="I83" s="63" t="n">
        <f aca="false">IF(H83="","",G83-H83)</f>
        <v>43</v>
      </c>
      <c r="J83" s="52" t="n">
        <f aca="false">IF(OR(D83="",D83+G83=0),"",D83/(D83+G83))</f>
        <v>0.594022415940224</v>
      </c>
      <c r="K83" s="52" t="n">
        <f aca="false">IF(E83="","",E83/(E83+H83))</f>
        <v>0.639490445859873</v>
      </c>
      <c r="L83" s="64" t="n">
        <f aca="false">IF(OR(K83="",J83=""),"",(J83-K83)*100)</f>
        <v>-4.54680299196484</v>
      </c>
      <c r="M83" s="21"/>
    </row>
    <row r="84" customFormat="false" ht="15" hidden="false" customHeight="false" outlineLevel="0" collapsed="false">
      <c r="A84" s="21" t="s">
        <v>189</v>
      </c>
      <c r="B84" s="21" t="s">
        <v>191</v>
      </c>
      <c r="C84" s="21" t="s">
        <v>222</v>
      </c>
      <c r="D84" s="37" t="n">
        <v>346</v>
      </c>
      <c r="E84" s="37"/>
      <c r="F84" s="63" t="str">
        <f aca="false">IF(E84="","",D84-E84)</f>
        <v/>
      </c>
      <c r="G84" s="37" t="n">
        <v>257</v>
      </c>
      <c r="H84" s="37"/>
      <c r="I84" s="63" t="str">
        <f aca="false">IF(H84="","",G84-H84)</f>
        <v/>
      </c>
      <c r="J84" s="52" t="n">
        <f aca="false">IF(OR(D84="",D84+G84=0),"",D84/(D84+G84))</f>
        <v>0.57379767827529</v>
      </c>
      <c r="K84" s="52" t="str">
        <f aca="false">IF(E84="","",E84/(E84+H84))</f>
        <v/>
      </c>
      <c r="L84" s="64" t="str">
        <f aca="false">IF(OR(K84="",J84=""),"",(J84-K84)*100)</f>
        <v/>
      </c>
      <c r="M84" s="21" t="s">
        <v>685</v>
      </c>
    </row>
    <row r="85" customFormat="false" ht="15" hidden="false" customHeight="false" outlineLevel="0" collapsed="false">
      <c r="A85" s="21" t="s">
        <v>189</v>
      </c>
      <c r="B85" s="21" t="s">
        <v>191</v>
      </c>
      <c r="C85" s="21" t="s">
        <v>224</v>
      </c>
      <c r="D85" s="37" t="n">
        <v>962</v>
      </c>
      <c r="E85" s="37"/>
      <c r="F85" s="63" t="str">
        <f aca="false">IF(E85="","",D85-E85)</f>
        <v/>
      </c>
      <c r="G85" s="37" t="n">
        <v>697</v>
      </c>
      <c r="H85" s="37"/>
      <c r="I85" s="63" t="str">
        <f aca="false">IF(H85="","",G85-H85)</f>
        <v/>
      </c>
      <c r="J85" s="52" t="n">
        <f aca="false">IF(OR(D85="",D85+G85=0),"",D85/(D85+G85))</f>
        <v>0.579867389993972</v>
      </c>
      <c r="K85" s="52" t="str">
        <f aca="false">IF(E85="","",E85/(E85+H85))</f>
        <v/>
      </c>
      <c r="L85" s="64" t="str">
        <f aca="false">IF(OR(K85="",J85=""),"",(J85-K85)*100)</f>
        <v/>
      </c>
      <c r="M85" s="21" t="s">
        <v>685</v>
      </c>
    </row>
    <row r="86" customFormat="false" ht="15" hidden="false" customHeight="false" outlineLevel="0" collapsed="false">
      <c r="A86" s="21" t="s">
        <v>189</v>
      </c>
      <c r="B86" s="21" t="s">
        <v>191</v>
      </c>
      <c r="C86" s="21" t="s">
        <v>226</v>
      </c>
      <c r="D86" s="37" t="n">
        <v>489</v>
      </c>
      <c r="E86" s="37" t="n">
        <v>488</v>
      </c>
      <c r="F86" s="63" t="n">
        <f aca="false">IF(E86="","",D86-E86)</f>
        <v>1</v>
      </c>
      <c r="G86" s="37" t="n">
        <v>261</v>
      </c>
      <c r="H86" s="37" t="n">
        <v>252</v>
      </c>
      <c r="I86" s="63" t="n">
        <f aca="false">IF(H86="","",G86-H86)</f>
        <v>9</v>
      </c>
      <c r="J86" s="52" t="n">
        <f aca="false">IF(OR(D86="",D86+G86=0),"",D86/(D86+G86))</f>
        <v>0.652</v>
      </c>
      <c r="K86" s="52" t="n">
        <f aca="false">IF(E86="","",E86/(E86+H86))</f>
        <v>0.65945945945946</v>
      </c>
      <c r="L86" s="64" t="n">
        <f aca="false">IF(OR(K86="",J86=""),"",(J86-K86)*100)</f>
        <v>-0.745945945945947</v>
      </c>
      <c r="M86" s="21"/>
    </row>
    <row r="87" customFormat="false" ht="15" hidden="false" customHeight="false" outlineLevel="0" collapsed="false">
      <c r="A87" s="21" t="s">
        <v>189</v>
      </c>
      <c r="B87" s="21" t="s">
        <v>191</v>
      </c>
      <c r="C87" s="21" t="s">
        <v>227</v>
      </c>
      <c r="D87" s="37" t="n">
        <v>607</v>
      </c>
      <c r="E87" s="37" t="n">
        <v>601</v>
      </c>
      <c r="F87" s="63" t="n">
        <f aca="false">IF(E87="","",D87-E87)</f>
        <v>6</v>
      </c>
      <c r="G87" s="37" t="n">
        <v>423</v>
      </c>
      <c r="H87" s="37" t="n">
        <v>394</v>
      </c>
      <c r="I87" s="63" t="n">
        <f aca="false">IF(H87="","",G87-H87)</f>
        <v>29</v>
      </c>
      <c r="J87" s="52" t="n">
        <f aca="false">IF(OR(D87="",D87+G87=0),"",D87/(D87+G87))</f>
        <v>0.589320388349515</v>
      </c>
      <c r="K87" s="52" t="n">
        <f aca="false">IF(E87="","",E87/(E87+H87))</f>
        <v>0.604020100502513</v>
      </c>
      <c r="L87" s="64" t="n">
        <f aca="false">IF(OR(K87="",J87=""),"",(J87-K87)*100)</f>
        <v>-1.46997121529979</v>
      </c>
      <c r="M87" s="21"/>
    </row>
    <row r="88" customFormat="false" ht="15" hidden="false" customHeight="false" outlineLevel="0" collapsed="false">
      <c r="A88" s="21" t="s">
        <v>189</v>
      </c>
      <c r="B88" s="21" t="s">
        <v>191</v>
      </c>
      <c r="C88" s="21" t="s">
        <v>228</v>
      </c>
      <c r="D88" s="37" t="n">
        <v>17</v>
      </c>
      <c r="E88" s="37"/>
      <c r="F88" s="63" t="str">
        <f aca="false">IF(E88="","",D88-E88)</f>
        <v/>
      </c>
      <c r="G88" s="37" t="n">
        <v>16</v>
      </c>
      <c r="H88" s="37"/>
      <c r="I88" s="63" t="str">
        <f aca="false">IF(H88="","",G88-H88)</f>
        <v/>
      </c>
      <c r="J88" s="52" t="n">
        <f aca="false">IF(OR(D88="",D88+G88=0),"",D88/(D88+G88))</f>
        <v>0.515151515151515</v>
      </c>
      <c r="K88" s="52" t="str">
        <f aca="false">IF(E88="","",E88/(E88+H88))</f>
        <v/>
      </c>
      <c r="L88" s="64" t="str">
        <f aca="false">IF(OR(K88="",J88=""),"",(J88-K88)*100)</f>
        <v/>
      </c>
      <c r="M88" s="21" t="s">
        <v>685</v>
      </c>
    </row>
    <row r="89" customFormat="false" ht="15" hidden="false" customHeight="false" outlineLevel="0" collapsed="false">
      <c r="A89" s="21" t="s">
        <v>189</v>
      </c>
      <c r="B89" s="21" t="s">
        <v>191</v>
      </c>
      <c r="C89" s="21" t="s">
        <v>229</v>
      </c>
      <c r="D89" s="37" t="n">
        <v>351</v>
      </c>
      <c r="E89" s="37" t="n">
        <v>330</v>
      </c>
      <c r="F89" s="63" t="n">
        <f aca="false">IF(E89="","",D89-E89)</f>
        <v>21</v>
      </c>
      <c r="G89" s="37" t="n">
        <v>252</v>
      </c>
      <c r="H89" s="37" t="n">
        <v>270</v>
      </c>
      <c r="I89" s="63" t="n">
        <f aca="false">IF(H89="","",G89-H89)</f>
        <v>-18</v>
      </c>
      <c r="J89" s="52" t="n">
        <f aca="false">IF(OR(D89="",D89+G89=0),"",D89/(D89+G89))</f>
        <v>0.582089552238806</v>
      </c>
      <c r="K89" s="52" t="n">
        <f aca="false">IF(E89="","",E89/(E89+H89))</f>
        <v>0.55</v>
      </c>
      <c r="L89" s="64" t="n">
        <f aca="false">IF(OR(K89="",J89=""),"",(J89-K89)*100)</f>
        <v>3.20895522388059</v>
      </c>
      <c r="M89" s="21"/>
    </row>
    <row r="90" customFormat="false" ht="15" hidden="false" customHeight="false" outlineLevel="0" collapsed="false">
      <c r="A90" s="21" t="s">
        <v>189</v>
      </c>
      <c r="B90" s="21" t="s">
        <v>191</v>
      </c>
      <c r="C90" s="21" t="s">
        <v>230</v>
      </c>
      <c r="D90" s="37" t="n">
        <v>633</v>
      </c>
      <c r="E90" s="37" t="n">
        <v>591</v>
      </c>
      <c r="F90" s="63" t="n">
        <f aca="false">IF(E90="","",D90-E90)</f>
        <v>42</v>
      </c>
      <c r="G90" s="37" t="n">
        <v>298</v>
      </c>
      <c r="H90" s="37" t="n">
        <v>333</v>
      </c>
      <c r="I90" s="63" t="n">
        <f aca="false">IF(H90="","",G90-H90)</f>
        <v>-35</v>
      </c>
      <c r="J90" s="52" t="n">
        <f aca="false">IF(OR(D90="",D90+G90=0),"",D90/(D90+G90))</f>
        <v>0.679914070891515</v>
      </c>
      <c r="K90" s="52" t="n">
        <f aca="false">IF(E90="","",E90/(E90+H90))</f>
        <v>0.63961038961039</v>
      </c>
      <c r="L90" s="64" t="n">
        <f aca="false">IF(OR(K90="",J90=""),"",(J90-K90)*100)</f>
        <v>4.03036812811248</v>
      </c>
      <c r="M90" s="21"/>
    </row>
    <row r="91" customFormat="false" ht="15" hidden="false" customHeight="false" outlineLevel="0" collapsed="false">
      <c r="A91" s="21" t="s">
        <v>189</v>
      </c>
      <c r="B91" s="21" t="s">
        <v>191</v>
      </c>
      <c r="C91" s="21" t="s">
        <v>231</v>
      </c>
      <c r="D91" s="37" t="n">
        <v>344</v>
      </c>
      <c r="E91" s="37" t="n">
        <v>347</v>
      </c>
      <c r="F91" s="63" t="n">
        <f aca="false">IF(E91="","",D91-E91)</f>
        <v>-3</v>
      </c>
      <c r="G91" s="37" t="n">
        <v>248</v>
      </c>
      <c r="H91" s="37" t="n">
        <v>243</v>
      </c>
      <c r="I91" s="63" t="n">
        <f aca="false">IF(H91="","",G91-H91)</f>
        <v>5</v>
      </c>
      <c r="J91" s="52" t="n">
        <f aca="false">IF(OR(D91="",D91+G91=0),"",D91/(D91+G91))</f>
        <v>0.581081081081081</v>
      </c>
      <c r="K91" s="52" t="n">
        <f aca="false">IF(E91="","",E91/(E91+H91))</f>
        <v>0.588135593220339</v>
      </c>
      <c r="L91" s="64" t="n">
        <f aca="false">IF(OR(K91="",J91=""),"",(J91-K91)*100)</f>
        <v>-0.705451213925801</v>
      </c>
      <c r="M91" s="21"/>
    </row>
    <row r="92" customFormat="false" ht="15" hidden="false" customHeight="false" outlineLevel="0" collapsed="false">
      <c r="A92" s="21" t="s">
        <v>189</v>
      </c>
      <c r="B92" s="21" t="s">
        <v>191</v>
      </c>
      <c r="C92" s="21" t="s">
        <v>232</v>
      </c>
      <c r="D92" s="37" t="n">
        <v>477</v>
      </c>
      <c r="E92" s="37" t="n">
        <v>440</v>
      </c>
      <c r="F92" s="63" t="n">
        <f aca="false">IF(E92="","",D92-E92)</f>
        <v>37</v>
      </c>
      <c r="G92" s="37" t="n">
        <v>239</v>
      </c>
      <c r="H92" s="37" t="n">
        <v>259</v>
      </c>
      <c r="I92" s="63" t="n">
        <f aca="false">IF(H92="","",G92-H92)</f>
        <v>-20</v>
      </c>
      <c r="J92" s="52" t="n">
        <f aca="false">IF(OR(D92="",D92+G92=0),"",D92/(D92+G92))</f>
        <v>0.666201117318436</v>
      </c>
      <c r="K92" s="52" t="n">
        <f aca="false">IF(E92="","",E92/(E92+H92))</f>
        <v>0.629470672389127</v>
      </c>
      <c r="L92" s="64" t="n">
        <f aca="false">IF(OR(K92="",J92=""),"",(J92-K92)*100)</f>
        <v>3.67304449293084</v>
      </c>
      <c r="M92" s="21"/>
    </row>
    <row r="93" customFormat="false" ht="15" hidden="false" customHeight="false" outlineLevel="0" collapsed="false">
      <c r="A93" s="21" t="s">
        <v>189</v>
      </c>
      <c r="B93" s="21" t="s">
        <v>191</v>
      </c>
      <c r="C93" s="21" t="s">
        <v>233</v>
      </c>
      <c r="D93" s="37" t="n">
        <v>564</v>
      </c>
      <c r="E93" s="37" t="n">
        <v>553</v>
      </c>
      <c r="F93" s="63" t="n">
        <f aca="false">IF(E93="","",D93-E93)</f>
        <v>11</v>
      </c>
      <c r="G93" s="37" t="n">
        <v>409</v>
      </c>
      <c r="H93" s="37" t="n">
        <v>367</v>
      </c>
      <c r="I93" s="63" t="n">
        <f aca="false">IF(H93="","",G93-H93)</f>
        <v>42</v>
      </c>
      <c r="J93" s="52" t="n">
        <f aca="false">IF(OR(D93="",D93+G93=0),"",D93/(D93+G93))</f>
        <v>0.579650565262076</v>
      </c>
      <c r="K93" s="52" t="n">
        <f aca="false">IF(E93="","",E93/(E93+H93))</f>
        <v>0.601086956521739</v>
      </c>
      <c r="L93" s="64" t="n">
        <f aca="false">IF(OR(K93="",J93=""),"",(J93-K93)*100)</f>
        <v>-2.14363912596631</v>
      </c>
      <c r="M93" s="21"/>
    </row>
    <row r="94" customFormat="false" ht="15" hidden="false" customHeight="false" outlineLevel="0" collapsed="false">
      <c r="A94" s="21" t="s">
        <v>189</v>
      </c>
      <c r="B94" s="21" t="s">
        <v>191</v>
      </c>
      <c r="C94" s="21" t="s">
        <v>234</v>
      </c>
      <c r="D94" s="37" t="n">
        <v>1</v>
      </c>
      <c r="E94" s="37"/>
      <c r="F94" s="63" t="str">
        <f aca="false">IF(E94="","",D94-E94)</f>
        <v/>
      </c>
      <c r="G94" s="37" t="n">
        <v>2</v>
      </c>
      <c r="H94" s="37"/>
      <c r="I94" s="63" t="str">
        <f aca="false">IF(H94="","",G94-H94)</f>
        <v/>
      </c>
      <c r="J94" s="52" t="n">
        <f aca="false">IF(OR(D94="",D94+G94=0),"",D94/(D94+G94))</f>
        <v>0.333333333333333</v>
      </c>
      <c r="K94" s="52" t="str">
        <f aca="false">IF(E94="","",E94/(E94+H94))</f>
        <v/>
      </c>
      <c r="L94" s="64" t="str">
        <f aca="false">IF(OR(K94="",J94=""),"",(J94-K94)*100)</f>
        <v/>
      </c>
      <c r="M94" s="21" t="s">
        <v>685</v>
      </c>
    </row>
    <row r="95" customFormat="false" ht="15" hidden="false" customHeight="false" outlineLevel="0" collapsed="false">
      <c r="A95" s="21" t="s">
        <v>189</v>
      </c>
      <c r="B95" s="21" t="s">
        <v>191</v>
      </c>
      <c r="C95" s="21" t="s">
        <v>235</v>
      </c>
      <c r="D95" s="37" t="n">
        <v>858</v>
      </c>
      <c r="E95" s="37" t="n">
        <v>821</v>
      </c>
      <c r="F95" s="63" t="n">
        <f aca="false">IF(E95="","",D95-E95)</f>
        <v>37</v>
      </c>
      <c r="G95" s="37" t="n">
        <v>520</v>
      </c>
      <c r="H95" s="37" t="n">
        <v>504</v>
      </c>
      <c r="I95" s="63" t="n">
        <f aca="false">IF(H95="","",G95-H95)</f>
        <v>16</v>
      </c>
      <c r="J95" s="52" t="n">
        <f aca="false">IF(OR(D95="",D95+G95=0),"",D95/(D95+G95))</f>
        <v>0.622641509433962</v>
      </c>
      <c r="K95" s="52" t="n">
        <f aca="false">IF(E95="","",E95/(E95+H95))</f>
        <v>0.619622641509434</v>
      </c>
      <c r="L95" s="64" t="n">
        <f aca="false">IF(OR(K95="",J95=""),"",(J95-K95)*100)</f>
        <v>0.301886792452832</v>
      </c>
      <c r="M95" s="21"/>
    </row>
    <row r="96" customFormat="false" ht="15" hidden="false" customHeight="false" outlineLevel="0" collapsed="false">
      <c r="A96" s="21" t="s">
        <v>189</v>
      </c>
      <c r="B96" s="21" t="s">
        <v>191</v>
      </c>
      <c r="C96" s="21" t="s">
        <v>236</v>
      </c>
      <c r="D96" s="37" t="n">
        <v>507</v>
      </c>
      <c r="E96" s="37" t="n">
        <v>487</v>
      </c>
      <c r="F96" s="63" t="n">
        <f aca="false">IF(E96="","",D96-E96)</f>
        <v>20</v>
      </c>
      <c r="G96" s="37" t="n">
        <v>163</v>
      </c>
      <c r="H96" s="37" t="n">
        <v>191</v>
      </c>
      <c r="I96" s="63" t="n">
        <f aca="false">IF(H96="","",G96-H96)</f>
        <v>-28</v>
      </c>
      <c r="J96" s="52" t="n">
        <f aca="false">IF(OR(D96="",D96+G96=0),"",D96/(D96+G96))</f>
        <v>0.756716417910448</v>
      </c>
      <c r="K96" s="52" t="n">
        <f aca="false">IF(E96="","",E96/(E96+H96))</f>
        <v>0.718289085545723</v>
      </c>
      <c r="L96" s="64" t="n">
        <f aca="false">IF(OR(K96="",J96=""),"",(J96-K96)*100)</f>
        <v>3.84273323647251</v>
      </c>
      <c r="M96" s="21"/>
    </row>
    <row r="97" customFormat="false" ht="15" hidden="false" customHeight="false" outlineLevel="0" collapsed="false">
      <c r="A97" s="21" t="s">
        <v>189</v>
      </c>
      <c r="B97" s="21" t="s">
        <v>191</v>
      </c>
      <c r="C97" s="21" t="s">
        <v>237</v>
      </c>
      <c r="D97" s="37" t="n">
        <v>453</v>
      </c>
      <c r="E97" s="37" t="n">
        <v>418</v>
      </c>
      <c r="F97" s="63" t="n">
        <f aca="false">IF(E97="","",D97-E97)</f>
        <v>35</v>
      </c>
      <c r="G97" s="37" t="n">
        <v>179</v>
      </c>
      <c r="H97" s="37" t="n">
        <v>181</v>
      </c>
      <c r="I97" s="63" t="n">
        <f aca="false">IF(H97="","",G97-H97)</f>
        <v>-2</v>
      </c>
      <c r="J97" s="52" t="n">
        <f aca="false">IF(OR(D97="",D97+G97=0),"",D97/(D97+G97))</f>
        <v>0.716772151898734</v>
      </c>
      <c r="K97" s="52" t="n">
        <f aca="false">IF(E97="","",E97/(E97+H97))</f>
        <v>0.697829716193656</v>
      </c>
      <c r="L97" s="64" t="n">
        <f aca="false">IF(OR(K97="",J97=""),"",(J97-K97)*100)</f>
        <v>1.89424357050781</v>
      </c>
      <c r="M97" s="21"/>
    </row>
    <row r="98" customFormat="false" ht="15" hidden="false" customHeight="false" outlineLevel="0" collapsed="false">
      <c r="A98" s="21" t="s">
        <v>189</v>
      </c>
      <c r="B98" s="21" t="s">
        <v>191</v>
      </c>
      <c r="C98" s="21" t="s">
        <v>238</v>
      </c>
      <c r="D98" s="37" t="n">
        <v>632</v>
      </c>
      <c r="E98" s="37" t="n">
        <v>677</v>
      </c>
      <c r="F98" s="63" t="n">
        <f aca="false">IF(E98="","",D98-E98)</f>
        <v>-45</v>
      </c>
      <c r="G98" s="37" t="n">
        <v>234</v>
      </c>
      <c r="H98" s="37" t="n">
        <v>264</v>
      </c>
      <c r="I98" s="63" t="n">
        <f aca="false">IF(H98="","",G98-H98)</f>
        <v>-30</v>
      </c>
      <c r="J98" s="52" t="n">
        <f aca="false">IF(OR(D98="",D98+G98=0),"",D98/(D98+G98))</f>
        <v>0.729792147806005</v>
      </c>
      <c r="K98" s="52" t="n">
        <f aca="false">IF(E98="","",E98/(E98+H98))</f>
        <v>0.719447396386823</v>
      </c>
      <c r="L98" s="64" t="n">
        <f aca="false">IF(OR(K98="",J98=""),"",(J98-K98)*100)</f>
        <v>1.03447514191821</v>
      </c>
      <c r="M98" s="21"/>
    </row>
    <row r="99" customFormat="false" ht="15" hidden="false" customHeight="false" outlineLevel="0" collapsed="false">
      <c r="A99" s="21" t="s">
        <v>189</v>
      </c>
      <c r="B99" s="21" t="s">
        <v>191</v>
      </c>
      <c r="C99" s="21" t="s">
        <v>239</v>
      </c>
      <c r="D99" s="37" t="n">
        <v>292</v>
      </c>
      <c r="E99" s="37" t="n">
        <v>283</v>
      </c>
      <c r="F99" s="63" t="n">
        <f aca="false">IF(E99="","",D99-E99)</f>
        <v>9</v>
      </c>
      <c r="G99" s="37" t="n">
        <v>120</v>
      </c>
      <c r="H99" s="37" t="n">
        <v>138</v>
      </c>
      <c r="I99" s="63" t="n">
        <f aca="false">IF(H99="","",G99-H99)</f>
        <v>-18</v>
      </c>
      <c r="J99" s="52" t="n">
        <f aca="false">IF(OR(D99="",D99+G99=0),"",D99/(D99+G99))</f>
        <v>0.70873786407767</v>
      </c>
      <c r="K99" s="52" t="n">
        <f aca="false">IF(E99="","",E99/(E99+H99))</f>
        <v>0.672209026128266</v>
      </c>
      <c r="L99" s="64" t="n">
        <f aca="false">IF(OR(K99="",J99=""),"",(J99-K99)*100)</f>
        <v>3.65288379494039</v>
      </c>
      <c r="M99" s="21"/>
    </row>
    <row r="100" customFormat="false" ht="15" hidden="false" customHeight="false" outlineLevel="0" collapsed="false">
      <c r="A100" s="21" t="s">
        <v>189</v>
      </c>
      <c r="B100" s="21" t="s">
        <v>191</v>
      </c>
      <c r="C100" s="21" t="s">
        <v>240</v>
      </c>
      <c r="D100" s="37" t="n">
        <v>457</v>
      </c>
      <c r="E100" s="37" t="n">
        <v>447</v>
      </c>
      <c r="F100" s="63" t="n">
        <f aca="false">IF(E100="","",D100-E100)</f>
        <v>10</v>
      </c>
      <c r="G100" s="37" t="n">
        <v>153</v>
      </c>
      <c r="H100" s="37" t="n">
        <v>152</v>
      </c>
      <c r="I100" s="63" t="n">
        <f aca="false">IF(H100="","",G100-H100)</f>
        <v>1</v>
      </c>
      <c r="J100" s="52" t="n">
        <f aca="false">IF(OR(D100="",D100+G100=0),"",D100/(D100+G100))</f>
        <v>0.749180327868853</v>
      </c>
      <c r="K100" s="52" t="n">
        <f aca="false">IF(E100="","",E100/(E100+H100))</f>
        <v>0.746243739565943</v>
      </c>
      <c r="L100" s="64" t="n">
        <f aca="false">IF(OR(K100="",J100=""),"",(J100-K100)*100)</f>
        <v>0.293658830290922</v>
      </c>
      <c r="M100" s="21"/>
    </row>
    <row r="101" customFormat="false" ht="15" hidden="false" customHeight="false" outlineLevel="0" collapsed="false">
      <c r="A101" s="21" t="s">
        <v>189</v>
      </c>
      <c r="B101" s="21" t="s">
        <v>191</v>
      </c>
      <c r="C101" s="21" t="s">
        <v>241</v>
      </c>
      <c r="D101" s="37" t="n">
        <v>233</v>
      </c>
      <c r="E101" s="37" t="n">
        <v>179</v>
      </c>
      <c r="F101" s="63" t="n">
        <f aca="false">IF(E101="","",D101-E101)</f>
        <v>54</v>
      </c>
      <c r="G101" s="37" t="n">
        <v>92</v>
      </c>
      <c r="H101" s="37" t="n">
        <v>112</v>
      </c>
      <c r="I101" s="63" t="n">
        <f aca="false">IF(H101="","",G101-H101)</f>
        <v>-20</v>
      </c>
      <c r="J101" s="52" t="n">
        <f aca="false">IF(OR(D101="",D101+G101=0),"",D101/(D101+G101))</f>
        <v>0.716923076923077</v>
      </c>
      <c r="K101" s="52" t="n">
        <f aca="false">IF(E101="","",E101/(E101+H101))</f>
        <v>0.615120274914089</v>
      </c>
      <c r="L101" s="64" t="n">
        <f aca="false">IF(OR(K101="",J101=""),"",(J101-K101)*100)</f>
        <v>10.1802802008988</v>
      </c>
      <c r="M101" s="21"/>
    </row>
    <row r="102" customFormat="false" ht="15" hidden="false" customHeight="false" outlineLevel="0" collapsed="false">
      <c r="A102" s="21" t="s">
        <v>189</v>
      </c>
      <c r="B102" s="21" t="s">
        <v>191</v>
      </c>
      <c r="C102" s="21" t="s">
        <v>242</v>
      </c>
      <c r="D102" s="37" t="n">
        <v>389</v>
      </c>
      <c r="E102" s="37" t="n">
        <v>357</v>
      </c>
      <c r="F102" s="63" t="n">
        <f aca="false">IF(E102="","",D102-E102)</f>
        <v>32</v>
      </c>
      <c r="G102" s="37" t="n">
        <v>179</v>
      </c>
      <c r="H102" s="37" t="n">
        <v>225</v>
      </c>
      <c r="I102" s="63" t="n">
        <f aca="false">IF(H102="","",G102-H102)</f>
        <v>-46</v>
      </c>
      <c r="J102" s="52" t="n">
        <f aca="false">IF(OR(D102="",D102+G102=0),"",D102/(D102+G102))</f>
        <v>0.684859154929578</v>
      </c>
      <c r="K102" s="52" t="n">
        <f aca="false">IF(E102="","",E102/(E102+H102))</f>
        <v>0.61340206185567</v>
      </c>
      <c r="L102" s="64" t="n">
        <f aca="false">IF(OR(K102="",J102=""),"",(J102-K102)*100)</f>
        <v>7.14570930739074</v>
      </c>
      <c r="M102" s="21"/>
    </row>
    <row r="103" customFormat="false" ht="15" hidden="false" customHeight="false" outlineLevel="0" collapsed="false">
      <c r="A103" s="21" t="s">
        <v>189</v>
      </c>
      <c r="B103" s="21" t="s">
        <v>191</v>
      </c>
      <c r="C103" s="21" t="s">
        <v>243</v>
      </c>
      <c r="D103" s="37" t="n">
        <v>573</v>
      </c>
      <c r="E103" s="37" t="n">
        <v>520</v>
      </c>
      <c r="F103" s="63" t="n">
        <f aca="false">IF(E103="","",D103-E103)</f>
        <v>53</v>
      </c>
      <c r="G103" s="37" t="n">
        <v>210</v>
      </c>
      <c r="H103" s="37" t="n">
        <v>193</v>
      </c>
      <c r="I103" s="63" t="n">
        <f aca="false">IF(H103="","",G103-H103)</f>
        <v>17</v>
      </c>
      <c r="J103" s="52" t="n">
        <f aca="false">IF(OR(D103="",D103+G103=0),"",D103/(D103+G103))</f>
        <v>0.731800766283525</v>
      </c>
      <c r="K103" s="52" t="n">
        <f aca="false">IF(E103="","",E103/(E103+H103))</f>
        <v>0.729312762973352</v>
      </c>
      <c r="L103" s="64" t="n">
        <f aca="false">IF(OR(K103="",J103=""),"",(J103-K103)*100)</f>
        <v>0.248800331017285</v>
      </c>
      <c r="M103" s="21"/>
    </row>
    <row r="104" customFormat="false" ht="15" hidden="false" customHeight="false" outlineLevel="0" collapsed="false">
      <c r="A104" s="21" t="s">
        <v>189</v>
      </c>
      <c r="B104" s="21" t="s">
        <v>191</v>
      </c>
      <c r="C104" s="21" t="s">
        <v>244</v>
      </c>
      <c r="D104" s="37" t="n">
        <v>224</v>
      </c>
      <c r="E104" s="37" t="n">
        <v>218</v>
      </c>
      <c r="F104" s="63" t="n">
        <f aca="false">IF(E104="","",D104-E104)</f>
        <v>6</v>
      </c>
      <c r="G104" s="37" t="n">
        <v>82</v>
      </c>
      <c r="H104" s="37" t="n">
        <v>86</v>
      </c>
      <c r="I104" s="63" t="n">
        <f aca="false">IF(H104="","",G104-H104)</f>
        <v>-4</v>
      </c>
      <c r="J104" s="52" t="n">
        <f aca="false">IF(OR(D104="",D104+G104=0),"",D104/(D104+G104))</f>
        <v>0.73202614379085</v>
      </c>
      <c r="K104" s="52" t="n">
        <f aca="false">IF(E104="","",E104/(E104+H104))</f>
        <v>0.717105263157895</v>
      </c>
      <c r="L104" s="64" t="n">
        <f aca="false">IF(OR(K104="",J104=""),"",(J104-K104)*100)</f>
        <v>1.49208806329549</v>
      </c>
      <c r="M104" s="21"/>
    </row>
    <row r="105" customFormat="false" ht="15" hidden="false" customHeight="false" outlineLevel="0" collapsed="false">
      <c r="A105" s="21" t="s">
        <v>189</v>
      </c>
      <c r="B105" s="21" t="s">
        <v>191</v>
      </c>
      <c r="C105" s="21" t="s">
        <v>245</v>
      </c>
      <c r="D105" s="37" t="n">
        <v>255</v>
      </c>
      <c r="E105" s="37" t="n">
        <v>262</v>
      </c>
      <c r="F105" s="63" t="n">
        <f aca="false">IF(E105="","",D105-E105)</f>
        <v>-7</v>
      </c>
      <c r="G105" s="37" t="n">
        <v>85</v>
      </c>
      <c r="H105" s="37" t="n">
        <v>109</v>
      </c>
      <c r="I105" s="63" t="n">
        <f aca="false">IF(H105="","",G105-H105)</f>
        <v>-24</v>
      </c>
      <c r="J105" s="52" t="n">
        <f aca="false">IF(OR(D105="",D105+G105=0),"",D105/(D105+G105))</f>
        <v>0.75</v>
      </c>
      <c r="K105" s="52" t="n">
        <f aca="false">IF(E105="","",E105/(E105+H105))</f>
        <v>0.706199460916442</v>
      </c>
      <c r="L105" s="64" t="n">
        <f aca="false">IF(OR(K105="",J105=""),"",(J105-K105)*100)</f>
        <v>4.3800539083558</v>
      </c>
      <c r="M105" s="21"/>
    </row>
    <row r="106" customFormat="false" ht="15" hidden="false" customHeight="false" outlineLevel="0" collapsed="false">
      <c r="A106" s="21" t="s">
        <v>189</v>
      </c>
      <c r="B106" s="21" t="s">
        <v>191</v>
      </c>
      <c r="C106" s="21" t="s">
        <v>246</v>
      </c>
      <c r="D106" s="37" t="n">
        <v>435</v>
      </c>
      <c r="E106" s="37" t="n">
        <v>424</v>
      </c>
      <c r="F106" s="63" t="n">
        <f aca="false">IF(E106="","",D106-E106)</f>
        <v>11</v>
      </c>
      <c r="G106" s="37" t="n">
        <v>150</v>
      </c>
      <c r="H106" s="37" t="n">
        <v>151</v>
      </c>
      <c r="I106" s="63" t="n">
        <f aca="false">IF(H106="","",G106-H106)</f>
        <v>-1</v>
      </c>
      <c r="J106" s="52" t="n">
        <f aca="false">IF(OR(D106="",D106+G106=0),"",D106/(D106+G106))</f>
        <v>0.743589743589744</v>
      </c>
      <c r="K106" s="52" t="n">
        <f aca="false">IF(E106="","",E106/(E106+H106))</f>
        <v>0.737391304347826</v>
      </c>
      <c r="L106" s="64" t="n">
        <f aca="false">IF(OR(K106="",J106=""),"",(J106-K106)*100)</f>
        <v>0.619843924191754</v>
      </c>
      <c r="M106" s="21"/>
    </row>
    <row r="107" customFormat="false" ht="15" hidden="false" customHeight="false" outlineLevel="0" collapsed="false">
      <c r="A107" s="21" t="s">
        <v>189</v>
      </c>
      <c r="B107" s="21" t="s">
        <v>191</v>
      </c>
      <c r="C107" s="21" t="s">
        <v>247</v>
      </c>
      <c r="D107" s="37" t="n">
        <v>532</v>
      </c>
      <c r="E107" s="37" t="n">
        <v>565</v>
      </c>
      <c r="F107" s="63" t="n">
        <f aca="false">IF(E107="","",D107-E107)</f>
        <v>-33</v>
      </c>
      <c r="G107" s="37" t="n">
        <v>274</v>
      </c>
      <c r="H107" s="37" t="n">
        <v>277</v>
      </c>
      <c r="I107" s="63" t="n">
        <f aca="false">IF(H107="","",G107-H107)</f>
        <v>-3</v>
      </c>
      <c r="J107" s="52" t="n">
        <f aca="false">IF(OR(D107="",D107+G107=0),"",D107/(D107+G107))</f>
        <v>0.660049627791563</v>
      </c>
      <c r="K107" s="52" t="n">
        <f aca="false">IF(E107="","",E107/(E107+H107))</f>
        <v>0.671021377672209</v>
      </c>
      <c r="L107" s="64" t="n">
        <f aca="false">IF(OR(K107="",J107=""),"",(J107-K107)*100)</f>
        <v>-1.09717498806458</v>
      </c>
      <c r="M107" s="21"/>
    </row>
    <row r="108" customFormat="false" ht="15" hidden="false" customHeight="false" outlineLevel="0" collapsed="false">
      <c r="A108" s="21" t="s">
        <v>189</v>
      </c>
      <c r="B108" s="21" t="s">
        <v>191</v>
      </c>
      <c r="C108" s="21" t="s">
        <v>248</v>
      </c>
      <c r="D108" s="37" t="n">
        <v>251</v>
      </c>
      <c r="E108" s="37" t="n">
        <v>260</v>
      </c>
      <c r="F108" s="63" t="n">
        <f aca="false">IF(E108="","",D108-E108)</f>
        <v>-9</v>
      </c>
      <c r="G108" s="37" t="n">
        <v>109</v>
      </c>
      <c r="H108" s="37" t="n">
        <v>121</v>
      </c>
      <c r="I108" s="63" t="n">
        <f aca="false">IF(H108="","",G108-H108)</f>
        <v>-12</v>
      </c>
      <c r="J108" s="52" t="n">
        <f aca="false">IF(OR(D108="",D108+G108=0),"",D108/(D108+G108))</f>
        <v>0.697222222222222</v>
      </c>
      <c r="K108" s="52" t="n">
        <f aca="false">IF(E108="","",E108/(E108+H108))</f>
        <v>0.68241469816273</v>
      </c>
      <c r="L108" s="64" t="n">
        <f aca="false">IF(OR(K108="",J108=""),"",(J108-K108)*100)</f>
        <v>1.48075240594925</v>
      </c>
      <c r="M108" s="21"/>
    </row>
    <row r="109" customFormat="false" ht="15" hidden="false" customHeight="false" outlineLevel="0" collapsed="false">
      <c r="A109" s="21" t="s">
        <v>189</v>
      </c>
      <c r="B109" s="21" t="s">
        <v>191</v>
      </c>
      <c r="C109" s="21" t="s">
        <v>249</v>
      </c>
      <c r="D109" s="37" t="n">
        <v>346</v>
      </c>
      <c r="E109" s="37" t="n">
        <v>317</v>
      </c>
      <c r="F109" s="63" t="n">
        <f aca="false">IF(E109="","",D109-E109)</f>
        <v>29</v>
      </c>
      <c r="G109" s="37" t="n">
        <v>130</v>
      </c>
      <c r="H109" s="37" t="n">
        <v>152</v>
      </c>
      <c r="I109" s="63" t="n">
        <f aca="false">IF(H109="","",G109-H109)</f>
        <v>-22</v>
      </c>
      <c r="J109" s="52" t="n">
        <f aca="false">IF(OR(D109="",D109+G109=0),"",D109/(D109+G109))</f>
        <v>0.726890756302521</v>
      </c>
      <c r="K109" s="52" t="n">
        <f aca="false">IF(E109="","",E109/(E109+H109))</f>
        <v>0.67590618336887</v>
      </c>
      <c r="L109" s="64" t="n">
        <f aca="false">IF(OR(K109="",J109=""),"",(J109-K109)*100)</f>
        <v>5.0984572933651</v>
      </c>
      <c r="M109" s="21"/>
    </row>
    <row r="110" customFormat="false" ht="15" hidden="false" customHeight="false" outlineLevel="0" collapsed="false">
      <c r="A110" s="21" t="s">
        <v>189</v>
      </c>
      <c r="B110" s="21" t="s">
        <v>191</v>
      </c>
      <c r="C110" s="21" t="s">
        <v>250</v>
      </c>
      <c r="D110" s="37" t="n">
        <v>425</v>
      </c>
      <c r="E110" s="37" t="n">
        <v>424</v>
      </c>
      <c r="F110" s="63" t="n">
        <f aca="false">IF(E110="","",D110-E110)</f>
        <v>1</v>
      </c>
      <c r="G110" s="37" t="n">
        <v>261</v>
      </c>
      <c r="H110" s="37" t="n">
        <v>264</v>
      </c>
      <c r="I110" s="63" t="n">
        <f aca="false">IF(H110="","",G110-H110)</f>
        <v>-3</v>
      </c>
      <c r="J110" s="52" t="n">
        <f aca="false">IF(OR(D110="",D110+G110=0),"",D110/(D110+G110))</f>
        <v>0.619533527696793</v>
      </c>
      <c r="K110" s="52" t="n">
        <f aca="false">IF(E110="","",E110/(E110+H110))</f>
        <v>0.616279069767442</v>
      </c>
      <c r="L110" s="64" t="n">
        <f aca="false">IF(OR(K110="",J110=""),"",(J110-K110)*100)</f>
        <v>0.32544579293512</v>
      </c>
      <c r="M110" s="21"/>
    </row>
    <row r="111" customFormat="false" ht="15" hidden="false" customHeight="false" outlineLevel="0" collapsed="false">
      <c r="A111" s="21" t="s">
        <v>189</v>
      </c>
      <c r="B111" s="21" t="s">
        <v>191</v>
      </c>
      <c r="C111" s="21" t="s">
        <v>251</v>
      </c>
      <c r="D111" s="37" t="n">
        <v>481</v>
      </c>
      <c r="E111" s="37" t="n">
        <v>469</v>
      </c>
      <c r="F111" s="63" t="n">
        <f aca="false">IF(E111="","",D111-E111)</f>
        <v>12</v>
      </c>
      <c r="G111" s="37" t="n">
        <v>166</v>
      </c>
      <c r="H111" s="37" t="n">
        <v>215</v>
      </c>
      <c r="I111" s="63" t="n">
        <f aca="false">IF(H111="","",G111-H111)</f>
        <v>-49</v>
      </c>
      <c r="J111" s="52" t="n">
        <f aca="false">IF(OR(D111="",D111+G111=0),"",D111/(D111+G111))</f>
        <v>0.743431221020093</v>
      </c>
      <c r="K111" s="52" t="n">
        <f aca="false">IF(E111="","",E111/(E111+H111))</f>
        <v>0.685672514619883</v>
      </c>
      <c r="L111" s="64" t="n">
        <f aca="false">IF(OR(K111="",J111=""),"",(J111-K111)*100)</f>
        <v>5.77587064002097</v>
      </c>
      <c r="M111" s="21"/>
    </row>
    <row r="112" customFormat="false" ht="15" hidden="false" customHeight="false" outlineLevel="0" collapsed="false">
      <c r="A112" s="21" t="s">
        <v>189</v>
      </c>
      <c r="B112" s="21" t="s">
        <v>252</v>
      </c>
      <c r="C112" s="21" t="s">
        <v>253</v>
      </c>
      <c r="D112" s="37" t="n">
        <v>612</v>
      </c>
      <c r="E112" s="37" t="n">
        <v>598</v>
      </c>
      <c r="F112" s="63" t="n">
        <f aca="false">IF(E112="","",D112-E112)</f>
        <v>14</v>
      </c>
      <c r="G112" s="37" t="n">
        <v>267</v>
      </c>
      <c r="H112" s="37" t="n">
        <v>253</v>
      </c>
      <c r="I112" s="63" t="n">
        <f aca="false">IF(H112="","",G112-H112)</f>
        <v>14</v>
      </c>
      <c r="J112" s="52" t="n">
        <f aca="false">IF(OR(D112="",D112+G112=0),"",D112/(D112+G112))</f>
        <v>0.696245733788396</v>
      </c>
      <c r="K112" s="52" t="n">
        <f aca="false">IF(E112="","",E112/(E112+H112))</f>
        <v>0.702702702702703</v>
      </c>
      <c r="L112" s="64" t="n">
        <f aca="false">IF(OR(K112="",J112=""),"",(J112-K112)*100)</f>
        <v>-0.64569689143068</v>
      </c>
      <c r="M112" s="21"/>
    </row>
    <row r="113" customFormat="false" ht="15" hidden="false" customHeight="false" outlineLevel="0" collapsed="false">
      <c r="A113" s="21" t="s">
        <v>189</v>
      </c>
      <c r="B113" s="21" t="s">
        <v>252</v>
      </c>
      <c r="C113" s="21" t="s">
        <v>254</v>
      </c>
      <c r="D113" s="37" t="n">
        <v>428</v>
      </c>
      <c r="E113" s="37" t="n">
        <v>420</v>
      </c>
      <c r="F113" s="63" t="n">
        <f aca="false">IF(E113="","",D113-E113)</f>
        <v>8</v>
      </c>
      <c r="G113" s="37" t="n">
        <v>222</v>
      </c>
      <c r="H113" s="37" t="n">
        <v>214</v>
      </c>
      <c r="I113" s="63" t="n">
        <f aca="false">IF(H113="","",G113-H113)</f>
        <v>8</v>
      </c>
      <c r="J113" s="52" t="n">
        <f aca="false">IF(OR(D113="",D113+G113=0),"",D113/(D113+G113))</f>
        <v>0.658461538461538</v>
      </c>
      <c r="K113" s="52" t="n">
        <f aca="false">IF(E113="","",E113/(E113+H113))</f>
        <v>0.662460567823344</v>
      </c>
      <c r="L113" s="64" t="n">
        <f aca="false">IF(OR(K113="",J113=""),"",(J113-K113)*100)</f>
        <v>-0.399902936180541</v>
      </c>
      <c r="M113" s="21"/>
    </row>
    <row r="114" customFormat="false" ht="15" hidden="false" customHeight="false" outlineLevel="0" collapsed="false">
      <c r="A114" s="21" t="s">
        <v>189</v>
      </c>
      <c r="B114" s="21" t="s">
        <v>252</v>
      </c>
      <c r="C114" s="21" t="s">
        <v>255</v>
      </c>
      <c r="D114" s="37" t="n">
        <v>443</v>
      </c>
      <c r="E114" s="37" t="n">
        <v>438</v>
      </c>
      <c r="F114" s="63" t="n">
        <f aca="false">IF(E114="","",D114-E114)</f>
        <v>5</v>
      </c>
      <c r="G114" s="37" t="n">
        <v>190</v>
      </c>
      <c r="H114" s="37" t="n">
        <v>176</v>
      </c>
      <c r="I114" s="63" t="n">
        <f aca="false">IF(H114="","",G114-H114)</f>
        <v>14</v>
      </c>
      <c r="J114" s="52" t="n">
        <f aca="false">IF(OR(D114="",D114+G114=0),"",D114/(D114+G114))</f>
        <v>0.699842022116904</v>
      </c>
      <c r="K114" s="52" t="n">
        <f aca="false">IF(E114="","",E114/(E114+H114))</f>
        <v>0.713355048859935</v>
      </c>
      <c r="L114" s="64" t="n">
        <f aca="false">IF(OR(K114="",J114=""),"",(J114-K114)*100)</f>
        <v>-1.35130267430312</v>
      </c>
      <c r="M114" s="21"/>
    </row>
    <row r="115" customFormat="false" ht="15" hidden="false" customHeight="false" outlineLevel="0" collapsed="false">
      <c r="A115" s="21" t="s">
        <v>189</v>
      </c>
      <c r="B115" s="21" t="s">
        <v>252</v>
      </c>
      <c r="C115" s="21" t="s">
        <v>256</v>
      </c>
      <c r="D115" s="37" t="n">
        <v>467</v>
      </c>
      <c r="E115" s="37" t="n">
        <v>463</v>
      </c>
      <c r="F115" s="63" t="n">
        <f aca="false">IF(E115="","",D115-E115)</f>
        <v>4</v>
      </c>
      <c r="G115" s="37" t="n">
        <v>221</v>
      </c>
      <c r="H115" s="37" t="n">
        <v>219</v>
      </c>
      <c r="I115" s="63" t="n">
        <f aca="false">IF(H115="","",G115-H115)</f>
        <v>2</v>
      </c>
      <c r="J115" s="52" t="n">
        <f aca="false">IF(OR(D115="",D115+G115=0),"",D115/(D115+G115))</f>
        <v>0.678779069767442</v>
      </c>
      <c r="K115" s="52" t="n">
        <f aca="false">IF(E115="","",E115/(E115+H115))</f>
        <v>0.678885630498534</v>
      </c>
      <c r="L115" s="64" t="n">
        <f aca="false">IF(OR(K115="",J115=""),"",(J115-K115)*100)</f>
        <v>-0.0106560731091832</v>
      </c>
      <c r="M115" s="21"/>
    </row>
    <row r="116" customFormat="false" ht="15" hidden="false" customHeight="false" outlineLevel="0" collapsed="false">
      <c r="A116" s="21" t="s">
        <v>189</v>
      </c>
      <c r="B116" s="21" t="s">
        <v>252</v>
      </c>
      <c r="C116" s="21" t="s">
        <v>257</v>
      </c>
      <c r="D116" s="37" t="n">
        <v>796</v>
      </c>
      <c r="E116" s="37" t="n">
        <v>782</v>
      </c>
      <c r="F116" s="63" t="n">
        <f aca="false">IF(E116="","",D116-E116)</f>
        <v>14</v>
      </c>
      <c r="G116" s="37" t="n">
        <v>467</v>
      </c>
      <c r="H116" s="37" t="n">
        <v>404</v>
      </c>
      <c r="I116" s="63" t="n">
        <f aca="false">IF(H116="","",G116-H116)</f>
        <v>63</v>
      </c>
      <c r="J116" s="52" t="n">
        <f aca="false">IF(OR(D116="",D116+G116=0),"",D116/(D116+G116))</f>
        <v>0.630245447347585</v>
      </c>
      <c r="K116" s="52" t="n">
        <f aca="false">IF(E116="","",E116/(E116+H116))</f>
        <v>0.659359190556492</v>
      </c>
      <c r="L116" s="64" t="n">
        <f aca="false">IF(OR(K116="",J116=""),"",(J116-K116)*100)</f>
        <v>-2.91137432089073</v>
      </c>
      <c r="M116" s="21"/>
    </row>
    <row r="117" customFormat="false" ht="15" hidden="false" customHeight="false" outlineLevel="0" collapsed="false">
      <c r="A117" s="21" t="s">
        <v>189</v>
      </c>
      <c r="B117" s="21" t="s">
        <v>252</v>
      </c>
      <c r="C117" s="21" t="s">
        <v>258</v>
      </c>
      <c r="D117" s="37" t="n">
        <v>525</v>
      </c>
      <c r="E117" s="37" t="n">
        <v>503</v>
      </c>
      <c r="F117" s="63" t="n">
        <f aca="false">IF(E117="","",D117-E117)</f>
        <v>22</v>
      </c>
      <c r="G117" s="37" t="n">
        <v>318</v>
      </c>
      <c r="H117" s="37" t="n">
        <v>318</v>
      </c>
      <c r="I117" s="63" t="n">
        <f aca="false">IF(H117="","",G117-H117)</f>
        <v>0</v>
      </c>
      <c r="J117" s="52" t="n">
        <f aca="false">IF(OR(D117="",D117+G117=0),"",D117/(D117+G117))</f>
        <v>0.622775800711744</v>
      </c>
      <c r="K117" s="52" t="n">
        <f aca="false">IF(E117="","",E117/(E117+H117))</f>
        <v>0.612667478684531</v>
      </c>
      <c r="L117" s="64" t="n">
        <f aca="false">IF(OR(K117="",J117=""),"",(J117-K117)*100)</f>
        <v>1.01083220272127</v>
      </c>
      <c r="M117" s="21"/>
    </row>
    <row r="118" customFormat="false" ht="15" hidden="false" customHeight="false" outlineLevel="0" collapsed="false">
      <c r="A118" s="21" t="s">
        <v>189</v>
      </c>
      <c r="B118" s="21" t="s">
        <v>252</v>
      </c>
      <c r="C118" s="21" t="s">
        <v>259</v>
      </c>
      <c r="D118" s="37" t="n">
        <v>601</v>
      </c>
      <c r="E118" s="37" t="n">
        <v>597</v>
      </c>
      <c r="F118" s="63" t="n">
        <f aca="false">IF(E118="","",D118-E118)</f>
        <v>4</v>
      </c>
      <c r="G118" s="37" t="n">
        <v>432</v>
      </c>
      <c r="H118" s="37" t="n">
        <v>396</v>
      </c>
      <c r="I118" s="63" t="n">
        <f aca="false">IF(H118="","",G118-H118)</f>
        <v>36</v>
      </c>
      <c r="J118" s="52" t="n">
        <f aca="false">IF(OR(D118="",D118+G118=0),"",D118/(D118+G118))</f>
        <v>0.581800580832527</v>
      </c>
      <c r="K118" s="52" t="n">
        <f aca="false">IF(E118="","",E118/(E118+H118))</f>
        <v>0.601208459214502</v>
      </c>
      <c r="L118" s="64" t="n">
        <f aca="false">IF(OR(K118="",J118=""),"",(J118-K118)*100)</f>
        <v>-1.94078783819749</v>
      </c>
      <c r="M118" s="21"/>
    </row>
    <row r="119" customFormat="false" ht="15" hidden="false" customHeight="false" outlineLevel="0" collapsed="false">
      <c r="A119" s="21" t="s">
        <v>189</v>
      </c>
      <c r="B119" s="21" t="s">
        <v>252</v>
      </c>
      <c r="C119" s="21" t="s">
        <v>260</v>
      </c>
      <c r="D119" s="37" t="n">
        <v>656</v>
      </c>
      <c r="E119" s="37" t="n">
        <v>678</v>
      </c>
      <c r="F119" s="63" t="n">
        <f aca="false">IF(E119="","",D119-E119)</f>
        <v>-22</v>
      </c>
      <c r="G119" s="37" t="n">
        <v>451</v>
      </c>
      <c r="H119" s="37" t="n">
        <v>451</v>
      </c>
      <c r="I119" s="63" t="n">
        <f aca="false">IF(H119="","",G119-H119)</f>
        <v>0</v>
      </c>
      <c r="J119" s="52" t="n">
        <f aca="false">IF(OR(D119="",D119+G119=0),"",D119/(D119+G119))</f>
        <v>0.592592592592593</v>
      </c>
      <c r="K119" s="52" t="n">
        <f aca="false">IF(E119="","",E119/(E119+H119))</f>
        <v>0.600531443755536</v>
      </c>
      <c r="L119" s="64" t="n">
        <f aca="false">IF(OR(K119="",J119=""),"",(J119-K119)*100)</f>
        <v>-0.793885116294335</v>
      </c>
      <c r="M119" s="21"/>
    </row>
    <row r="120" customFormat="false" ht="15" hidden="false" customHeight="false" outlineLevel="0" collapsed="false">
      <c r="A120" s="21" t="s">
        <v>189</v>
      </c>
      <c r="B120" s="21" t="s">
        <v>252</v>
      </c>
      <c r="C120" s="21" t="s">
        <v>261</v>
      </c>
      <c r="D120" s="37" t="n">
        <v>521</v>
      </c>
      <c r="E120" s="37" t="n">
        <v>524</v>
      </c>
      <c r="F120" s="63" t="n">
        <f aca="false">IF(E120="","",D120-E120)</f>
        <v>-3</v>
      </c>
      <c r="G120" s="37" t="n">
        <v>344</v>
      </c>
      <c r="H120" s="37" t="n">
        <v>327</v>
      </c>
      <c r="I120" s="63" t="n">
        <f aca="false">IF(H120="","",G120-H120)</f>
        <v>17</v>
      </c>
      <c r="J120" s="52" t="n">
        <f aca="false">IF(OR(D120="",D120+G120=0),"",D120/(D120+G120))</f>
        <v>0.602312138728324</v>
      </c>
      <c r="K120" s="52" t="n">
        <f aca="false">IF(E120="","",E120/(E120+H120))</f>
        <v>0.615746180963572</v>
      </c>
      <c r="L120" s="64" t="n">
        <f aca="false">IF(OR(K120="",J120=""),"",(J120-K120)*100)</f>
        <v>-1.34340422352486</v>
      </c>
      <c r="M120" s="21"/>
    </row>
    <row r="121" customFormat="false" ht="15" hidden="false" customHeight="false" outlineLevel="0" collapsed="false">
      <c r="A121" s="21" t="s">
        <v>189</v>
      </c>
      <c r="B121" s="21" t="s">
        <v>252</v>
      </c>
      <c r="C121" s="21" t="s">
        <v>262</v>
      </c>
      <c r="D121" s="37" t="n">
        <v>416</v>
      </c>
      <c r="E121" s="37" t="n">
        <v>437</v>
      </c>
      <c r="F121" s="63" t="n">
        <f aca="false">IF(E121="","",D121-E121)</f>
        <v>-21</v>
      </c>
      <c r="G121" s="37" t="n">
        <v>329</v>
      </c>
      <c r="H121" s="37" t="n">
        <v>344</v>
      </c>
      <c r="I121" s="63" t="n">
        <f aca="false">IF(H121="","",G121-H121)</f>
        <v>-15</v>
      </c>
      <c r="J121" s="52" t="n">
        <f aca="false">IF(OR(D121="",D121+G121=0),"",D121/(D121+G121))</f>
        <v>0.558389261744966</v>
      </c>
      <c r="K121" s="52" t="n">
        <f aca="false">IF(E121="","",E121/(E121+H121))</f>
        <v>0.559539052496799</v>
      </c>
      <c r="L121" s="64" t="n">
        <f aca="false">IF(OR(K121="",J121=""),"",(J121-K121)*100)</f>
        <v>-0.114979075183264</v>
      </c>
      <c r="M121" s="21"/>
    </row>
    <row r="122" customFormat="false" ht="15" hidden="false" customHeight="false" outlineLevel="0" collapsed="false">
      <c r="A122" s="21" t="s">
        <v>189</v>
      </c>
      <c r="B122" s="21" t="s">
        <v>252</v>
      </c>
      <c r="C122" s="21" t="s">
        <v>263</v>
      </c>
      <c r="D122" s="37" t="n">
        <v>575</v>
      </c>
      <c r="E122" s="37" t="n">
        <v>581</v>
      </c>
      <c r="F122" s="63" t="n">
        <f aca="false">IF(E122="","",D122-E122)</f>
        <v>-6</v>
      </c>
      <c r="G122" s="37" t="n">
        <v>359</v>
      </c>
      <c r="H122" s="37" t="n">
        <v>342</v>
      </c>
      <c r="I122" s="63" t="n">
        <f aca="false">IF(H122="","",G122-H122)</f>
        <v>17</v>
      </c>
      <c r="J122" s="52" t="n">
        <f aca="false">IF(OR(D122="",D122+G122=0),"",D122/(D122+G122))</f>
        <v>0.615631691648822</v>
      </c>
      <c r="K122" s="52" t="n">
        <f aca="false">IF(E122="","",E122/(E122+H122))</f>
        <v>0.629469122426869</v>
      </c>
      <c r="L122" s="64" t="n">
        <f aca="false">IF(OR(K122="",J122=""),"",(J122-K122)*100)</f>
        <v>-1.38374307780467</v>
      </c>
      <c r="M122" s="21"/>
    </row>
    <row r="123" customFormat="false" ht="15" hidden="false" customHeight="false" outlineLevel="0" collapsed="false">
      <c r="A123" s="21" t="s">
        <v>189</v>
      </c>
      <c r="B123" s="21" t="s">
        <v>252</v>
      </c>
      <c r="C123" s="21" t="s">
        <v>264</v>
      </c>
      <c r="D123" s="37" t="n">
        <v>596</v>
      </c>
      <c r="E123" s="37" t="n">
        <v>591</v>
      </c>
      <c r="F123" s="63" t="n">
        <f aca="false">IF(E123="","",D123-E123)</f>
        <v>5</v>
      </c>
      <c r="G123" s="37" t="n">
        <v>413</v>
      </c>
      <c r="H123" s="37" t="n">
        <v>390</v>
      </c>
      <c r="I123" s="63" t="n">
        <f aca="false">IF(H123="","",G123-H123)</f>
        <v>23</v>
      </c>
      <c r="J123" s="52" t="n">
        <f aca="false">IF(OR(D123="",D123+G123=0),"",D123/(D123+G123))</f>
        <v>0.590683845391477</v>
      </c>
      <c r="K123" s="52" t="n">
        <f aca="false">IF(E123="","",E123/(E123+H123))</f>
        <v>0.602446483180428</v>
      </c>
      <c r="L123" s="64" t="n">
        <f aca="false">IF(OR(K123="",J123=""),"",(J123-K123)*100)</f>
        <v>-1.17626377889515</v>
      </c>
      <c r="M123" s="21"/>
    </row>
    <row r="124" customFormat="false" ht="15" hidden="false" customHeight="false" outlineLevel="0" collapsed="false">
      <c r="A124" s="21" t="s">
        <v>189</v>
      </c>
      <c r="B124" s="21" t="s">
        <v>265</v>
      </c>
      <c r="C124" s="21" t="s">
        <v>266</v>
      </c>
      <c r="D124" s="37" t="n">
        <v>542</v>
      </c>
      <c r="E124" s="37" t="n">
        <v>557</v>
      </c>
      <c r="F124" s="63" t="n">
        <f aca="false">IF(E124="","",D124-E124)</f>
        <v>-15</v>
      </c>
      <c r="G124" s="37" t="n">
        <v>419</v>
      </c>
      <c r="H124" s="37" t="n">
        <v>454</v>
      </c>
      <c r="I124" s="63" t="n">
        <f aca="false">IF(H124="","",G124-H124)</f>
        <v>-35</v>
      </c>
      <c r="J124" s="52" t="n">
        <f aca="false">IF(OR(D124="",D124+G124=0),"",D124/(D124+G124))</f>
        <v>0.563995837669095</v>
      </c>
      <c r="K124" s="52" t="n">
        <f aca="false">IF(E124="","",E124/(E124+H124))</f>
        <v>0.550939663699308</v>
      </c>
      <c r="L124" s="64" t="n">
        <f aca="false">IF(OR(K124="",J124=""),"",(J124-K124)*100)</f>
        <v>1.30561739697871</v>
      </c>
      <c r="M124" s="21"/>
    </row>
    <row r="125" customFormat="false" ht="15" hidden="false" customHeight="false" outlineLevel="0" collapsed="false">
      <c r="A125" s="21" t="s">
        <v>189</v>
      </c>
      <c r="B125" s="21" t="s">
        <v>265</v>
      </c>
      <c r="C125" s="21" t="s">
        <v>267</v>
      </c>
      <c r="D125" s="37" t="n">
        <v>524</v>
      </c>
      <c r="E125" s="37" t="n">
        <v>467</v>
      </c>
      <c r="F125" s="63" t="n">
        <f aca="false">IF(E125="","",D125-E125)</f>
        <v>57</v>
      </c>
      <c r="G125" s="37" t="n">
        <v>527</v>
      </c>
      <c r="H125" s="37" t="n">
        <v>513</v>
      </c>
      <c r="I125" s="63" t="n">
        <f aca="false">IF(H125="","",G125-H125)</f>
        <v>14</v>
      </c>
      <c r="J125" s="52" t="n">
        <f aca="false">IF(OR(D125="",D125+G125=0),"",D125/(D125+G125))</f>
        <v>0.498572787821123</v>
      </c>
      <c r="K125" s="52" t="n">
        <f aca="false">IF(E125="","",E125/(E125+H125))</f>
        <v>0.476530612244898</v>
      </c>
      <c r="L125" s="64" t="n">
        <f aca="false">IF(OR(K125="",J125=""),"",(J125-K125)*100)</f>
        <v>2.20421755762248</v>
      </c>
      <c r="M125" s="21"/>
    </row>
    <row r="126" customFormat="false" ht="15" hidden="false" customHeight="false" outlineLevel="0" collapsed="false">
      <c r="A126" s="21" t="s">
        <v>189</v>
      </c>
      <c r="B126" s="21" t="s">
        <v>265</v>
      </c>
      <c r="C126" s="21" t="s">
        <v>268</v>
      </c>
      <c r="D126" s="37" t="n">
        <v>557</v>
      </c>
      <c r="E126" s="37" t="n">
        <v>536</v>
      </c>
      <c r="F126" s="63" t="n">
        <f aca="false">IF(E126="","",D126-E126)</f>
        <v>21</v>
      </c>
      <c r="G126" s="37" t="n">
        <v>522</v>
      </c>
      <c r="H126" s="37" t="n">
        <v>524</v>
      </c>
      <c r="I126" s="63" t="n">
        <f aca="false">IF(H126="","",G126-H126)</f>
        <v>-2</v>
      </c>
      <c r="J126" s="52" t="n">
        <f aca="false">IF(OR(D126="",D126+G126=0),"",D126/(D126+G126))</f>
        <v>0.516218721037998</v>
      </c>
      <c r="K126" s="52" t="n">
        <f aca="false">IF(E126="","",E126/(E126+H126))</f>
        <v>0.505660377358491</v>
      </c>
      <c r="L126" s="64" t="n">
        <f aca="false">IF(OR(K126="",J126=""),"",(J126-K126)*100)</f>
        <v>1.05583436795076</v>
      </c>
      <c r="M126" s="21"/>
    </row>
    <row r="127" customFormat="false" ht="15" hidden="false" customHeight="false" outlineLevel="0" collapsed="false">
      <c r="A127" s="21" t="s">
        <v>189</v>
      </c>
      <c r="B127" s="21" t="s">
        <v>269</v>
      </c>
      <c r="C127" s="21" t="s">
        <v>269</v>
      </c>
      <c r="D127" s="37" t="n">
        <v>755</v>
      </c>
      <c r="E127" s="37" t="n">
        <v>735</v>
      </c>
      <c r="F127" s="63" t="n">
        <f aca="false">IF(E127="","",D127-E127)</f>
        <v>20</v>
      </c>
      <c r="G127" s="37" t="n">
        <v>817</v>
      </c>
      <c r="H127" s="37" t="n">
        <v>804</v>
      </c>
      <c r="I127" s="63" t="n">
        <f aca="false">IF(H127="","",G127-H127)</f>
        <v>13</v>
      </c>
      <c r="J127" s="52" t="n">
        <f aca="false">IF(OR(D127="",D127+G127=0),"",D127/(D127+G127))</f>
        <v>0.48027989821883</v>
      </c>
      <c r="K127" s="52" t="n">
        <f aca="false">IF(E127="","",E127/(E127+H127))</f>
        <v>0.477582846003899</v>
      </c>
      <c r="L127" s="64" t="n">
        <f aca="false">IF(OR(K127="",J127=""),"",(J127-K127)*100)</f>
        <v>0.269705221493088</v>
      </c>
      <c r="M127" s="21"/>
    </row>
    <row r="128" customFormat="false" ht="15" hidden="false" customHeight="false" outlineLevel="0" collapsed="false">
      <c r="A128" s="21" t="s">
        <v>189</v>
      </c>
      <c r="B128" s="21" t="s">
        <v>270</v>
      </c>
      <c r="C128" s="21" t="s">
        <v>271</v>
      </c>
      <c r="D128" s="37" t="n">
        <v>416</v>
      </c>
      <c r="E128" s="37" t="n">
        <v>372</v>
      </c>
      <c r="F128" s="63" t="n">
        <f aca="false">IF(E128="","",D128-E128)</f>
        <v>44</v>
      </c>
      <c r="G128" s="37" t="n">
        <v>391</v>
      </c>
      <c r="H128" s="37" t="n">
        <v>383</v>
      </c>
      <c r="I128" s="63" t="n">
        <f aca="false">IF(H128="","",G128-H128)</f>
        <v>8</v>
      </c>
      <c r="J128" s="52" t="n">
        <f aca="false">IF(OR(D128="",D128+G128=0),"",D128/(D128+G128))</f>
        <v>0.51548946716233</v>
      </c>
      <c r="K128" s="52" t="n">
        <f aca="false">IF(E128="","",E128/(E128+H128))</f>
        <v>0.492715231788079</v>
      </c>
      <c r="L128" s="64" t="n">
        <f aca="false">IF(OR(K128="",J128=""),"",(J128-K128)*100)</f>
        <v>2.27742353742501</v>
      </c>
      <c r="M128" s="21"/>
    </row>
    <row r="129" customFormat="false" ht="15" hidden="false" customHeight="false" outlineLevel="0" collapsed="false">
      <c r="A129" s="21" t="s">
        <v>189</v>
      </c>
      <c r="B129" s="21" t="s">
        <v>270</v>
      </c>
      <c r="C129" s="21" t="s">
        <v>272</v>
      </c>
      <c r="D129" s="37" t="n">
        <v>544</v>
      </c>
      <c r="E129" s="37" t="n">
        <v>527</v>
      </c>
      <c r="F129" s="63" t="n">
        <f aca="false">IF(E129="","",D129-E129)</f>
        <v>17</v>
      </c>
      <c r="G129" s="37" t="n">
        <v>487</v>
      </c>
      <c r="H129" s="37" t="n">
        <v>515</v>
      </c>
      <c r="I129" s="63" t="n">
        <f aca="false">IF(H129="","",G129-H129)</f>
        <v>-28</v>
      </c>
      <c r="J129" s="52" t="n">
        <f aca="false">IF(OR(D129="",D129+G129=0),"",D129/(D129+G129))</f>
        <v>0.527643064985451</v>
      </c>
      <c r="K129" s="52" t="n">
        <f aca="false">IF(E129="","",E129/(E129+H129))</f>
        <v>0.505758157389635</v>
      </c>
      <c r="L129" s="64" t="n">
        <f aca="false">IF(OR(K129="",J129=""),"",(J129-K129)*100)</f>
        <v>2.18849075958156</v>
      </c>
      <c r="M129" s="21"/>
    </row>
    <row r="130" customFormat="false" ht="15" hidden="false" customHeight="false" outlineLevel="0" collapsed="false">
      <c r="A130" s="21" t="s">
        <v>189</v>
      </c>
      <c r="B130" s="21" t="s">
        <v>273</v>
      </c>
      <c r="C130" s="21" t="s">
        <v>274</v>
      </c>
      <c r="D130" s="37" t="n">
        <v>568</v>
      </c>
      <c r="E130" s="37" t="n">
        <v>562</v>
      </c>
      <c r="F130" s="63" t="n">
        <f aca="false">IF(E130="","",D130-E130)</f>
        <v>6</v>
      </c>
      <c r="G130" s="37" t="n">
        <v>482</v>
      </c>
      <c r="H130" s="37" t="n">
        <v>497</v>
      </c>
      <c r="I130" s="63" t="n">
        <f aca="false">IF(H130="","",G130-H130)</f>
        <v>-15</v>
      </c>
      <c r="J130" s="52" t="n">
        <f aca="false">IF(OR(D130="",D130+G130=0),"",D130/(D130+G130))</f>
        <v>0.540952380952381</v>
      </c>
      <c r="K130" s="52" t="n">
        <f aca="false">IF(E130="","",E130/(E130+H130))</f>
        <v>0.530689329556185</v>
      </c>
      <c r="L130" s="64" t="n">
        <f aca="false">IF(OR(K130="",J130=""),"",(J130-K130)*100)</f>
        <v>1.02630513961959</v>
      </c>
      <c r="M130" s="21"/>
    </row>
    <row r="131" customFormat="false" ht="15" hidden="false" customHeight="false" outlineLevel="0" collapsed="false">
      <c r="A131" s="21" t="s">
        <v>189</v>
      </c>
      <c r="B131" s="21" t="s">
        <v>273</v>
      </c>
      <c r="C131" s="21" t="s">
        <v>275</v>
      </c>
      <c r="D131" s="37" t="n">
        <v>568</v>
      </c>
      <c r="E131" s="37" t="n">
        <v>566</v>
      </c>
      <c r="F131" s="63" t="n">
        <f aca="false">IF(E131="","",D131-E131)</f>
        <v>2</v>
      </c>
      <c r="G131" s="37" t="n">
        <v>511</v>
      </c>
      <c r="H131" s="37" t="n">
        <v>509</v>
      </c>
      <c r="I131" s="63" t="n">
        <f aca="false">IF(H131="","",G131-H131)</f>
        <v>2</v>
      </c>
      <c r="J131" s="52" t="n">
        <f aca="false">IF(OR(D131="",D131+G131=0),"",D131/(D131+G131))</f>
        <v>0.526413345690454</v>
      </c>
      <c r="K131" s="52" t="n">
        <f aca="false">IF(E131="","",E131/(E131+H131))</f>
        <v>0.526511627906977</v>
      </c>
      <c r="L131" s="64" t="n">
        <f aca="false">IF(OR(K131="",J131=""),"",(J131-K131)*100)</f>
        <v>-0.00982822165225272</v>
      </c>
      <c r="M131" s="21"/>
    </row>
    <row r="132" customFormat="false" ht="15" hidden="false" customHeight="false" outlineLevel="0" collapsed="false">
      <c r="A132" s="21" t="s">
        <v>189</v>
      </c>
      <c r="B132" s="21" t="s">
        <v>273</v>
      </c>
      <c r="C132" s="21" t="s">
        <v>276</v>
      </c>
      <c r="D132" s="37" t="n">
        <v>815</v>
      </c>
      <c r="E132" s="37" t="n">
        <v>826</v>
      </c>
      <c r="F132" s="63" t="n">
        <f aca="false">IF(E132="","",D132-E132)</f>
        <v>-11</v>
      </c>
      <c r="G132" s="37" t="n">
        <v>783</v>
      </c>
      <c r="H132" s="37" t="n">
        <v>801</v>
      </c>
      <c r="I132" s="63" t="n">
        <f aca="false">IF(H132="","",G132-H132)</f>
        <v>-18</v>
      </c>
      <c r="J132" s="52" t="n">
        <f aca="false">IF(OR(D132="",D132+G132=0),"",D132/(D132+G132))</f>
        <v>0.510012515644556</v>
      </c>
      <c r="K132" s="52" t="n">
        <f aca="false">IF(E132="","",E132/(E132+H132))</f>
        <v>0.507682851874616</v>
      </c>
      <c r="L132" s="64" t="n">
        <f aca="false">IF(OR(K132="",J132=""),"",(J132-K132)*100)</f>
        <v>0.232966376993993</v>
      </c>
      <c r="M132" s="21"/>
    </row>
    <row r="133" customFormat="false" ht="15" hidden="false" customHeight="false" outlineLevel="0" collapsed="false">
      <c r="A133" s="21" t="s">
        <v>189</v>
      </c>
      <c r="B133" s="21" t="s">
        <v>273</v>
      </c>
      <c r="C133" s="21" t="s">
        <v>277</v>
      </c>
      <c r="D133" s="37" t="n">
        <v>688</v>
      </c>
      <c r="E133" s="37" t="n">
        <v>686</v>
      </c>
      <c r="F133" s="63" t="n">
        <f aca="false">IF(E133="","",D133-E133)</f>
        <v>2</v>
      </c>
      <c r="G133" s="37" t="n">
        <v>568</v>
      </c>
      <c r="H133" s="37" t="n">
        <v>580</v>
      </c>
      <c r="I133" s="63" t="n">
        <f aca="false">IF(H133="","",G133-H133)</f>
        <v>-12</v>
      </c>
      <c r="J133" s="52" t="n">
        <f aca="false">IF(OR(D133="",D133+G133=0),"",D133/(D133+G133))</f>
        <v>0.547770700636943</v>
      </c>
      <c r="K133" s="52" t="n">
        <f aca="false">IF(E133="","",E133/(E133+H133))</f>
        <v>0.541864139020537</v>
      </c>
      <c r="L133" s="64" t="n">
        <f aca="false">IF(OR(K133="",J133=""),"",(J133-K133)*100)</f>
        <v>0.590656161640557</v>
      </c>
      <c r="M133" s="21"/>
    </row>
    <row r="134" customFormat="false" ht="15" hidden="false" customHeight="false" outlineLevel="0" collapsed="false">
      <c r="A134" s="21" t="s">
        <v>189</v>
      </c>
      <c r="B134" s="21" t="s">
        <v>273</v>
      </c>
      <c r="C134" s="21" t="s">
        <v>278</v>
      </c>
      <c r="D134" s="37" t="n">
        <v>347</v>
      </c>
      <c r="E134" s="37" t="n">
        <v>332</v>
      </c>
      <c r="F134" s="63" t="n">
        <f aca="false">IF(E134="","",D134-E134)</f>
        <v>15</v>
      </c>
      <c r="G134" s="37" t="n">
        <v>333</v>
      </c>
      <c r="H134" s="37" t="n">
        <v>340</v>
      </c>
      <c r="I134" s="63" t="n">
        <f aca="false">IF(H134="","",G134-H134)</f>
        <v>-7</v>
      </c>
      <c r="J134" s="52" t="n">
        <f aca="false">IF(OR(D134="",D134+G134=0),"",D134/(D134+G134))</f>
        <v>0.510294117647059</v>
      </c>
      <c r="K134" s="52" t="n">
        <f aca="false">IF(E134="","",E134/(E134+H134))</f>
        <v>0.494047619047619</v>
      </c>
      <c r="L134" s="64" t="n">
        <f aca="false">IF(OR(K134="",J134=""),"",(J134-K134)*100)</f>
        <v>1.62464985994397</v>
      </c>
      <c r="M134" s="21"/>
    </row>
    <row r="135" customFormat="false" ht="15" hidden="false" customHeight="false" outlineLevel="0" collapsed="false">
      <c r="A135" s="21" t="s">
        <v>189</v>
      </c>
      <c r="B135" s="21" t="s">
        <v>273</v>
      </c>
      <c r="C135" s="21" t="s">
        <v>279</v>
      </c>
      <c r="D135" s="37" t="n">
        <v>648</v>
      </c>
      <c r="E135" s="37" t="n">
        <v>691</v>
      </c>
      <c r="F135" s="63" t="n">
        <f aca="false">IF(E135="","",D135-E135)</f>
        <v>-43</v>
      </c>
      <c r="G135" s="37" t="n">
        <v>551</v>
      </c>
      <c r="H135" s="37" t="n">
        <v>509</v>
      </c>
      <c r="I135" s="63" t="n">
        <f aca="false">IF(H135="","",G135-H135)</f>
        <v>42</v>
      </c>
      <c r="J135" s="52" t="n">
        <f aca="false">IF(OR(D135="",D135+G135=0),"",D135/(D135+G135))</f>
        <v>0.540450375312761</v>
      </c>
      <c r="K135" s="52" t="n">
        <f aca="false">IF(E135="","",E135/(E135+H135))</f>
        <v>0.575833333333333</v>
      </c>
      <c r="L135" s="64" t="n">
        <f aca="false">IF(OR(K135="",J135=""),"",(J135-K135)*100)</f>
        <v>-3.53829580205727</v>
      </c>
      <c r="M135" s="21"/>
    </row>
    <row r="136" customFormat="false" ht="15" hidden="false" customHeight="false" outlineLevel="0" collapsed="false">
      <c r="A136" s="21" t="s">
        <v>189</v>
      </c>
      <c r="B136" s="21" t="s">
        <v>280</v>
      </c>
      <c r="C136" s="21" t="s">
        <v>281</v>
      </c>
      <c r="D136" s="37" t="n">
        <v>644</v>
      </c>
      <c r="E136" s="37" t="n">
        <v>579</v>
      </c>
      <c r="F136" s="63" t="n">
        <f aca="false">IF(E136="","",D136-E136)</f>
        <v>65</v>
      </c>
      <c r="G136" s="37" t="n">
        <v>298</v>
      </c>
      <c r="H136" s="37" t="n">
        <v>292</v>
      </c>
      <c r="I136" s="63" t="n">
        <f aca="false">IF(H136="","",G136-H136)</f>
        <v>6</v>
      </c>
      <c r="J136" s="52" t="n">
        <f aca="false">IF(OR(D136="",D136+G136=0),"",D136/(D136+G136))</f>
        <v>0.683651804670913</v>
      </c>
      <c r="K136" s="52" t="n">
        <f aca="false">IF(E136="","",E136/(E136+H136))</f>
        <v>0.664753157290471</v>
      </c>
      <c r="L136" s="64" t="n">
        <f aca="false">IF(OR(K136="",J136=""),"",(J136-K136)*100)</f>
        <v>1.88986473804422</v>
      </c>
      <c r="M136" s="21"/>
    </row>
    <row r="137" customFormat="false" ht="15" hidden="false" customHeight="false" outlineLevel="0" collapsed="false">
      <c r="A137" s="21" t="s">
        <v>189</v>
      </c>
      <c r="B137" s="21" t="s">
        <v>280</v>
      </c>
      <c r="C137" s="21" t="s">
        <v>282</v>
      </c>
      <c r="D137" s="37" t="n">
        <v>458</v>
      </c>
      <c r="E137" s="37" t="n">
        <v>440</v>
      </c>
      <c r="F137" s="63" t="n">
        <f aca="false">IF(E137="","",D137-E137)</f>
        <v>18</v>
      </c>
      <c r="G137" s="37" t="n">
        <v>259</v>
      </c>
      <c r="H137" s="37" t="n">
        <v>262</v>
      </c>
      <c r="I137" s="63" t="n">
        <f aca="false">IF(H137="","",G137-H137)</f>
        <v>-3</v>
      </c>
      <c r="J137" s="52" t="n">
        <f aca="false">IF(OR(D137="",D137+G137=0),"",D137/(D137+G137))</f>
        <v>0.638772663877266</v>
      </c>
      <c r="K137" s="52" t="n">
        <f aca="false">IF(E137="","",E137/(E137+H137))</f>
        <v>0.626780626780627</v>
      </c>
      <c r="L137" s="64" t="n">
        <f aca="false">IF(OR(K137="",J137=""),"",(J137-K137)*100)</f>
        <v>1.19920370966397</v>
      </c>
      <c r="M137" s="21"/>
    </row>
    <row r="138" customFormat="false" ht="15" hidden="false" customHeight="false" outlineLevel="0" collapsed="false">
      <c r="A138" s="21" t="s">
        <v>189</v>
      </c>
      <c r="B138" s="21" t="s">
        <v>280</v>
      </c>
      <c r="C138" s="21" t="s">
        <v>283</v>
      </c>
      <c r="D138" s="37" t="n">
        <v>447</v>
      </c>
      <c r="E138" s="37" t="n">
        <v>414</v>
      </c>
      <c r="F138" s="63" t="n">
        <f aca="false">IF(E138="","",D138-E138)</f>
        <v>33</v>
      </c>
      <c r="G138" s="37" t="n">
        <v>234</v>
      </c>
      <c r="H138" s="37" t="n">
        <v>239</v>
      </c>
      <c r="I138" s="63" t="n">
        <f aca="false">IF(H138="","",G138-H138)</f>
        <v>-5</v>
      </c>
      <c r="J138" s="52" t="n">
        <f aca="false">IF(OR(D138="",D138+G138=0),"",D138/(D138+G138))</f>
        <v>0.656387665198238</v>
      </c>
      <c r="K138" s="52" t="n">
        <f aca="false">IF(E138="","",E138/(E138+H138))</f>
        <v>0.633996937212864</v>
      </c>
      <c r="L138" s="64" t="n">
        <f aca="false">IF(OR(K138="",J138=""),"",(J138-K138)*100)</f>
        <v>2.23907279853742</v>
      </c>
      <c r="M138" s="21"/>
    </row>
    <row r="139" customFormat="false" ht="15" hidden="false" customHeight="false" outlineLevel="0" collapsed="false">
      <c r="A139" s="21" t="s">
        <v>189</v>
      </c>
      <c r="B139" s="21" t="s">
        <v>284</v>
      </c>
      <c r="C139" s="21" t="s">
        <v>284</v>
      </c>
      <c r="D139" s="37" t="n">
        <v>409</v>
      </c>
      <c r="E139" s="37" t="n">
        <v>379</v>
      </c>
      <c r="F139" s="63" t="n">
        <f aca="false">IF(E139="","",D139-E139)</f>
        <v>30</v>
      </c>
      <c r="G139" s="37" t="n">
        <v>332</v>
      </c>
      <c r="H139" s="37" t="n">
        <v>330</v>
      </c>
      <c r="I139" s="63" t="n">
        <f aca="false">IF(H139="","",G139-H139)</f>
        <v>2</v>
      </c>
      <c r="J139" s="52" t="n">
        <f aca="false">IF(OR(D139="",D139+G139=0),"",D139/(D139+G139))</f>
        <v>0.55195681511471</v>
      </c>
      <c r="K139" s="52" t="n">
        <f aca="false">IF(E139="","",E139/(E139+H139))</f>
        <v>0.534555712270804</v>
      </c>
      <c r="L139" s="64" t="n">
        <f aca="false">IF(OR(K139="",J139=""),"",(J139-K139)*100)</f>
        <v>1.74011028439059</v>
      </c>
      <c r="M139" s="21"/>
    </row>
    <row r="140" customFormat="false" ht="15" hidden="false" customHeight="false" outlineLevel="0" collapsed="false">
      <c r="A140" s="21" t="s">
        <v>189</v>
      </c>
      <c r="B140" s="21" t="s">
        <v>285</v>
      </c>
      <c r="C140" s="21" t="s">
        <v>285</v>
      </c>
      <c r="D140" s="37" t="n">
        <v>605</v>
      </c>
      <c r="E140" s="37" t="n">
        <v>654</v>
      </c>
      <c r="F140" s="63" t="n">
        <f aca="false">IF(E140="","",D140-E140)</f>
        <v>-49</v>
      </c>
      <c r="G140" s="37" t="n">
        <v>1453</v>
      </c>
      <c r="H140" s="37" t="n">
        <v>1439</v>
      </c>
      <c r="I140" s="63" t="n">
        <f aca="false">IF(H140="","",G140-H140)</f>
        <v>14</v>
      </c>
      <c r="J140" s="52" t="n">
        <f aca="false">IF(OR(D140="",D140+G140=0),"",D140/(D140+G140))</f>
        <v>0.293974732750243</v>
      </c>
      <c r="K140" s="52" t="n">
        <f aca="false">IF(E140="","",E140/(E140+H140))</f>
        <v>0.312470138557095</v>
      </c>
      <c r="L140" s="64" t="n">
        <f aca="false">IF(OR(K140="",J140=""),"",(J140-K140)*100)</f>
        <v>-1.84954058068522</v>
      </c>
      <c r="M140" s="21"/>
    </row>
    <row r="141" customFormat="false" ht="15" hidden="false" customHeight="false" outlineLevel="0" collapsed="false">
      <c r="A141" s="21" t="s">
        <v>189</v>
      </c>
      <c r="B141" s="21" t="s">
        <v>286</v>
      </c>
      <c r="C141" s="21" t="s">
        <v>287</v>
      </c>
      <c r="D141" s="37" t="n">
        <v>922</v>
      </c>
      <c r="E141" s="37" t="n">
        <v>928</v>
      </c>
      <c r="F141" s="63" t="n">
        <f aca="false">IF(E141="","",D141-E141)</f>
        <v>-6</v>
      </c>
      <c r="G141" s="37" t="n">
        <v>1014</v>
      </c>
      <c r="H141" s="37" t="n">
        <v>988</v>
      </c>
      <c r="I141" s="63" t="n">
        <f aca="false">IF(H141="","",G141-H141)</f>
        <v>26</v>
      </c>
      <c r="J141" s="52" t="n">
        <f aca="false">IF(OR(D141="",D141+G141=0),"",D141/(D141+G141))</f>
        <v>0.476239669421488</v>
      </c>
      <c r="K141" s="52" t="n">
        <f aca="false">IF(E141="","",E141/(E141+H141))</f>
        <v>0.484342379958246</v>
      </c>
      <c r="L141" s="64" t="n">
        <f aca="false">IF(OR(K141="",J141=""),"",(J141-K141)*100)</f>
        <v>-0.810271053675876</v>
      </c>
      <c r="M141" s="21"/>
    </row>
    <row r="142" customFormat="false" ht="15" hidden="false" customHeight="false" outlineLevel="0" collapsed="false">
      <c r="A142" s="21" t="s">
        <v>189</v>
      </c>
      <c r="B142" s="21" t="s">
        <v>286</v>
      </c>
      <c r="C142" s="21" t="s">
        <v>288</v>
      </c>
      <c r="D142" s="37" t="n">
        <v>1125</v>
      </c>
      <c r="E142" s="37" t="n">
        <v>1082</v>
      </c>
      <c r="F142" s="63" t="n">
        <f aca="false">IF(E142="","",D142-E142)</f>
        <v>43</v>
      </c>
      <c r="G142" s="37" t="n">
        <v>1130</v>
      </c>
      <c r="H142" s="37" t="n">
        <v>1101</v>
      </c>
      <c r="I142" s="63" t="n">
        <f aca="false">IF(H142="","",G142-H142)</f>
        <v>29</v>
      </c>
      <c r="J142" s="52" t="n">
        <f aca="false">IF(OR(D142="",D142+G142=0),"",D142/(D142+G142))</f>
        <v>0.498891352549889</v>
      </c>
      <c r="K142" s="52" t="n">
        <f aca="false">IF(E142="","",E142/(E142+H142))</f>
        <v>0.495648190563445</v>
      </c>
      <c r="L142" s="64" t="n">
        <f aca="false">IF(OR(K142="",J142=""),"",(J142-K142)*100)</f>
        <v>0.324316198644437</v>
      </c>
      <c r="M142" s="21"/>
    </row>
    <row r="143" customFormat="false" ht="15" hidden="false" customHeight="false" outlineLevel="0" collapsed="false">
      <c r="A143" s="21" t="s">
        <v>189</v>
      </c>
      <c r="B143" s="21" t="s">
        <v>286</v>
      </c>
      <c r="C143" s="21" t="s">
        <v>289</v>
      </c>
      <c r="D143" s="37" t="n">
        <v>1815</v>
      </c>
      <c r="E143" s="37" t="n">
        <v>1799</v>
      </c>
      <c r="F143" s="63" t="n">
        <f aca="false">IF(E143="","",D143-E143)</f>
        <v>16</v>
      </c>
      <c r="G143" s="37" t="n">
        <v>1900</v>
      </c>
      <c r="H143" s="37" t="n">
        <v>1810</v>
      </c>
      <c r="I143" s="63" t="n">
        <f aca="false">IF(H143="","",G143-H143)</f>
        <v>90</v>
      </c>
      <c r="J143" s="52" t="n">
        <f aca="false">IF(OR(D143="",D143+G143=0),"",D143/(D143+G143))</f>
        <v>0.488559892328398</v>
      </c>
      <c r="K143" s="52" t="n">
        <f aca="false">IF(E143="","",E143/(E143+H143))</f>
        <v>0.498476032141868</v>
      </c>
      <c r="L143" s="64" t="n">
        <f aca="false">IF(OR(K143="",J143=""),"",(J143-K143)*100)</f>
        <v>-0.991613981346917</v>
      </c>
      <c r="M143" s="21"/>
    </row>
    <row r="144" customFormat="false" ht="15" hidden="false" customHeight="false" outlineLevel="0" collapsed="false">
      <c r="A144" s="21" t="s">
        <v>189</v>
      </c>
      <c r="B144" s="21" t="s">
        <v>286</v>
      </c>
      <c r="C144" s="21" t="s">
        <v>290</v>
      </c>
      <c r="D144" s="37" t="n">
        <v>919</v>
      </c>
      <c r="E144" s="37" t="n">
        <v>906</v>
      </c>
      <c r="F144" s="63" t="n">
        <f aca="false">IF(E144="","",D144-E144)</f>
        <v>13</v>
      </c>
      <c r="G144" s="37" t="n">
        <v>971</v>
      </c>
      <c r="H144" s="37" t="n">
        <v>980</v>
      </c>
      <c r="I144" s="63" t="n">
        <f aca="false">IF(H144="","",G144-H144)</f>
        <v>-9</v>
      </c>
      <c r="J144" s="52" t="n">
        <f aca="false">IF(OR(D144="",D144+G144=0),"",D144/(D144+G144))</f>
        <v>0.486243386243386</v>
      </c>
      <c r="K144" s="52" t="n">
        <f aca="false">IF(E144="","",E144/(E144+H144))</f>
        <v>0.480381760339343</v>
      </c>
      <c r="L144" s="64" t="n">
        <f aca="false">IF(OR(K144="",J144=""),"",(J144-K144)*100)</f>
        <v>0.586162590404371</v>
      </c>
      <c r="M144" s="21"/>
    </row>
    <row r="145" customFormat="false" ht="15" hidden="false" customHeight="false" outlineLevel="0" collapsed="false">
      <c r="A145" s="21" t="s">
        <v>189</v>
      </c>
      <c r="B145" s="21" t="s">
        <v>286</v>
      </c>
      <c r="C145" s="21" t="s">
        <v>291</v>
      </c>
      <c r="D145" s="37" t="n">
        <v>873</v>
      </c>
      <c r="E145" s="37" t="n">
        <v>852</v>
      </c>
      <c r="F145" s="63" t="n">
        <f aca="false">IF(E145="","",D145-E145)</f>
        <v>21</v>
      </c>
      <c r="G145" s="37" t="n">
        <v>883</v>
      </c>
      <c r="H145" s="37" t="n">
        <v>912</v>
      </c>
      <c r="I145" s="63" t="n">
        <f aca="false">IF(H145="","",G145-H145)</f>
        <v>-29</v>
      </c>
      <c r="J145" s="52" t="n">
        <f aca="false">IF(OR(D145="",D145+G145=0),"",D145/(D145+G145))</f>
        <v>0.497152619589977</v>
      </c>
      <c r="K145" s="52" t="n">
        <f aca="false">IF(E145="","",E145/(E145+H145))</f>
        <v>0.482993197278912</v>
      </c>
      <c r="L145" s="64" t="n">
        <f aca="false">IF(OR(K145="",J145=""),"",(J145-K145)*100)</f>
        <v>1.41594223110657</v>
      </c>
      <c r="M145" s="21"/>
    </row>
    <row r="146" customFormat="false" ht="15" hidden="false" customHeight="false" outlineLevel="0" collapsed="false">
      <c r="A146" s="21" t="s">
        <v>189</v>
      </c>
      <c r="B146" s="21" t="s">
        <v>286</v>
      </c>
      <c r="C146" s="21" t="s">
        <v>292</v>
      </c>
      <c r="D146" s="37" t="n">
        <v>670</v>
      </c>
      <c r="E146" s="37" t="n">
        <v>715</v>
      </c>
      <c r="F146" s="63" t="n">
        <f aca="false">IF(E146="","",D146-E146)</f>
        <v>-45</v>
      </c>
      <c r="G146" s="37" t="n">
        <v>719</v>
      </c>
      <c r="H146" s="37" t="n">
        <v>677</v>
      </c>
      <c r="I146" s="63" t="n">
        <f aca="false">IF(H146="","",G146-H146)</f>
        <v>42</v>
      </c>
      <c r="J146" s="52" t="n">
        <f aca="false">IF(OR(D146="",D146+G146=0),"",D146/(D146+G146))</f>
        <v>0.482361411087113</v>
      </c>
      <c r="K146" s="52" t="n">
        <f aca="false">IF(E146="","",E146/(E146+H146))</f>
        <v>0.513649425287356</v>
      </c>
      <c r="L146" s="64" t="n">
        <f aca="false">IF(OR(K146="",J146=""),"",(J146-K146)*100)</f>
        <v>-3.12880142002433</v>
      </c>
      <c r="M146" s="21"/>
    </row>
    <row r="147" customFormat="false" ht="15" hidden="false" customHeight="false" outlineLevel="0" collapsed="false">
      <c r="A147" s="21" t="s">
        <v>189</v>
      </c>
      <c r="B147" s="21" t="s">
        <v>286</v>
      </c>
      <c r="C147" s="21" t="s">
        <v>293</v>
      </c>
      <c r="D147" s="37" t="n">
        <v>1606</v>
      </c>
      <c r="E147" s="37" t="n">
        <v>1480</v>
      </c>
      <c r="F147" s="63" t="n">
        <f aca="false">IF(E147="","",D147-E147)</f>
        <v>126</v>
      </c>
      <c r="G147" s="37" t="n">
        <v>1543</v>
      </c>
      <c r="H147" s="37" t="n">
        <v>1588</v>
      </c>
      <c r="I147" s="63" t="n">
        <f aca="false">IF(H147="","",G147-H147)</f>
        <v>-45</v>
      </c>
      <c r="J147" s="52" t="n">
        <f aca="false">IF(OR(D147="",D147+G147=0),"",D147/(D147+G147))</f>
        <v>0.510003175611305</v>
      </c>
      <c r="K147" s="52" t="n">
        <f aca="false">IF(E147="","",E147/(E147+H147))</f>
        <v>0.482398956975228</v>
      </c>
      <c r="L147" s="64" t="n">
        <f aca="false">IF(OR(K147="",J147=""),"",(J147-K147)*100)</f>
        <v>2.7604218636077</v>
      </c>
      <c r="M147" s="21"/>
    </row>
    <row r="148" customFormat="false" ht="15" hidden="false" customHeight="false" outlineLevel="0" collapsed="false">
      <c r="A148" s="21" t="s">
        <v>189</v>
      </c>
      <c r="B148" s="21" t="s">
        <v>286</v>
      </c>
      <c r="C148" s="21" t="s">
        <v>294</v>
      </c>
      <c r="D148" s="37" t="n">
        <v>872</v>
      </c>
      <c r="E148" s="37" t="n">
        <v>890</v>
      </c>
      <c r="F148" s="63" t="n">
        <f aca="false">IF(E148="","",D148-E148)</f>
        <v>-18</v>
      </c>
      <c r="G148" s="37" t="n">
        <v>817</v>
      </c>
      <c r="H148" s="37" t="n">
        <v>789</v>
      </c>
      <c r="I148" s="63" t="n">
        <f aca="false">IF(H148="","",G148-H148)</f>
        <v>28</v>
      </c>
      <c r="J148" s="52" t="n">
        <f aca="false">IF(OR(D148="",D148+G148=0),"",D148/(D148+G148))</f>
        <v>0.516281823564239</v>
      </c>
      <c r="K148" s="52" t="n">
        <f aca="false">IF(E148="","",E148/(E148+H148))</f>
        <v>0.530077427039905</v>
      </c>
      <c r="L148" s="64" t="n">
        <f aca="false">IF(OR(K148="",J148=""),"",(J148-K148)*100)</f>
        <v>-1.37956034756654</v>
      </c>
      <c r="M148" s="21"/>
    </row>
    <row r="149" customFormat="false" ht="15" hidden="false" customHeight="false" outlineLevel="0" collapsed="false">
      <c r="A149" s="21" t="s">
        <v>189</v>
      </c>
      <c r="B149" s="21" t="s">
        <v>286</v>
      </c>
      <c r="C149" s="21" t="s">
        <v>295</v>
      </c>
      <c r="D149" s="37" t="n">
        <v>783</v>
      </c>
      <c r="E149" s="37" t="n">
        <v>817</v>
      </c>
      <c r="F149" s="63" t="n">
        <f aca="false">IF(E149="","",D149-E149)</f>
        <v>-34</v>
      </c>
      <c r="G149" s="37" t="n">
        <v>800</v>
      </c>
      <c r="H149" s="37" t="n">
        <v>798</v>
      </c>
      <c r="I149" s="63" t="n">
        <f aca="false">IF(H149="","",G149-H149)</f>
        <v>2</v>
      </c>
      <c r="J149" s="52" t="n">
        <f aca="false">IF(OR(D149="",D149+G149=0),"",D149/(D149+G149))</f>
        <v>0.494630448515477</v>
      </c>
      <c r="K149" s="52" t="n">
        <f aca="false">IF(E149="","",E149/(E149+H149))</f>
        <v>0.505882352941176</v>
      </c>
      <c r="L149" s="64" t="n">
        <f aca="false">IF(OR(K149="",J149=""),"",(J149-K149)*100)</f>
        <v>-1.12519044256995</v>
      </c>
      <c r="M149" s="21"/>
    </row>
    <row r="150" customFormat="false" ht="15" hidden="false" customHeight="false" outlineLevel="0" collapsed="false">
      <c r="A150" s="21" t="s">
        <v>189</v>
      </c>
      <c r="B150" s="21" t="s">
        <v>286</v>
      </c>
      <c r="C150" s="21" t="s">
        <v>296</v>
      </c>
      <c r="D150" s="37" t="n">
        <v>565</v>
      </c>
      <c r="E150" s="37" t="n">
        <v>552</v>
      </c>
      <c r="F150" s="63" t="n">
        <f aca="false">IF(E150="","",D150-E150)</f>
        <v>13</v>
      </c>
      <c r="G150" s="37" t="n">
        <v>547</v>
      </c>
      <c r="H150" s="37" t="n">
        <v>556</v>
      </c>
      <c r="I150" s="63" t="n">
        <f aca="false">IF(H150="","",G150-H150)</f>
        <v>-9</v>
      </c>
      <c r="J150" s="52" t="n">
        <f aca="false">IF(OR(D150="",D150+G150=0),"",D150/(D150+G150))</f>
        <v>0.508093525179856</v>
      </c>
      <c r="K150" s="52" t="n">
        <f aca="false">IF(E150="","",E150/(E150+H150))</f>
        <v>0.498194945848375</v>
      </c>
      <c r="L150" s="64" t="n">
        <f aca="false">IF(OR(K150="",J150=""),"",(J150-K150)*100)</f>
        <v>0.989857933148064</v>
      </c>
      <c r="M150" s="21"/>
    </row>
    <row r="151" customFormat="false" ht="15" hidden="false" customHeight="false" outlineLevel="0" collapsed="false">
      <c r="A151" s="21" t="s">
        <v>189</v>
      </c>
      <c r="B151" s="21" t="s">
        <v>297</v>
      </c>
      <c r="C151" s="21" t="s">
        <v>297</v>
      </c>
      <c r="D151" s="37" t="n">
        <v>927</v>
      </c>
      <c r="E151" s="37" t="n">
        <v>985</v>
      </c>
      <c r="F151" s="63" t="n">
        <f aca="false">IF(E151="","",D151-E151)</f>
        <v>-58</v>
      </c>
      <c r="G151" s="37" t="n">
        <v>1679</v>
      </c>
      <c r="H151" s="37" t="n">
        <v>1586</v>
      </c>
      <c r="I151" s="63" t="n">
        <f aca="false">IF(H151="","",G151-H151)</f>
        <v>93</v>
      </c>
      <c r="J151" s="52" t="n">
        <f aca="false">IF(OR(D151="",D151+G151=0),"",D151/(D151+G151))</f>
        <v>0.355717574827322</v>
      </c>
      <c r="K151" s="52" t="n">
        <f aca="false">IF(E151="","",E151/(E151+H151))</f>
        <v>0.383119408790354</v>
      </c>
      <c r="L151" s="64" t="n">
        <f aca="false">IF(OR(K151="",J151=""),"",(J151-K151)*100)</f>
        <v>-2.74018339630324</v>
      </c>
      <c r="M151" s="21"/>
    </row>
    <row r="152" customFormat="false" ht="15" hidden="false" customHeight="false" outlineLevel="0" collapsed="false">
      <c r="A152" s="21" t="s">
        <v>189</v>
      </c>
      <c r="B152" s="21" t="s">
        <v>298</v>
      </c>
      <c r="C152" s="21" t="s">
        <v>298</v>
      </c>
      <c r="D152" s="37" t="n">
        <v>536</v>
      </c>
      <c r="E152" s="37" t="n">
        <v>543</v>
      </c>
      <c r="F152" s="63" t="n">
        <f aca="false">IF(E152="","",D152-E152)</f>
        <v>-7</v>
      </c>
      <c r="G152" s="37" t="n">
        <v>1028</v>
      </c>
      <c r="H152" s="37" t="n">
        <v>990</v>
      </c>
      <c r="I152" s="63" t="n">
        <f aca="false">IF(H152="","",G152-H152)</f>
        <v>38</v>
      </c>
      <c r="J152" s="52" t="n">
        <f aca="false">IF(OR(D152="",D152+G152=0),"",D152/(D152+G152))</f>
        <v>0.342710997442455</v>
      </c>
      <c r="K152" s="52" t="n">
        <f aca="false">IF(E152="","",E152/(E152+H152))</f>
        <v>0.354207436399217</v>
      </c>
      <c r="L152" s="64" t="n">
        <f aca="false">IF(OR(K152="",J152=""),"",(J152-K152)*100)</f>
        <v>-1.14964389567619</v>
      </c>
      <c r="M152" s="21"/>
    </row>
    <row r="153" customFormat="false" ht="15" hidden="false" customHeight="false" outlineLevel="0" collapsed="false">
      <c r="A153" s="21" t="s">
        <v>189</v>
      </c>
      <c r="B153" s="21" t="s">
        <v>299</v>
      </c>
      <c r="C153" s="21" t="s">
        <v>300</v>
      </c>
      <c r="D153" s="37" t="n">
        <v>180</v>
      </c>
      <c r="E153" s="37" t="n">
        <v>181</v>
      </c>
      <c r="F153" s="63" t="n">
        <f aca="false">IF(E153="","",D153-E153)</f>
        <v>-1</v>
      </c>
      <c r="G153" s="37" t="n">
        <v>499</v>
      </c>
      <c r="H153" s="37" t="n">
        <v>482</v>
      </c>
      <c r="I153" s="63" t="n">
        <f aca="false">IF(H153="","",G153-H153)</f>
        <v>17</v>
      </c>
      <c r="J153" s="52" t="n">
        <f aca="false">IF(OR(D153="",D153+G153=0),"",D153/(D153+G153))</f>
        <v>0.265095729013255</v>
      </c>
      <c r="K153" s="52" t="n">
        <f aca="false">IF(E153="","",E153/(E153+H153))</f>
        <v>0.273001508295626</v>
      </c>
      <c r="L153" s="64" t="n">
        <f aca="false">IF(OR(K153="",J153=""),"",(J153-K153)*100)</f>
        <v>-0.790577928237113</v>
      </c>
      <c r="M153" s="21"/>
    </row>
    <row r="154" customFormat="false" ht="15" hidden="false" customHeight="false" outlineLevel="0" collapsed="false">
      <c r="A154" s="21" t="s">
        <v>189</v>
      </c>
      <c r="B154" s="21" t="s">
        <v>299</v>
      </c>
      <c r="C154" s="21" t="s">
        <v>301</v>
      </c>
      <c r="D154" s="37" t="n">
        <v>138</v>
      </c>
      <c r="E154" s="37" t="n">
        <v>147</v>
      </c>
      <c r="F154" s="63" t="n">
        <f aca="false">IF(E154="","",D154-E154)</f>
        <v>-9</v>
      </c>
      <c r="G154" s="37" t="n">
        <v>323</v>
      </c>
      <c r="H154" s="37" t="n">
        <v>314</v>
      </c>
      <c r="I154" s="63" t="n">
        <f aca="false">IF(H154="","",G154-H154)</f>
        <v>9</v>
      </c>
      <c r="J154" s="52" t="n">
        <f aca="false">IF(OR(D154="",D154+G154=0),"",D154/(D154+G154))</f>
        <v>0.299349240780911</v>
      </c>
      <c r="K154" s="52" t="n">
        <f aca="false">IF(E154="","",E154/(E154+H154))</f>
        <v>0.318872017353579</v>
      </c>
      <c r="L154" s="64" t="n">
        <f aca="false">IF(OR(K154="",J154=""),"",(J154-K154)*100)</f>
        <v>-1.95227765726681</v>
      </c>
      <c r="M154" s="21"/>
    </row>
    <row r="155" customFormat="false" ht="15" hidden="false" customHeight="false" outlineLevel="0" collapsed="false">
      <c r="A155" s="21" t="s">
        <v>189</v>
      </c>
      <c r="B155" s="21" t="s">
        <v>299</v>
      </c>
      <c r="C155" s="21" t="s">
        <v>302</v>
      </c>
      <c r="D155" s="37" t="n">
        <v>486</v>
      </c>
      <c r="E155" s="37" t="n">
        <v>522</v>
      </c>
      <c r="F155" s="63" t="n">
        <f aca="false">IF(E155="","",D155-E155)</f>
        <v>-36</v>
      </c>
      <c r="G155" s="37" t="n">
        <v>1079</v>
      </c>
      <c r="H155" s="37" t="n">
        <v>1060</v>
      </c>
      <c r="I155" s="63" t="n">
        <f aca="false">IF(H155="","",G155-H155)</f>
        <v>19</v>
      </c>
      <c r="J155" s="52" t="n">
        <f aca="false">IF(OR(D155="",D155+G155=0),"",D155/(D155+G155))</f>
        <v>0.310543130990415</v>
      </c>
      <c r="K155" s="52" t="n">
        <f aca="false">IF(E155="","",E155/(E155+H155))</f>
        <v>0.329962073324905</v>
      </c>
      <c r="L155" s="64" t="n">
        <f aca="false">IF(OR(K155="",J155=""),"",(J155-K155)*100)</f>
        <v>-1.94189423344898</v>
      </c>
      <c r="M155" s="21"/>
    </row>
    <row r="156" customFormat="false" ht="15" hidden="false" customHeight="false" outlineLevel="0" collapsed="false">
      <c r="A156" s="21" t="s">
        <v>189</v>
      </c>
      <c r="B156" s="21" t="s">
        <v>303</v>
      </c>
      <c r="C156" s="21" t="s">
        <v>303</v>
      </c>
      <c r="D156" s="37" t="n">
        <v>992</v>
      </c>
      <c r="E156" s="37" t="n">
        <v>980</v>
      </c>
      <c r="F156" s="63" t="n">
        <f aca="false">IF(E156="","",D156-E156)</f>
        <v>12</v>
      </c>
      <c r="G156" s="37" t="n">
        <v>908</v>
      </c>
      <c r="H156" s="37" t="n">
        <v>872</v>
      </c>
      <c r="I156" s="63" t="n">
        <f aca="false">IF(H156="","",G156-H156)</f>
        <v>36</v>
      </c>
      <c r="J156" s="52" t="n">
        <f aca="false">IF(OR(D156="",D156+G156=0),"",D156/(D156+G156))</f>
        <v>0.522105263157895</v>
      </c>
      <c r="K156" s="52" t="n">
        <f aca="false">IF(E156="","",E156/(E156+H156))</f>
        <v>0.529157667386609</v>
      </c>
      <c r="L156" s="64" t="n">
        <f aca="false">IF(OR(K156="",J156=""),"",(J156-K156)*100)</f>
        <v>-0.705240422871434</v>
      </c>
      <c r="M156" s="21"/>
    </row>
    <row r="157" customFormat="false" ht="15" hidden="false" customHeight="false" outlineLevel="0" collapsed="false">
      <c r="A157" s="21" t="s">
        <v>189</v>
      </c>
      <c r="B157" s="21" t="s">
        <v>304</v>
      </c>
      <c r="C157" s="21" t="s">
        <v>305</v>
      </c>
      <c r="D157" s="37" t="n">
        <v>934</v>
      </c>
      <c r="E157" s="37" t="n">
        <v>1010</v>
      </c>
      <c r="F157" s="63" t="n">
        <f aca="false">IF(E157="","",D157-E157)</f>
        <v>-76</v>
      </c>
      <c r="G157" s="37" t="n">
        <v>1427</v>
      </c>
      <c r="H157" s="37" t="n">
        <v>1334</v>
      </c>
      <c r="I157" s="63" t="n">
        <f aca="false">IF(H157="","",G157-H157)</f>
        <v>93</v>
      </c>
      <c r="J157" s="52" t="n">
        <f aca="false">IF(OR(D157="",D157+G157=0),"",D157/(D157+G157))</f>
        <v>0.395595086827615</v>
      </c>
      <c r="K157" s="52" t="n">
        <f aca="false">IF(E157="","",E157/(E157+H157))</f>
        <v>0.430887372013652</v>
      </c>
      <c r="L157" s="64" t="n">
        <f aca="false">IF(OR(K157="",J157=""),"",(J157-K157)*100)</f>
        <v>-3.52922851860365</v>
      </c>
      <c r="M157" s="21"/>
    </row>
    <row r="158" customFormat="false" ht="15" hidden="false" customHeight="false" outlineLevel="0" collapsed="false">
      <c r="A158" s="21" t="s">
        <v>189</v>
      </c>
      <c r="B158" s="21" t="s">
        <v>304</v>
      </c>
      <c r="C158" s="21" t="s">
        <v>306</v>
      </c>
      <c r="D158" s="37" t="n">
        <v>847</v>
      </c>
      <c r="E158" s="37" t="n">
        <v>860</v>
      </c>
      <c r="F158" s="63" t="n">
        <f aca="false">IF(E158="","",D158-E158)</f>
        <v>-13</v>
      </c>
      <c r="G158" s="37" t="n">
        <v>1375</v>
      </c>
      <c r="H158" s="37" t="n">
        <v>1332</v>
      </c>
      <c r="I158" s="63" t="n">
        <f aca="false">IF(H158="","",G158-H158)</f>
        <v>43</v>
      </c>
      <c r="J158" s="52" t="n">
        <f aca="false">IF(OR(D158="",D158+G158=0),"",D158/(D158+G158))</f>
        <v>0.381188118811881</v>
      </c>
      <c r="K158" s="52" t="n">
        <f aca="false">IF(E158="","",E158/(E158+H158))</f>
        <v>0.392335766423358</v>
      </c>
      <c r="L158" s="64" t="n">
        <f aca="false">IF(OR(K158="",J158=""),"",(J158-K158)*100)</f>
        <v>-1.11476476114765</v>
      </c>
      <c r="M158" s="21"/>
    </row>
    <row r="159" customFormat="false" ht="15" hidden="false" customHeight="false" outlineLevel="0" collapsed="false">
      <c r="A159" s="21" t="s">
        <v>189</v>
      </c>
      <c r="B159" s="21" t="s">
        <v>304</v>
      </c>
      <c r="C159" s="21" t="s">
        <v>307</v>
      </c>
      <c r="D159" s="37" t="n">
        <v>444</v>
      </c>
      <c r="E159" s="37" t="n">
        <v>449</v>
      </c>
      <c r="F159" s="63" t="n">
        <f aca="false">IF(E159="","",D159-E159)</f>
        <v>-5</v>
      </c>
      <c r="G159" s="37" t="n">
        <v>699</v>
      </c>
      <c r="H159" s="37" t="n">
        <v>705</v>
      </c>
      <c r="I159" s="63" t="n">
        <f aca="false">IF(H159="","",G159-H159)</f>
        <v>-6</v>
      </c>
      <c r="J159" s="52" t="n">
        <f aca="false">IF(OR(D159="",D159+G159=0),"",D159/(D159+G159))</f>
        <v>0.388451443569554</v>
      </c>
      <c r="K159" s="52" t="n">
        <f aca="false">IF(E159="","",E159/(E159+H159))</f>
        <v>0.389081455805893</v>
      </c>
      <c r="L159" s="64" t="n">
        <f aca="false">IF(OR(K159="",J159=""),"",(J159-K159)*100)</f>
        <v>-0.063001223633874</v>
      </c>
      <c r="M159" s="21"/>
    </row>
    <row r="160" customFormat="false" ht="15" hidden="false" customHeight="false" outlineLevel="0" collapsed="false">
      <c r="A160" s="21" t="s">
        <v>189</v>
      </c>
      <c r="B160" s="21" t="s">
        <v>304</v>
      </c>
      <c r="C160" s="21" t="s">
        <v>308</v>
      </c>
      <c r="D160" s="37" t="n">
        <v>641</v>
      </c>
      <c r="E160" s="37" t="n">
        <v>654</v>
      </c>
      <c r="F160" s="63" t="n">
        <f aca="false">IF(E160="","",D160-E160)</f>
        <v>-13</v>
      </c>
      <c r="G160" s="37" t="n">
        <v>1008</v>
      </c>
      <c r="H160" s="37" t="n">
        <v>979</v>
      </c>
      <c r="I160" s="63" t="n">
        <f aca="false">IF(H160="","",G160-H160)</f>
        <v>29</v>
      </c>
      <c r="J160" s="52" t="n">
        <f aca="false">IF(OR(D160="",D160+G160=0),"",D160/(D160+G160))</f>
        <v>0.38872043662826</v>
      </c>
      <c r="K160" s="52" t="n">
        <f aca="false">IF(E160="","",E160/(E160+H160))</f>
        <v>0.400489895897122</v>
      </c>
      <c r="L160" s="64" t="n">
        <f aca="false">IF(OR(K160="",J160=""),"",(J160-K160)*100)</f>
        <v>-1.17694592688623</v>
      </c>
      <c r="M160" s="21"/>
    </row>
    <row r="161" customFormat="false" ht="15" hidden="false" customHeight="false" outlineLevel="0" collapsed="false">
      <c r="A161" s="21" t="s">
        <v>189</v>
      </c>
      <c r="B161" s="21" t="s">
        <v>304</v>
      </c>
      <c r="C161" s="21" t="s">
        <v>309</v>
      </c>
      <c r="D161" s="37" t="n">
        <v>543</v>
      </c>
      <c r="E161" s="37" t="n">
        <v>557</v>
      </c>
      <c r="F161" s="63" t="n">
        <f aca="false">IF(E161="","",D161-E161)</f>
        <v>-14</v>
      </c>
      <c r="G161" s="37" t="n">
        <v>930</v>
      </c>
      <c r="H161" s="37" t="n">
        <v>890</v>
      </c>
      <c r="I161" s="63" t="n">
        <f aca="false">IF(H161="","",G161-H161)</f>
        <v>40</v>
      </c>
      <c r="J161" s="52" t="n">
        <f aca="false">IF(OR(D161="",D161+G161=0),"",D161/(D161+G161))</f>
        <v>0.368635437881874</v>
      </c>
      <c r="K161" s="52" t="n">
        <f aca="false">IF(E161="","",E161/(E161+H161))</f>
        <v>0.384934346924672</v>
      </c>
      <c r="L161" s="64" t="n">
        <f aca="false">IF(OR(K161="",J161=""),"",(J161-K161)*100)</f>
        <v>-1.6298909042798</v>
      </c>
      <c r="M161" s="21"/>
    </row>
    <row r="162" customFormat="false" ht="15" hidden="false" customHeight="false" outlineLevel="0" collapsed="false">
      <c r="A162" s="21" t="s">
        <v>189</v>
      </c>
      <c r="B162" s="21" t="s">
        <v>304</v>
      </c>
      <c r="C162" s="21" t="s">
        <v>310</v>
      </c>
      <c r="D162" s="37" t="n">
        <v>500</v>
      </c>
      <c r="E162" s="37" t="n">
        <v>492</v>
      </c>
      <c r="F162" s="63" t="n">
        <f aca="false">IF(E162="","",D162-E162)</f>
        <v>8</v>
      </c>
      <c r="G162" s="37" t="n">
        <v>699</v>
      </c>
      <c r="H162" s="37" t="n">
        <v>675</v>
      </c>
      <c r="I162" s="63" t="n">
        <f aca="false">IF(H162="","",G162-H162)</f>
        <v>24</v>
      </c>
      <c r="J162" s="52" t="n">
        <f aca="false">IF(OR(D162="",D162+G162=0),"",D162/(D162+G162))</f>
        <v>0.417014178482068</v>
      </c>
      <c r="K162" s="52" t="n">
        <f aca="false">IF(E162="","",E162/(E162+H162))</f>
        <v>0.42159383033419</v>
      </c>
      <c r="L162" s="64" t="n">
        <f aca="false">IF(OR(K162="",J162=""),"",(J162-K162)*100)</f>
        <v>-0.457965185212184</v>
      </c>
      <c r="M162" s="21"/>
    </row>
    <row r="163" customFormat="false" ht="15" hidden="false" customHeight="false" outlineLevel="0" collapsed="false">
      <c r="A163" s="21" t="s">
        <v>189</v>
      </c>
      <c r="B163" s="21" t="s">
        <v>311</v>
      </c>
      <c r="C163" s="21" t="s">
        <v>312</v>
      </c>
      <c r="D163" s="37" t="n">
        <v>690</v>
      </c>
      <c r="E163" s="37" t="n">
        <v>668</v>
      </c>
      <c r="F163" s="63" t="n">
        <f aca="false">IF(E163="","",D163-E163)</f>
        <v>22</v>
      </c>
      <c r="G163" s="37" t="n">
        <v>699</v>
      </c>
      <c r="H163" s="37" t="n">
        <v>693</v>
      </c>
      <c r="I163" s="63" t="n">
        <f aca="false">IF(H163="","",G163-H163)</f>
        <v>6</v>
      </c>
      <c r="J163" s="52" t="n">
        <f aca="false">IF(OR(D163="",D163+G163=0),"",D163/(D163+G163))</f>
        <v>0.496760259179266</v>
      </c>
      <c r="K163" s="52" t="n">
        <f aca="false">IF(E163="","",E163/(E163+H163))</f>
        <v>0.490815576781778</v>
      </c>
      <c r="L163" s="64" t="n">
        <f aca="false">IF(OR(K163="",J163=""),"",(J163-K163)*100)</f>
        <v>0.594468239748752</v>
      </c>
      <c r="M163" s="21"/>
    </row>
    <row r="164" customFormat="false" ht="15" hidden="false" customHeight="false" outlineLevel="0" collapsed="false">
      <c r="A164" s="21" t="s">
        <v>189</v>
      </c>
      <c r="B164" s="21" t="s">
        <v>311</v>
      </c>
      <c r="C164" s="21" t="s">
        <v>313</v>
      </c>
      <c r="D164" s="37" t="n">
        <v>826</v>
      </c>
      <c r="E164" s="37" t="n">
        <v>803</v>
      </c>
      <c r="F164" s="63" t="n">
        <f aca="false">IF(E164="","",D164-E164)</f>
        <v>23</v>
      </c>
      <c r="G164" s="37" t="n">
        <v>796</v>
      </c>
      <c r="H164" s="37" t="n">
        <v>818</v>
      </c>
      <c r="I164" s="63" t="n">
        <f aca="false">IF(H164="","",G164-H164)</f>
        <v>-22</v>
      </c>
      <c r="J164" s="52" t="n">
        <f aca="false">IF(OR(D164="",D164+G164=0),"",D164/(D164+G164))</f>
        <v>0.50924784217016</v>
      </c>
      <c r="K164" s="52" t="n">
        <f aca="false">IF(E164="","",E164/(E164+H164))</f>
        <v>0.495373226403455</v>
      </c>
      <c r="L164" s="64" t="n">
        <f aca="false">IF(OR(K164="",J164=""),"",(J164-K164)*100)</f>
        <v>1.38746157667056</v>
      </c>
      <c r="M164" s="21"/>
    </row>
    <row r="165" customFormat="false" ht="15" hidden="false" customHeight="false" outlineLevel="0" collapsed="false">
      <c r="A165" s="21" t="s">
        <v>189</v>
      </c>
      <c r="B165" s="21" t="s">
        <v>311</v>
      </c>
      <c r="C165" s="21" t="s">
        <v>314</v>
      </c>
      <c r="D165" s="37" t="n">
        <v>346</v>
      </c>
      <c r="E165" s="37" t="n">
        <v>342</v>
      </c>
      <c r="F165" s="63" t="n">
        <f aca="false">IF(E165="","",D165-E165)</f>
        <v>4</v>
      </c>
      <c r="G165" s="37" t="n">
        <v>348</v>
      </c>
      <c r="H165" s="37" t="n">
        <v>358</v>
      </c>
      <c r="I165" s="63" t="n">
        <f aca="false">IF(H165="","",G165-H165)</f>
        <v>-10</v>
      </c>
      <c r="J165" s="52" t="n">
        <f aca="false">IF(OR(D165="",D165+G165=0),"",D165/(D165+G165))</f>
        <v>0.498559077809798</v>
      </c>
      <c r="K165" s="52" t="n">
        <f aca="false">IF(E165="","",E165/(E165+H165))</f>
        <v>0.488571428571429</v>
      </c>
      <c r="L165" s="64" t="n">
        <f aca="false">IF(OR(K165="",J165=""),"",(J165-K165)*100)</f>
        <v>0.99876492383697</v>
      </c>
      <c r="M165" s="21"/>
    </row>
    <row r="166" customFormat="false" ht="15" hidden="false" customHeight="false" outlineLevel="0" collapsed="false">
      <c r="A166" s="21" t="s">
        <v>189</v>
      </c>
      <c r="B166" s="21" t="s">
        <v>311</v>
      </c>
      <c r="C166" s="21" t="s">
        <v>315</v>
      </c>
      <c r="D166" s="37" t="n">
        <v>420</v>
      </c>
      <c r="E166" s="37" t="n">
        <v>411</v>
      </c>
      <c r="F166" s="63" t="n">
        <f aca="false">IF(E166="","",D166-E166)</f>
        <v>9</v>
      </c>
      <c r="G166" s="37" t="n">
        <v>407</v>
      </c>
      <c r="H166" s="37" t="n">
        <v>417</v>
      </c>
      <c r="I166" s="63" t="n">
        <f aca="false">IF(H166="","",G166-H166)</f>
        <v>-10</v>
      </c>
      <c r="J166" s="52" t="n">
        <f aca="false">IF(OR(D166="",D166+G166=0),"",D166/(D166+G166))</f>
        <v>0.507859733978235</v>
      </c>
      <c r="K166" s="52" t="n">
        <f aca="false">IF(E166="","",E166/(E166+H166))</f>
        <v>0.496376811594203</v>
      </c>
      <c r="L166" s="64" t="n">
        <f aca="false">IF(OR(K166="",J166=""),"",(J166-K166)*100)</f>
        <v>1.14829223840317</v>
      </c>
      <c r="M166" s="21"/>
    </row>
    <row r="167" customFormat="false" ht="15" hidden="false" customHeight="false" outlineLevel="0" collapsed="false">
      <c r="A167" s="21" t="s">
        <v>189</v>
      </c>
      <c r="B167" s="21" t="s">
        <v>311</v>
      </c>
      <c r="C167" s="21" t="s">
        <v>316</v>
      </c>
      <c r="D167" s="37" t="n">
        <v>509</v>
      </c>
      <c r="E167" s="37" t="n">
        <v>525</v>
      </c>
      <c r="F167" s="63" t="n">
        <f aca="false">IF(E167="","",D167-E167)</f>
        <v>-16</v>
      </c>
      <c r="G167" s="37" t="n">
        <v>577</v>
      </c>
      <c r="H167" s="37" t="n">
        <v>552</v>
      </c>
      <c r="I167" s="63" t="n">
        <f aca="false">IF(H167="","",G167-H167)</f>
        <v>25</v>
      </c>
      <c r="J167" s="52" t="n">
        <f aca="false">IF(OR(D167="",D167+G167=0),"",D167/(D167+G167))</f>
        <v>0.468692449355433</v>
      </c>
      <c r="K167" s="52" t="n">
        <f aca="false">IF(E167="","",E167/(E167+H167))</f>
        <v>0.487465181058496</v>
      </c>
      <c r="L167" s="64" t="n">
        <f aca="false">IF(OR(K167="",J167=""),"",(J167-K167)*100)</f>
        <v>-1.8772731703063</v>
      </c>
      <c r="M167" s="21"/>
    </row>
    <row r="168" customFormat="false" ht="15" hidden="false" customHeight="false" outlineLevel="0" collapsed="false">
      <c r="A168" s="21" t="s">
        <v>189</v>
      </c>
      <c r="B168" s="21" t="s">
        <v>311</v>
      </c>
      <c r="C168" s="21" t="s">
        <v>317</v>
      </c>
      <c r="D168" s="37" t="n">
        <v>341</v>
      </c>
      <c r="E168" s="37" t="n">
        <v>313</v>
      </c>
      <c r="F168" s="63" t="n">
        <f aca="false">IF(E168="","",D168-E168)</f>
        <v>28</v>
      </c>
      <c r="G168" s="37" t="n">
        <v>370</v>
      </c>
      <c r="H168" s="37" t="n">
        <v>360</v>
      </c>
      <c r="I168" s="63" t="n">
        <f aca="false">IF(H168="","",G168-H168)</f>
        <v>10</v>
      </c>
      <c r="J168" s="52" t="n">
        <f aca="false">IF(OR(D168="",D168+G168=0),"",D168/(D168+G168))</f>
        <v>0.479606188466948</v>
      </c>
      <c r="K168" s="52" t="n">
        <f aca="false">IF(E168="","",E168/(E168+H168))</f>
        <v>0.465081723625557</v>
      </c>
      <c r="L168" s="64" t="n">
        <f aca="false">IF(OR(K168="",J168=""),"",(J168-K168)*100)</f>
        <v>1.45244648413908</v>
      </c>
      <c r="M168" s="21"/>
    </row>
    <row r="169" customFormat="false" ht="15" hidden="false" customHeight="false" outlineLevel="0" collapsed="false">
      <c r="A169" s="21" t="s">
        <v>189</v>
      </c>
      <c r="B169" s="21" t="s">
        <v>311</v>
      </c>
      <c r="C169" s="21" t="s">
        <v>318</v>
      </c>
      <c r="D169" s="37" t="n">
        <v>390</v>
      </c>
      <c r="E169" s="37" t="n">
        <v>415</v>
      </c>
      <c r="F169" s="63" t="n">
        <f aca="false">IF(E169="","",D169-E169)</f>
        <v>-25</v>
      </c>
      <c r="G169" s="37" t="n">
        <v>386</v>
      </c>
      <c r="H169" s="37" t="n">
        <v>371</v>
      </c>
      <c r="I169" s="63" t="n">
        <f aca="false">IF(H169="","",G169-H169)</f>
        <v>15</v>
      </c>
      <c r="J169" s="52" t="n">
        <f aca="false">IF(OR(D169="",D169+G169=0),"",D169/(D169+G169))</f>
        <v>0.502577319587629</v>
      </c>
      <c r="K169" s="52" t="n">
        <f aca="false">IF(E169="","",E169/(E169+H169))</f>
        <v>0.527989821882952</v>
      </c>
      <c r="L169" s="64" t="n">
        <f aca="false">IF(OR(K169="",J169=""),"",(J169-K169)*100)</f>
        <v>-2.54125022953228</v>
      </c>
      <c r="M169" s="21"/>
    </row>
    <row r="170" customFormat="false" ht="15" hidden="false" customHeight="false" outlineLevel="0" collapsed="false">
      <c r="A170" s="21" t="s">
        <v>189</v>
      </c>
      <c r="B170" s="21" t="s">
        <v>311</v>
      </c>
      <c r="C170" s="21" t="s">
        <v>319</v>
      </c>
      <c r="D170" s="37" t="n">
        <v>522</v>
      </c>
      <c r="E170" s="37" t="n">
        <v>533</v>
      </c>
      <c r="F170" s="63" t="n">
        <f aca="false">IF(E170="","",D170-E170)</f>
        <v>-11</v>
      </c>
      <c r="G170" s="37" t="n">
        <v>548</v>
      </c>
      <c r="H170" s="37" t="n">
        <v>535</v>
      </c>
      <c r="I170" s="63" t="n">
        <f aca="false">IF(H170="","",G170-H170)</f>
        <v>13</v>
      </c>
      <c r="J170" s="52" t="n">
        <f aca="false">IF(OR(D170="",D170+G170=0),"",D170/(D170+G170))</f>
        <v>0.48785046728972</v>
      </c>
      <c r="K170" s="52" t="n">
        <f aca="false">IF(E170="","",E170/(E170+H170))</f>
        <v>0.499063670411985</v>
      </c>
      <c r="L170" s="64" t="n">
        <f aca="false">IF(OR(K170="",J170=""),"",(J170-K170)*100)</f>
        <v>-1.12132031222654</v>
      </c>
      <c r="M170" s="21"/>
    </row>
    <row r="171" customFormat="false" ht="15" hidden="false" customHeight="false" outlineLevel="0" collapsed="false">
      <c r="A171" s="21" t="s">
        <v>189</v>
      </c>
      <c r="B171" s="21" t="s">
        <v>320</v>
      </c>
      <c r="C171" s="21" t="s">
        <v>321</v>
      </c>
      <c r="D171" s="37" t="n">
        <v>270</v>
      </c>
      <c r="E171" s="37" t="n">
        <v>242</v>
      </c>
      <c r="F171" s="63" t="n">
        <f aca="false">IF(E171="","",D171-E171)</f>
        <v>28</v>
      </c>
      <c r="G171" s="37" t="n">
        <v>315</v>
      </c>
      <c r="H171" s="37" t="n">
        <v>337</v>
      </c>
      <c r="I171" s="63" t="n">
        <f aca="false">IF(H171="","",G171-H171)</f>
        <v>-22</v>
      </c>
      <c r="J171" s="52" t="n">
        <f aca="false">IF(OR(D171="",D171+G171=0),"",D171/(D171+G171))</f>
        <v>0.461538461538462</v>
      </c>
      <c r="K171" s="52" t="n">
        <f aca="false">IF(E171="","",E171/(E171+H171))</f>
        <v>0.417962003454231</v>
      </c>
      <c r="L171" s="64" t="n">
        <f aca="false">IF(OR(K171="",J171=""),"",(J171-K171)*100)</f>
        <v>4.35764580842301</v>
      </c>
      <c r="M171" s="21"/>
    </row>
    <row r="172" customFormat="false" ht="15" hidden="false" customHeight="false" outlineLevel="0" collapsed="false">
      <c r="A172" s="21" t="s">
        <v>189</v>
      </c>
      <c r="B172" s="21" t="s">
        <v>320</v>
      </c>
      <c r="C172" s="21" t="s">
        <v>322</v>
      </c>
      <c r="D172" s="37" t="n">
        <v>210</v>
      </c>
      <c r="E172" s="37" t="n">
        <v>187</v>
      </c>
      <c r="F172" s="63" t="n">
        <f aca="false">IF(E172="","",D172-E172)</f>
        <v>23</v>
      </c>
      <c r="G172" s="37" t="n">
        <v>280</v>
      </c>
      <c r="H172" s="37" t="n">
        <v>292</v>
      </c>
      <c r="I172" s="63" t="n">
        <f aca="false">IF(H172="","",G172-H172)</f>
        <v>-12</v>
      </c>
      <c r="J172" s="52" t="n">
        <f aca="false">IF(OR(D172="",D172+G172=0),"",D172/(D172+G172))</f>
        <v>0.428571428571429</v>
      </c>
      <c r="K172" s="52" t="n">
        <f aca="false">IF(E172="","",E172/(E172+H172))</f>
        <v>0.390396659707724</v>
      </c>
      <c r="L172" s="64" t="n">
        <f aca="false">IF(OR(K172="",J172=""),"",(J172-K172)*100)</f>
        <v>3.81747688637041</v>
      </c>
      <c r="M172" s="21"/>
    </row>
    <row r="173" customFormat="false" ht="15" hidden="false" customHeight="false" outlineLevel="0" collapsed="false">
      <c r="A173" s="21" t="s">
        <v>189</v>
      </c>
      <c r="B173" s="21" t="s">
        <v>320</v>
      </c>
      <c r="C173" s="21" t="s">
        <v>323</v>
      </c>
      <c r="D173" s="37" t="n">
        <v>389</v>
      </c>
      <c r="E173" s="37" t="n">
        <v>371</v>
      </c>
      <c r="F173" s="63" t="n">
        <f aca="false">IF(E173="","",D173-E173)</f>
        <v>18</v>
      </c>
      <c r="G173" s="37" t="n">
        <v>535</v>
      </c>
      <c r="H173" s="37" t="n">
        <v>527</v>
      </c>
      <c r="I173" s="63" t="n">
        <f aca="false">IF(H173="","",G173-H173)</f>
        <v>8</v>
      </c>
      <c r="J173" s="52" t="n">
        <f aca="false">IF(OR(D173="",D173+G173=0),"",D173/(D173+G173))</f>
        <v>0.420995670995671</v>
      </c>
      <c r="K173" s="52" t="n">
        <f aca="false">IF(E173="","",E173/(E173+H173))</f>
        <v>0.413140311804009</v>
      </c>
      <c r="L173" s="64" t="n">
        <f aca="false">IF(OR(K173="",J173=""),"",(J173-K173)*100)</f>
        <v>0.785535919166208</v>
      </c>
      <c r="M173" s="21"/>
    </row>
    <row r="174" customFormat="false" ht="15" hidden="false" customHeight="false" outlineLevel="0" collapsed="false">
      <c r="A174" s="21" t="s">
        <v>189</v>
      </c>
      <c r="B174" s="21" t="s">
        <v>324</v>
      </c>
      <c r="C174" s="21" t="s">
        <v>325</v>
      </c>
      <c r="D174" s="37" t="n">
        <v>951</v>
      </c>
      <c r="E174" s="37" t="n">
        <v>912</v>
      </c>
      <c r="F174" s="63" t="n">
        <f aca="false">IF(E174="","",D174-E174)</f>
        <v>39</v>
      </c>
      <c r="G174" s="37" t="n">
        <v>913</v>
      </c>
      <c r="H174" s="37" t="n">
        <v>964</v>
      </c>
      <c r="I174" s="63" t="n">
        <f aca="false">IF(H174="","",G174-H174)</f>
        <v>-51</v>
      </c>
      <c r="J174" s="52" t="n">
        <f aca="false">IF(OR(D174="",D174+G174=0),"",D174/(D174+G174))</f>
        <v>0.51019313304721</v>
      </c>
      <c r="K174" s="52" t="n">
        <f aca="false">IF(E174="","",E174/(E174+H174))</f>
        <v>0.486140724946695</v>
      </c>
      <c r="L174" s="64" t="n">
        <f aca="false">IF(OR(K174="",J174=""),"",(J174-K174)*100)</f>
        <v>2.40524081005152</v>
      </c>
      <c r="M174" s="21"/>
    </row>
    <row r="175" customFormat="false" ht="15" hidden="false" customHeight="false" outlineLevel="0" collapsed="false">
      <c r="A175" s="21" t="s">
        <v>189</v>
      </c>
      <c r="B175" s="21" t="s">
        <v>324</v>
      </c>
      <c r="C175" s="21" t="s">
        <v>326</v>
      </c>
      <c r="D175" s="37" t="n">
        <v>480</v>
      </c>
      <c r="E175" s="37" t="n">
        <v>449</v>
      </c>
      <c r="F175" s="63" t="n">
        <f aca="false">IF(E175="","",D175-E175)</f>
        <v>31</v>
      </c>
      <c r="G175" s="37" t="n">
        <v>455</v>
      </c>
      <c r="H175" s="37" t="n">
        <v>448</v>
      </c>
      <c r="I175" s="63" t="n">
        <f aca="false">IF(H175="","",G175-H175)</f>
        <v>7</v>
      </c>
      <c r="J175" s="52" t="n">
        <f aca="false">IF(OR(D175="",D175+G175=0),"",D175/(D175+G175))</f>
        <v>0.513368983957219</v>
      </c>
      <c r="K175" s="52" t="n">
        <f aca="false">IF(E175="","",E175/(E175+H175))</f>
        <v>0.500557413600892</v>
      </c>
      <c r="L175" s="64" t="n">
        <f aca="false">IF(OR(K175="",J175=""),"",(J175-K175)*100)</f>
        <v>1.28115703563274</v>
      </c>
      <c r="M175" s="21"/>
    </row>
    <row r="176" customFormat="false" ht="15" hidden="false" customHeight="false" outlineLevel="0" collapsed="false">
      <c r="A176" s="21" t="s">
        <v>189</v>
      </c>
      <c r="B176" s="21" t="s">
        <v>324</v>
      </c>
      <c r="C176" s="21" t="s">
        <v>327</v>
      </c>
      <c r="D176" s="37" t="n">
        <v>1202</v>
      </c>
      <c r="E176" s="37" t="n">
        <v>1161</v>
      </c>
      <c r="F176" s="63" t="n">
        <f aca="false">IF(E176="","",D176-E176)</f>
        <v>41</v>
      </c>
      <c r="G176" s="37" t="n">
        <v>979</v>
      </c>
      <c r="H176" s="37" t="n">
        <v>915</v>
      </c>
      <c r="I176" s="63" t="n">
        <f aca="false">IF(H176="","",G176-H176)</f>
        <v>64</v>
      </c>
      <c r="J176" s="52" t="n">
        <f aca="false">IF(OR(D176="",D176+G176=0),"",D176/(D176+G176))</f>
        <v>0.551123337918386</v>
      </c>
      <c r="K176" s="52" t="n">
        <f aca="false">IF(E176="","",E176/(E176+H176))</f>
        <v>0.559248554913295</v>
      </c>
      <c r="L176" s="64" t="n">
        <f aca="false">IF(OR(K176="",J176=""),"",(J176-K176)*100)</f>
        <v>-0.812521699490876</v>
      </c>
      <c r="M176" s="21"/>
    </row>
    <row r="177" customFormat="false" ht="15" hidden="false" customHeight="false" outlineLevel="0" collapsed="false">
      <c r="A177" s="21" t="s">
        <v>189</v>
      </c>
      <c r="B177" s="21" t="s">
        <v>324</v>
      </c>
      <c r="C177" s="21" t="s">
        <v>328</v>
      </c>
      <c r="D177" s="37" t="n">
        <v>546</v>
      </c>
      <c r="E177" s="37" t="n">
        <v>534</v>
      </c>
      <c r="F177" s="63" t="n">
        <f aca="false">IF(E177="","",D177-E177)</f>
        <v>12</v>
      </c>
      <c r="G177" s="37" t="n">
        <v>557</v>
      </c>
      <c r="H177" s="37" t="n">
        <v>577</v>
      </c>
      <c r="I177" s="63" t="n">
        <f aca="false">IF(H177="","",G177-H177)</f>
        <v>-20</v>
      </c>
      <c r="J177" s="52" t="n">
        <f aca="false">IF(OR(D177="",D177+G177=0),"",D177/(D177+G177))</f>
        <v>0.495013599274705</v>
      </c>
      <c r="K177" s="52" t="n">
        <f aca="false">IF(E177="","",E177/(E177+H177))</f>
        <v>0.480648064806481</v>
      </c>
      <c r="L177" s="64" t="n">
        <f aca="false">IF(OR(K177="",J177=""),"",(J177-K177)*100)</f>
        <v>1.43655344682247</v>
      </c>
      <c r="M177" s="21"/>
    </row>
    <row r="178" customFormat="false" ht="15" hidden="false" customHeight="false" outlineLevel="0" collapsed="false">
      <c r="A178" s="21" t="s">
        <v>189</v>
      </c>
      <c r="B178" s="21" t="s">
        <v>324</v>
      </c>
      <c r="C178" s="21" t="s">
        <v>329</v>
      </c>
      <c r="D178" s="37" t="n">
        <v>1031</v>
      </c>
      <c r="E178" s="37" t="n">
        <v>1123</v>
      </c>
      <c r="F178" s="63" t="n">
        <f aca="false">IF(E178="","",D178-E178)</f>
        <v>-92</v>
      </c>
      <c r="G178" s="37" t="n">
        <v>813</v>
      </c>
      <c r="H178" s="37" t="n">
        <v>741</v>
      </c>
      <c r="I178" s="63" t="n">
        <f aca="false">IF(H178="","",G178-H178)</f>
        <v>72</v>
      </c>
      <c r="J178" s="52" t="n">
        <f aca="false">IF(OR(D178="",D178+G178=0),"",D178/(D178+G178))</f>
        <v>0.559110629067245</v>
      </c>
      <c r="K178" s="52" t="n">
        <f aca="false">IF(E178="","",E178/(E178+H178))</f>
        <v>0.602467811158798</v>
      </c>
      <c r="L178" s="64" t="n">
        <f aca="false">IF(OR(K178="",J178=""),"",(J178-K178)*100)</f>
        <v>-4.33571820915533</v>
      </c>
      <c r="M178" s="21"/>
    </row>
    <row r="179" customFormat="false" ht="15" hidden="false" customHeight="false" outlineLevel="0" collapsed="false">
      <c r="A179" s="21" t="s">
        <v>189</v>
      </c>
      <c r="B179" s="21" t="s">
        <v>324</v>
      </c>
      <c r="C179" s="21" t="s">
        <v>330</v>
      </c>
      <c r="D179" s="37" t="n">
        <v>990</v>
      </c>
      <c r="E179" s="37" t="n">
        <v>1054</v>
      </c>
      <c r="F179" s="63" t="n">
        <f aca="false">IF(E179="","",D179-E179)</f>
        <v>-64</v>
      </c>
      <c r="G179" s="37" t="n">
        <v>753</v>
      </c>
      <c r="H179" s="37" t="n">
        <v>706</v>
      </c>
      <c r="I179" s="63" t="n">
        <f aca="false">IF(H179="","",G179-H179)</f>
        <v>47</v>
      </c>
      <c r="J179" s="52" t="n">
        <f aca="false">IF(OR(D179="",D179+G179=0),"",D179/(D179+G179))</f>
        <v>0.567986230636833</v>
      </c>
      <c r="K179" s="52" t="n">
        <f aca="false">IF(E179="","",E179/(E179+H179))</f>
        <v>0.598863636363636</v>
      </c>
      <c r="L179" s="64" t="n">
        <f aca="false">IF(OR(K179="",J179=""),"",(J179-K179)*100)</f>
        <v>-3.08774057268033</v>
      </c>
      <c r="M179" s="21"/>
    </row>
    <row r="180" customFormat="false" ht="15" hidden="false" customHeight="false" outlineLevel="0" collapsed="false">
      <c r="A180" s="21" t="s">
        <v>189</v>
      </c>
      <c r="B180" s="21" t="s">
        <v>324</v>
      </c>
      <c r="C180" s="21" t="s">
        <v>331</v>
      </c>
      <c r="D180" s="37" t="n">
        <v>491</v>
      </c>
      <c r="E180" s="37" t="n">
        <v>469</v>
      </c>
      <c r="F180" s="63" t="n">
        <f aca="false">IF(E180="","",D180-E180)</f>
        <v>22</v>
      </c>
      <c r="G180" s="37" t="n">
        <v>438</v>
      </c>
      <c r="H180" s="37" t="n">
        <v>468</v>
      </c>
      <c r="I180" s="63" t="n">
        <f aca="false">IF(H180="","",G180-H180)</f>
        <v>-30</v>
      </c>
      <c r="J180" s="52" t="n">
        <f aca="false">IF(OR(D180="",D180+G180=0),"",D180/(D180+G180))</f>
        <v>0.528525296017223</v>
      </c>
      <c r="K180" s="52" t="n">
        <f aca="false">IF(E180="","",E180/(E180+H180))</f>
        <v>0.500533617929562</v>
      </c>
      <c r="L180" s="64" t="n">
        <f aca="false">IF(OR(K180="",J180=""),"",(J180-K180)*100)</f>
        <v>2.79916780876605</v>
      </c>
      <c r="M180" s="21"/>
    </row>
    <row r="181" customFormat="false" ht="15" hidden="false" customHeight="false" outlineLevel="0" collapsed="false">
      <c r="A181" s="21" t="s">
        <v>189</v>
      </c>
      <c r="B181" s="21" t="s">
        <v>324</v>
      </c>
      <c r="C181" s="21" t="s">
        <v>332</v>
      </c>
      <c r="D181" s="37" t="n">
        <v>1322</v>
      </c>
      <c r="E181" s="37" t="n">
        <v>1317</v>
      </c>
      <c r="F181" s="63" t="n">
        <f aca="false">IF(E181="","",D181-E181)</f>
        <v>5</v>
      </c>
      <c r="G181" s="37" t="n">
        <v>1300</v>
      </c>
      <c r="H181" s="37" t="n">
        <v>1291</v>
      </c>
      <c r="I181" s="63" t="n">
        <f aca="false">IF(H181="","",G181-H181)</f>
        <v>9</v>
      </c>
      <c r="J181" s="52" t="n">
        <f aca="false">IF(OR(D181="",D181+G181=0),"",D181/(D181+G181))</f>
        <v>0.50419527078566</v>
      </c>
      <c r="K181" s="52" t="n">
        <f aca="false">IF(E181="","",E181/(E181+H181))</f>
        <v>0.504984662576687</v>
      </c>
      <c r="L181" s="64" t="n">
        <f aca="false">IF(OR(K181="",J181=""),"",(J181-K181)*100)</f>
        <v>-0.0789391791027327</v>
      </c>
      <c r="M181" s="21"/>
    </row>
    <row r="182" customFormat="false" ht="15" hidden="false" customHeight="false" outlineLevel="0" collapsed="false">
      <c r="A182" s="21" t="s">
        <v>189</v>
      </c>
      <c r="B182" s="21" t="s">
        <v>333</v>
      </c>
      <c r="C182" s="21" t="s">
        <v>334</v>
      </c>
      <c r="D182" s="37" t="n">
        <v>1003</v>
      </c>
      <c r="E182" s="37" t="n">
        <v>992</v>
      </c>
      <c r="F182" s="63" t="n">
        <f aca="false">IF(E182="","",D182-E182)</f>
        <v>11</v>
      </c>
      <c r="G182" s="37" t="n">
        <v>988</v>
      </c>
      <c r="H182" s="37" t="n">
        <v>983</v>
      </c>
      <c r="I182" s="63" t="n">
        <f aca="false">IF(H182="","",G182-H182)</f>
        <v>5</v>
      </c>
      <c r="J182" s="52" t="n">
        <f aca="false">IF(OR(D182="",D182+G182=0),"",D182/(D182+G182))</f>
        <v>0.503766951280763</v>
      </c>
      <c r="K182" s="52" t="n">
        <f aca="false">IF(E182="","",E182/(E182+H182))</f>
        <v>0.502278481012658</v>
      </c>
      <c r="L182" s="64" t="n">
        <f aca="false">IF(OR(K182="",J182=""),"",(J182-K182)*100)</f>
        <v>0.148847026810517</v>
      </c>
      <c r="M182" s="21"/>
    </row>
    <row r="183" customFormat="false" ht="15" hidden="false" customHeight="false" outlineLevel="0" collapsed="false">
      <c r="A183" s="21" t="s">
        <v>189</v>
      </c>
      <c r="B183" s="21" t="s">
        <v>333</v>
      </c>
      <c r="C183" s="21" t="s">
        <v>335</v>
      </c>
      <c r="D183" s="37" t="n">
        <v>1274</v>
      </c>
      <c r="E183" s="37" t="n">
        <v>1311</v>
      </c>
      <c r="F183" s="63" t="n">
        <f aca="false">IF(E183="","",D183-E183)</f>
        <v>-37</v>
      </c>
      <c r="G183" s="37" t="n">
        <v>1289</v>
      </c>
      <c r="H183" s="37" t="n">
        <v>1258</v>
      </c>
      <c r="I183" s="63" t="n">
        <f aca="false">IF(H183="","",G183-H183)</f>
        <v>31</v>
      </c>
      <c r="J183" s="52" t="n">
        <f aca="false">IF(OR(D183="",D183+G183=0),"",D183/(D183+G183))</f>
        <v>0.497073741708935</v>
      </c>
      <c r="K183" s="52" t="n">
        <f aca="false">IF(E183="","",E183/(E183+H183))</f>
        <v>0.510315297781238</v>
      </c>
      <c r="L183" s="64" t="n">
        <f aca="false">IF(OR(K183="",J183=""),"",(J183-K183)*100)</f>
        <v>-1.3241556072303</v>
      </c>
      <c r="M183" s="21"/>
    </row>
    <row r="184" customFormat="false" ht="15" hidden="false" customHeight="false" outlineLevel="0" collapsed="false">
      <c r="A184" s="21" t="s">
        <v>189</v>
      </c>
      <c r="B184" s="21" t="s">
        <v>333</v>
      </c>
      <c r="C184" s="21" t="s">
        <v>336</v>
      </c>
      <c r="D184" s="37" t="n">
        <v>962</v>
      </c>
      <c r="E184" s="37" t="n">
        <v>914</v>
      </c>
      <c r="F184" s="63" t="n">
        <f aca="false">IF(E184="","",D184-E184)</f>
        <v>48</v>
      </c>
      <c r="G184" s="37" t="n">
        <v>1077</v>
      </c>
      <c r="H184" s="37" t="n">
        <v>1075</v>
      </c>
      <c r="I184" s="63" t="n">
        <f aca="false">IF(H184="","",G184-H184)</f>
        <v>2</v>
      </c>
      <c r="J184" s="52" t="n">
        <f aca="false">IF(OR(D184="",D184+G184=0),"",D184/(D184+G184))</f>
        <v>0.471799901912702</v>
      </c>
      <c r="K184" s="52" t="n">
        <f aca="false">IF(E184="","",E184/(E184+H184))</f>
        <v>0.459527400703871</v>
      </c>
      <c r="L184" s="64" t="n">
        <f aca="false">IF(OR(K184="",J184=""),"",(J184-K184)*100)</f>
        <v>1.22725012088311</v>
      </c>
      <c r="M184" s="21"/>
    </row>
    <row r="185" customFormat="false" ht="15" hidden="false" customHeight="false" outlineLevel="0" collapsed="false">
      <c r="A185" s="21" t="s">
        <v>189</v>
      </c>
      <c r="B185" s="21" t="s">
        <v>333</v>
      </c>
      <c r="C185" s="21" t="s">
        <v>337</v>
      </c>
      <c r="D185" s="37" t="n">
        <v>754</v>
      </c>
      <c r="E185" s="37" t="n">
        <v>735</v>
      </c>
      <c r="F185" s="63" t="n">
        <f aca="false">IF(E185="","",D185-E185)</f>
        <v>19</v>
      </c>
      <c r="G185" s="37" t="n">
        <v>648</v>
      </c>
      <c r="H185" s="37" t="n">
        <v>653</v>
      </c>
      <c r="I185" s="63" t="n">
        <f aca="false">IF(H185="","",G185-H185)</f>
        <v>-5</v>
      </c>
      <c r="J185" s="52" t="n">
        <f aca="false">IF(OR(D185="",D185+G185=0),"",D185/(D185+G185))</f>
        <v>0.537803138373752</v>
      </c>
      <c r="K185" s="52" t="n">
        <f aca="false">IF(E185="","",E185/(E185+H185))</f>
        <v>0.529538904899136</v>
      </c>
      <c r="L185" s="64" t="n">
        <f aca="false">IF(OR(K185="",J185=""),"",(J185-K185)*100)</f>
        <v>0.826423347461636</v>
      </c>
      <c r="M185" s="21"/>
    </row>
    <row r="186" customFormat="false" ht="15" hidden="false" customHeight="false" outlineLevel="0" collapsed="false">
      <c r="A186" s="21" t="s">
        <v>189</v>
      </c>
      <c r="B186" s="21" t="s">
        <v>333</v>
      </c>
      <c r="C186" s="21" t="s">
        <v>338</v>
      </c>
      <c r="D186" s="37" t="n">
        <v>1975</v>
      </c>
      <c r="E186" s="37" t="n">
        <v>1929</v>
      </c>
      <c r="F186" s="63" t="n">
        <f aca="false">IF(E186="","",D186-E186)</f>
        <v>46</v>
      </c>
      <c r="G186" s="37" t="n">
        <v>1781</v>
      </c>
      <c r="H186" s="37" t="n">
        <v>1679</v>
      </c>
      <c r="I186" s="63" t="n">
        <f aca="false">IF(H186="","",G186-H186)</f>
        <v>102</v>
      </c>
      <c r="J186" s="52" t="n">
        <f aca="false">IF(OR(D186="",D186+G186=0),"",D186/(D186+G186))</f>
        <v>0.525825346112886</v>
      </c>
      <c r="K186" s="52" t="n">
        <f aca="false">IF(E186="","",E186/(E186+H186))</f>
        <v>0.534645232815965</v>
      </c>
      <c r="L186" s="64" t="n">
        <f aca="false">IF(OR(K186="",J186=""),"",(J186-K186)*100)</f>
        <v>-0.881988670307854</v>
      </c>
      <c r="M186" s="21"/>
    </row>
    <row r="187" customFormat="false" ht="15" hidden="false" customHeight="false" outlineLevel="0" collapsed="false">
      <c r="A187" s="21" t="s">
        <v>189</v>
      </c>
      <c r="B187" s="21" t="s">
        <v>333</v>
      </c>
      <c r="C187" s="21" t="s">
        <v>339</v>
      </c>
      <c r="D187" s="37" t="n">
        <v>722</v>
      </c>
      <c r="E187" s="37" t="n">
        <v>696</v>
      </c>
      <c r="F187" s="63" t="n">
        <f aca="false">IF(E187="","",D187-E187)</f>
        <v>26</v>
      </c>
      <c r="G187" s="37" t="n">
        <v>679</v>
      </c>
      <c r="H187" s="37" t="n">
        <v>666</v>
      </c>
      <c r="I187" s="63" t="n">
        <f aca="false">IF(H187="","",G187-H187)</f>
        <v>13</v>
      </c>
      <c r="J187" s="52" t="n">
        <f aca="false">IF(OR(D187="",D187+G187=0),"",D187/(D187+G187))</f>
        <v>0.515346181299072</v>
      </c>
      <c r="K187" s="52" t="n">
        <f aca="false">IF(E187="","",E187/(E187+H187))</f>
        <v>0.511013215859031</v>
      </c>
      <c r="L187" s="64" t="n">
        <f aca="false">IF(OR(K187="",J187=""),"",(J187-K187)*100)</f>
        <v>0.433296544004125</v>
      </c>
      <c r="M187" s="21"/>
    </row>
    <row r="188" customFormat="false" ht="15" hidden="false" customHeight="false" outlineLevel="0" collapsed="false">
      <c r="A188" s="21" t="s">
        <v>189</v>
      </c>
      <c r="B188" s="21" t="s">
        <v>333</v>
      </c>
      <c r="C188" s="21" t="s">
        <v>340</v>
      </c>
      <c r="D188" s="37" t="n">
        <v>737</v>
      </c>
      <c r="E188" s="37" t="n">
        <v>715</v>
      </c>
      <c r="F188" s="63" t="n">
        <f aca="false">IF(E188="","",D188-E188)</f>
        <v>22</v>
      </c>
      <c r="G188" s="37" t="n">
        <v>635</v>
      </c>
      <c r="H188" s="37" t="n">
        <v>601</v>
      </c>
      <c r="I188" s="63" t="n">
        <f aca="false">IF(H188="","",G188-H188)</f>
        <v>34</v>
      </c>
      <c r="J188" s="52" t="n">
        <f aca="false">IF(OR(D188="",D188+G188=0),"",D188/(D188+G188))</f>
        <v>0.537172011661808</v>
      </c>
      <c r="K188" s="52" t="n">
        <f aca="false">IF(E188="","",E188/(E188+H188))</f>
        <v>0.543313069908815</v>
      </c>
      <c r="L188" s="64" t="n">
        <f aca="false">IF(OR(K188="",J188=""),"",(J188-K188)*100)</f>
        <v>-0.614105824700695</v>
      </c>
      <c r="M188" s="21"/>
    </row>
    <row r="189" customFormat="false" ht="15" hidden="false" customHeight="false" outlineLevel="0" collapsed="false">
      <c r="A189" s="21" t="s">
        <v>189</v>
      </c>
      <c r="B189" s="21" t="s">
        <v>333</v>
      </c>
      <c r="C189" s="21" t="s">
        <v>341</v>
      </c>
      <c r="D189" s="37" t="n">
        <v>769</v>
      </c>
      <c r="E189" s="37" t="n">
        <v>728</v>
      </c>
      <c r="F189" s="63" t="n">
        <f aca="false">IF(E189="","",D189-E189)</f>
        <v>41</v>
      </c>
      <c r="G189" s="37" t="n">
        <v>717</v>
      </c>
      <c r="H189" s="37" t="n">
        <v>692</v>
      </c>
      <c r="I189" s="63" t="n">
        <f aca="false">IF(H189="","",G189-H189)</f>
        <v>25</v>
      </c>
      <c r="J189" s="52" t="n">
        <f aca="false">IF(OR(D189="",D189+G189=0),"",D189/(D189+G189))</f>
        <v>0.51749663526245</v>
      </c>
      <c r="K189" s="52" t="n">
        <f aca="false">IF(E189="","",E189/(E189+H189))</f>
        <v>0.512676056338028</v>
      </c>
      <c r="L189" s="64" t="n">
        <f aca="false">IF(OR(K189="",J189=""),"",(J189-K189)*100)</f>
        <v>0.482057892442134</v>
      </c>
      <c r="M189" s="21"/>
    </row>
    <row r="190" customFormat="false" ht="15" hidden="false" customHeight="false" outlineLevel="0" collapsed="false">
      <c r="A190" s="21" t="s">
        <v>189</v>
      </c>
      <c r="B190" s="21" t="s">
        <v>342</v>
      </c>
      <c r="C190" s="21" t="s">
        <v>343</v>
      </c>
      <c r="D190" s="37" t="n">
        <v>1432</v>
      </c>
      <c r="E190" s="37" t="n">
        <v>1473</v>
      </c>
      <c r="F190" s="63" t="n">
        <f aca="false">IF(E190="","",D190-E190)</f>
        <v>-41</v>
      </c>
      <c r="G190" s="37" t="n">
        <v>1727</v>
      </c>
      <c r="H190" s="37" t="n">
        <v>1690</v>
      </c>
      <c r="I190" s="63" t="n">
        <f aca="false">IF(H190="","",G190-H190)</f>
        <v>37</v>
      </c>
      <c r="J190" s="52" t="n">
        <f aca="false">IF(OR(D190="",D190+G190=0),"",D190/(D190+G190))</f>
        <v>0.453308008863564</v>
      </c>
      <c r="K190" s="52" t="n">
        <f aca="false">IF(E190="","",E190/(E190+H190))</f>
        <v>0.465697122984508</v>
      </c>
      <c r="L190" s="64" t="n">
        <f aca="false">IF(OR(K190="",J190=""),"",(J190-K190)*100)</f>
        <v>-1.2389114120944</v>
      </c>
      <c r="M190" s="21"/>
    </row>
    <row r="191" customFormat="false" ht="15" hidden="false" customHeight="false" outlineLevel="0" collapsed="false">
      <c r="A191" s="21" t="s">
        <v>189</v>
      </c>
      <c r="B191" s="21" t="s">
        <v>342</v>
      </c>
      <c r="C191" s="21" t="s">
        <v>344</v>
      </c>
      <c r="D191" s="37" t="n">
        <v>869</v>
      </c>
      <c r="E191" s="37" t="n">
        <v>907</v>
      </c>
      <c r="F191" s="63" t="n">
        <f aca="false">IF(E191="","",D191-E191)</f>
        <v>-38</v>
      </c>
      <c r="G191" s="37" t="n">
        <v>1439</v>
      </c>
      <c r="H191" s="37" t="n">
        <v>1445</v>
      </c>
      <c r="I191" s="63" t="n">
        <f aca="false">IF(H191="","",G191-H191)</f>
        <v>-6</v>
      </c>
      <c r="J191" s="52" t="n">
        <f aca="false">IF(OR(D191="",D191+G191=0),"",D191/(D191+G191))</f>
        <v>0.376516464471404</v>
      </c>
      <c r="K191" s="52" t="n">
        <f aca="false">IF(E191="","",E191/(E191+H191))</f>
        <v>0.38562925170068</v>
      </c>
      <c r="L191" s="64" t="n">
        <f aca="false">IF(OR(K191="",J191=""),"",(J191-K191)*100)</f>
        <v>-0.91127872292765</v>
      </c>
      <c r="M191" s="21"/>
    </row>
    <row r="192" customFormat="false" ht="15" hidden="false" customHeight="false" outlineLevel="0" collapsed="false">
      <c r="A192" s="21" t="s">
        <v>189</v>
      </c>
      <c r="B192" s="21" t="s">
        <v>345</v>
      </c>
      <c r="C192" s="21" t="s">
        <v>346</v>
      </c>
      <c r="D192" s="37" t="n">
        <v>1017</v>
      </c>
      <c r="E192" s="37" t="n">
        <v>1017</v>
      </c>
      <c r="F192" s="63" t="n">
        <f aca="false">IF(E192="","",D192-E192)</f>
        <v>0</v>
      </c>
      <c r="G192" s="37" t="n">
        <v>1058</v>
      </c>
      <c r="H192" s="37" t="n">
        <v>1074</v>
      </c>
      <c r="I192" s="63" t="n">
        <f aca="false">IF(H192="","",G192-H192)</f>
        <v>-16</v>
      </c>
      <c r="J192" s="52" t="n">
        <f aca="false">IF(OR(D192="",D192+G192=0),"",D192/(D192+G192))</f>
        <v>0.490120481927711</v>
      </c>
      <c r="K192" s="52" t="n">
        <f aca="false">IF(E192="","",E192/(E192+H192))</f>
        <v>0.486370157819225</v>
      </c>
      <c r="L192" s="64" t="n">
        <f aca="false">IF(OR(K192="",J192=""),"",(J192-K192)*100)</f>
        <v>0.375032410848558</v>
      </c>
      <c r="M192" s="21"/>
    </row>
    <row r="193" customFormat="false" ht="15" hidden="false" customHeight="false" outlineLevel="0" collapsed="false">
      <c r="A193" s="21" t="s">
        <v>189</v>
      </c>
      <c r="B193" s="21" t="s">
        <v>345</v>
      </c>
      <c r="C193" s="21" t="s">
        <v>347</v>
      </c>
      <c r="D193" s="37" t="n">
        <v>737</v>
      </c>
      <c r="E193" s="37" t="n">
        <v>753</v>
      </c>
      <c r="F193" s="63" t="n">
        <f aca="false">IF(E193="","",D193-E193)</f>
        <v>-16</v>
      </c>
      <c r="G193" s="37" t="n">
        <v>846</v>
      </c>
      <c r="H193" s="37" t="n">
        <v>851</v>
      </c>
      <c r="I193" s="63" t="n">
        <f aca="false">IF(H193="","",G193-H193)</f>
        <v>-5</v>
      </c>
      <c r="J193" s="52" t="n">
        <f aca="false">IF(OR(D193="",D193+G193=0),"",D193/(D193+G193))</f>
        <v>0.465571699305117</v>
      </c>
      <c r="K193" s="52" t="n">
        <f aca="false">IF(E193="","",E193/(E193+H193))</f>
        <v>0.469451371571072</v>
      </c>
      <c r="L193" s="64" t="n">
        <f aca="false">IF(OR(K193="",J193=""),"",(J193-K193)*100)</f>
        <v>-0.387967226595543</v>
      </c>
      <c r="M193" s="21"/>
    </row>
    <row r="194" customFormat="false" ht="15" hidden="false" customHeight="false" outlineLevel="0" collapsed="false">
      <c r="A194" s="21" t="s">
        <v>189</v>
      </c>
      <c r="B194" s="21" t="s">
        <v>345</v>
      </c>
      <c r="C194" s="21" t="s">
        <v>348</v>
      </c>
      <c r="D194" s="37" t="n">
        <v>674</v>
      </c>
      <c r="E194" s="37" t="n">
        <v>713</v>
      </c>
      <c r="F194" s="63" t="n">
        <f aca="false">IF(E194="","",D194-E194)</f>
        <v>-39</v>
      </c>
      <c r="G194" s="37" t="n">
        <v>779</v>
      </c>
      <c r="H194" s="37" t="n">
        <v>780</v>
      </c>
      <c r="I194" s="63" t="n">
        <f aca="false">IF(H194="","",G194-H194)</f>
        <v>-1</v>
      </c>
      <c r="J194" s="52" t="n">
        <f aca="false">IF(OR(D194="",D194+G194=0),"",D194/(D194+G194))</f>
        <v>0.463867859600826</v>
      </c>
      <c r="K194" s="52" t="n">
        <f aca="false">IF(E194="","",E194/(E194+H194))</f>
        <v>0.477561955793704</v>
      </c>
      <c r="L194" s="64" t="n">
        <f aca="false">IF(OR(K194="",J194=""),"",(J194-K194)*100)</f>
        <v>-1.36940961928781</v>
      </c>
      <c r="M194" s="21"/>
    </row>
    <row r="195" customFormat="false" ht="15" hidden="false" customHeight="false" outlineLevel="0" collapsed="false">
      <c r="A195" s="21" t="s">
        <v>189</v>
      </c>
      <c r="B195" s="21" t="s">
        <v>345</v>
      </c>
      <c r="C195" s="21" t="s">
        <v>349</v>
      </c>
      <c r="D195" s="37" t="n">
        <v>1621</v>
      </c>
      <c r="E195" s="37" t="n">
        <v>1648</v>
      </c>
      <c r="F195" s="63" t="n">
        <f aca="false">IF(E195="","",D195-E195)</f>
        <v>-27</v>
      </c>
      <c r="G195" s="37" t="n">
        <v>1850</v>
      </c>
      <c r="H195" s="37" t="n">
        <v>1789</v>
      </c>
      <c r="I195" s="63" t="n">
        <f aca="false">IF(H195="","",G195-H195)</f>
        <v>61</v>
      </c>
      <c r="J195" s="52" t="n">
        <f aca="false">IF(OR(D195="",D195+G195=0),"",D195/(D195+G195))</f>
        <v>0.467012388360703</v>
      </c>
      <c r="K195" s="52" t="n">
        <f aca="false">IF(E195="","",E195/(E195+H195))</f>
        <v>0.479487925516439</v>
      </c>
      <c r="L195" s="64" t="n">
        <f aca="false">IF(OR(K195="",J195=""),"",(J195-K195)*100)</f>
        <v>-1.24755371557358</v>
      </c>
      <c r="M195" s="21"/>
    </row>
    <row r="196" customFormat="false" ht="15" hidden="false" customHeight="false" outlineLevel="0" collapsed="false">
      <c r="A196" s="21" t="s">
        <v>189</v>
      </c>
      <c r="B196" s="21" t="s">
        <v>345</v>
      </c>
      <c r="C196" s="21" t="s">
        <v>350</v>
      </c>
      <c r="D196" s="37" t="n">
        <v>662</v>
      </c>
      <c r="E196" s="37" t="n">
        <v>683</v>
      </c>
      <c r="F196" s="63" t="n">
        <f aca="false">IF(E196="","",D196-E196)</f>
        <v>-21</v>
      </c>
      <c r="G196" s="37" t="n">
        <v>731</v>
      </c>
      <c r="H196" s="37" t="n">
        <v>663</v>
      </c>
      <c r="I196" s="63" t="n">
        <f aca="false">IF(H196="","",G196-H196)</f>
        <v>68</v>
      </c>
      <c r="J196" s="52" t="n">
        <f aca="false">IF(OR(D196="",D196+G196=0),"",D196/(D196+G196))</f>
        <v>0.475233309404164</v>
      </c>
      <c r="K196" s="52" t="n">
        <f aca="false">IF(E196="","",E196/(E196+H196))</f>
        <v>0.507429420505201</v>
      </c>
      <c r="L196" s="64" t="n">
        <f aca="false">IF(OR(K196="",J196=""),"",(J196-K196)*100)</f>
        <v>-3.21961111010369</v>
      </c>
      <c r="M196" s="21"/>
    </row>
    <row r="197" customFormat="false" ht="15" hidden="false" customHeight="false" outlineLevel="0" collapsed="false">
      <c r="A197" s="21" t="s">
        <v>189</v>
      </c>
      <c r="B197" s="21" t="s">
        <v>345</v>
      </c>
      <c r="C197" s="21" t="s">
        <v>351</v>
      </c>
      <c r="D197" s="37" t="n">
        <v>627</v>
      </c>
      <c r="E197" s="37" t="n">
        <v>648</v>
      </c>
      <c r="F197" s="63" t="n">
        <f aca="false">IF(E197="","",D197-E197)</f>
        <v>-21</v>
      </c>
      <c r="G197" s="37" t="n">
        <v>628</v>
      </c>
      <c r="H197" s="37" t="n">
        <v>583</v>
      </c>
      <c r="I197" s="63" t="n">
        <f aca="false">IF(H197="","",G197-H197)</f>
        <v>45</v>
      </c>
      <c r="J197" s="52" t="n">
        <f aca="false">IF(OR(D197="",D197+G197=0),"",D197/(D197+G197))</f>
        <v>0.499601593625498</v>
      </c>
      <c r="K197" s="52" t="n">
        <f aca="false">IF(E197="","",E197/(E197+H197))</f>
        <v>0.526401299756296</v>
      </c>
      <c r="L197" s="64" t="n">
        <f aca="false">IF(OR(K197="",J197=""),"",(J197-K197)*100)</f>
        <v>-2.67997061307977</v>
      </c>
      <c r="M197" s="21"/>
    </row>
    <row r="198" customFormat="false" ht="15" hidden="false" customHeight="false" outlineLevel="0" collapsed="false">
      <c r="A198" s="21" t="s">
        <v>189</v>
      </c>
      <c r="B198" s="21" t="s">
        <v>352</v>
      </c>
      <c r="C198" s="21" t="s">
        <v>353</v>
      </c>
      <c r="D198" s="37" t="n">
        <v>243</v>
      </c>
      <c r="E198" s="37" t="n">
        <v>243</v>
      </c>
      <c r="F198" s="63" t="n">
        <f aca="false">IF(E198="","",D198-E198)</f>
        <v>0</v>
      </c>
      <c r="G198" s="37" t="n">
        <v>540</v>
      </c>
      <c r="H198" s="37" t="n">
        <v>532</v>
      </c>
      <c r="I198" s="63" t="n">
        <f aca="false">IF(H198="","",G198-H198)</f>
        <v>8</v>
      </c>
      <c r="J198" s="52" t="n">
        <f aca="false">IF(OR(D198="",D198+G198=0),"",D198/(D198+G198))</f>
        <v>0.310344827586207</v>
      </c>
      <c r="K198" s="52" t="n">
        <f aca="false">IF(E198="","",E198/(E198+H198))</f>
        <v>0.313548387096774</v>
      </c>
      <c r="L198" s="64" t="n">
        <f aca="false">IF(OR(K198="",J198=""),"",(J198-K198)*100)</f>
        <v>-0.320355951056728</v>
      </c>
      <c r="M198" s="21"/>
    </row>
    <row r="199" customFormat="false" ht="15" hidden="false" customHeight="false" outlineLevel="0" collapsed="false">
      <c r="A199" s="21" t="s">
        <v>189</v>
      </c>
      <c r="B199" s="21" t="s">
        <v>352</v>
      </c>
      <c r="C199" s="21" t="s">
        <v>354</v>
      </c>
      <c r="D199" s="37" t="n">
        <v>836</v>
      </c>
      <c r="E199" s="37" t="n">
        <v>841</v>
      </c>
      <c r="F199" s="63" t="n">
        <f aca="false">IF(E199="","",D199-E199)</f>
        <v>-5</v>
      </c>
      <c r="G199" s="37" t="n">
        <v>1646</v>
      </c>
      <c r="H199" s="37" t="n">
        <v>1653</v>
      </c>
      <c r="I199" s="63" t="n">
        <f aca="false">IF(H199="","",G199-H199)</f>
        <v>-7</v>
      </c>
      <c r="J199" s="52" t="n">
        <f aca="false">IF(OR(D199="",D199+G199=0),"",D199/(D199+G199))</f>
        <v>0.33682514101531</v>
      </c>
      <c r="K199" s="52" t="n">
        <f aca="false">IF(E199="","",E199/(E199+H199))</f>
        <v>0.337209302325581</v>
      </c>
      <c r="L199" s="64" t="n">
        <f aca="false">IF(OR(K199="",J199=""),"",(J199-K199)*100)</f>
        <v>-0.0384161310271136</v>
      </c>
      <c r="M199" s="21"/>
    </row>
    <row r="200" customFormat="false" ht="15" hidden="false" customHeight="false" outlineLevel="0" collapsed="false">
      <c r="A200" s="21" t="s">
        <v>189</v>
      </c>
      <c r="B200" s="21" t="s">
        <v>352</v>
      </c>
      <c r="C200" s="21" t="s">
        <v>355</v>
      </c>
      <c r="D200" s="37" t="n">
        <v>197</v>
      </c>
      <c r="E200" s="37" t="n">
        <v>182</v>
      </c>
      <c r="F200" s="63" t="n">
        <f aca="false">IF(E200="","",D200-E200)</f>
        <v>15</v>
      </c>
      <c r="G200" s="37" t="n">
        <v>476</v>
      </c>
      <c r="H200" s="37" t="n">
        <v>484</v>
      </c>
      <c r="I200" s="63" t="n">
        <f aca="false">IF(H200="","",G200-H200)</f>
        <v>-8</v>
      </c>
      <c r="J200" s="52" t="n">
        <f aca="false">IF(OR(D200="",D200+G200=0),"",D200/(D200+G200))</f>
        <v>0.292719167904903</v>
      </c>
      <c r="K200" s="52" t="n">
        <f aca="false">IF(E200="","",E200/(E200+H200))</f>
        <v>0.273273273273273</v>
      </c>
      <c r="L200" s="64" t="n">
        <f aca="false">IF(OR(K200="",J200=""),"",(J200-K200)*100)</f>
        <v>1.94458946316302</v>
      </c>
      <c r="M200" s="21"/>
    </row>
    <row r="201" customFormat="false" ht="15" hidden="false" customHeight="false" outlineLevel="0" collapsed="false">
      <c r="A201" s="21" t="s">
        <v>189</v>
      </c>
      <c r="B201" s="21" t="s">
        <v>356</v>
      </c>
      <c r="C201" s="21" t="s">
        <v>356</v>
      </c>
      <c r="D201" s="37" t="n">
        <v>1092</v>
      </c>
      <c r="E201" s="37" t="n">
        <v>1172</v>
      </c>
      <c r="F201" s="63" t="n">
        <f aca="false">IF(E201="","",D201-E201)</f>
        <v>-80</v>
      </c>
      <c r="G201" s="37" t="n">
        <v>2293</v>
      </c>
      <c r="H201" s="37" t="n">
        <v>2201</v>
      </c>
      <c r="I201" s="63" t="n">
        <f aca="false">IF(H201="","",G201-H201)</f>
        <v>92</v>
      </c>
      <c r="J201" s="52" t="n">
        <f aca="false">IF(OR(D201="",D201+G201=0),"",D201/(D201+G201))</f>
        <v>0.322599704579025</v>
      </c>
      <c r="K201" s="52" t="n">
        <f aca="false">IF(E201="","",E201/(E201+H201))</f>
        <v>0.347465164541951</v>
      </c>
      <c r="L201" s="64" t="n">
        <f aca="false">IF(OR(K201="",J201=""),"",(J201-K201)*100)</f>
        <v>-2.48654599629257</v>
      </c>
      <c r="M201" s="21"/>
    </row>
    <row r="202" customFormat="false" ht="15" hidden="false" customHeight="false" outlineLevel="0" collapsed="false">
      <c r="A202" s="21" t="s">
        <v>189</v>
      </c>
      <c r="B202" s="21" t="s">
        <v>357</v>
      </c>
      <c r="C202" s="21" t="s">
        <v>358</v>
      </c>
      <c r="D202" s="37" t="n">
        <v>816</v>
      </c>
      <c r="E202" s="37" t="n">
        <v>811</v>
      </c>
      <c r="F202" s="63" t="n">
        <f aca="false">IF(E202="","",D202-E202)</f>
        <v>5</v>
      </c>
      <c r="G202" s="37" t="n">
        <v>901</v>
      </c>
      <c r="H202" s="37" t="n">
        <v>918</v>
      </c>
      <c r="I202" s="63" t="n">
        <f aca="false">IF(H202="","",G202-H202)</f>
        <v>-17</v>
      </c>
      <c r="J202" s="52" t="n">
        <f aca="false">IF(OR(D202="",D202+G202=0),"",D202/(D202+G202))</f>
        <v>0.475247524752475</v>
      </c>
      <c r="K202" s="52" t="n">
        <f aca="false">IF(E202="","",E202/(E202+H202))</f>
        <v>0.469057258530943</v>
      </c>
      <c r="L202" s="64" t="n">
        <f aca="false">IF(OR(K202="",J202=""),"",(J202-K202)*100)</f>
        <v>0.619026622153246</v>
      </c>
      <c r="M202" s="21"/>
    </row>
    <row r="203" customFormat="false" ht="15" hidden="false" customHeight="false" outlineLevel="0" collapsed="false">
      <c r="A203" s="21" t="s">
        <v>189</v>
      </c>
      <c r="B203" s="21" t="s">
        <v>357</v>
      </c>
      <c r="C203" s="21" t="s">
        <v>359</v>
      </c>
      <c r="D203" s="37" t="n">
        <v>634</v>
      </c>
      <c r="E203" s="37" t="n">
        <v>606</v>
      </c>
      <c r="F203" s="63" t="n">
        <f aca="false">IF(E203="","",D203-E203)</f>
        <v>28</v>
      </c>
      <c r="G203" s="37" t="n">
        <v>670</v>
      </c>
      <c r="H203" s="37" t="n">
        <v>669</v>
      </c>
      <c r="I203" s="63" t="n">
        <f aca="false">IF(H203="","",G203-H203)</f>
        <v>1</v>
      </c>
      <c r="J203" s="52" t="n">
        <f aca="false">IF(OR(D203="",D203+G203=0),"",D203/(D203+G203))</f>
        <v>0.486196319018405</v>
      </c>
      <c r="K203" s="52" t="n">
        <f aca="false">IF(E203="","",E203/(E203+H203))</f>
        <v>0.475294117647059</v>
      </c>
      <c r="L203" s="64" t="n">
        <f aca="false">IF(OR(K203="",J203=""),"",(J203-K203)*100)</f>
        <v>1.09022013713461</v>
      </c>
      <c r="M203" s="21"/>
    </row>
    <row r="204" customFormat="false" ht="15" hidden="false" customHeight="false" outlineLevel="0" collapsed="false">
      <c r="A204" s="21" t="s">
        <v>189</v>
      </c>
      <c r="B204" s="21" t="s">
        <v>357</v>
      </c>
      <c r="C204" s="21" t="s">
        <v>360</v>
      </c>
      <c r="D204" s="37" t="n">
        <v>775</v>
      </c>
      <c r="E204" s="37" t="n">
        <v>732</v>
      </c>
      <c r="F204" s="63" t="n">
        <f aca="false">IF(E204="","",D204-E204)</f>
        <v>43</v>
      </c>
      <c r="G204" s="37" t="n">
        <v>587</v>
      </c>
      <c r="H204" s="37" t="n">
        <v>616</v>
      </c>
      <c r="I204" s="63" t="n">
        <f aca="false">IF(H204="","",G204-H204)</f>
        <v>-29</v>
      </c>
      <c r="J204" s="52" t="n">
        <f aca="false">IF(OR(D204="",D204+G204=0),"",D204/(D204+G204))</f>
        <v>0.569016152716593</v>
      </c>
      <c r="K204" s="52" t="n">
        <f aca="false">IF(E204="","",E204/(E204+H204))</f>
        <v>0.543026706231454</v>
      </c>
      <c r="L204" s="64" t="n">
        <f aca="false">IF(OR(K204="",J204=""),"",(J204-K204)*100)</f>
        <v>2.59894464851392</v>
      </c>
      <c r="M204" s="21"/>
    </row>
    <row r="205" customFormat="false" ht="15" hidden="false" customHeight="false" outlineLevel="0" collapsed="false">
      <c r="A205" s="21" t="s">
        <v>189</v>
      </c>
      <c r="B205" s="21" t="s">
        <v>357</v>
      </c>
      <c r="C205" s="21" t="s">
        <v>361</v>
      </c>
      <c r="D205" s="37" t="n">
        <v>901</v>
      </c>
      <c r="E205" s="37" t="n">
        <v>871</v>
      </c>
      <c r="F205" s="63" t="n">
        <f aca="false">IF(E205="","",D205-E205)</f>
        <v>30</v>
      </c>
      <c r="G205" s="37" t="n">
        <v>639</v>
      </c>
      <c r="H205" s="37" t="n">
        <v>616</v>
      </c>
      <c r="I205" s="63" t="n">
        <f aca="false">IF(H205="","",G205-H205)</f>
        <v>23</v>
      </c>
      <c r="J205" s="52" t="n">
        <f aca="false">IF(OR(D205="",D205+G205=0),"",D205/(D205+G205))</f>
        <v>0.585064935064935</v>
      </c>
      <c r="K205" s="52" t="n">
        <f aca="false">IF(E205="","",E205/(E205+H205))</f>
        <v>0.585743106926698</v>
      </c>
      <c r="L205" s="64" t="n">
        <f aca="false">IF(OR(K205="",J205=""),"",(J205-K205)*100)</f>
        <v>-0.0678171861763</v>
      </c>
      <c r="M205" s="21"/>
    </row>
    <row r="206" customFormat="false" ht="15" hidden="false" customHeight="false" outlineLevel="0" collapsed="false">
      <c r="A206" s="21" t="s">
        <v>189</v>
      </c>
      <c r="B206" s="21" t="s">
        <v>357</v>
      </c>
      <c r="C206" s="21" t="s">
        <v>362</v>
      </c>
      <c r="D206" s="37" t="n">
        <v>317</v>
      </c>
      <c r="E206" s="37" t="n">
        <v>305</v>
      </c>
      <c r="F206" s="63" t="n">
        <f aca="false">IF(E206="","",D206-E206)</f>
        <v>12</v>
      </c>
      <c r="G206" s="37" t="n">
        <v>258</v>
      </c>
      <c r="H206" s="37" t="n">
        <v>262</v>
      </c>
      <c r="I206" s="63" t="n">
        <f aca="false">IF(H206="","",G206-H206)</f>
        <v>-4</v>
      </c>
      <c r="J206" s="52" t="n">
        <f aca="false">IF(OR(D206="",D206+G206=0),"",D206/(D206+G206))</f>
        <v>0.551304347826087</v>
      </c>
      <c r="K206" s="52" t="n">
        <f aca="false">IF(E206="","",E206/(E206+H206))</f>
        <v>0.537918871252205</v>
      </c>
      <c r="L206" s="64" t="n">
        <f aca="false">IF(OR(K206="",J206=""),"",(J206-K206)*100)</f>
        <v>1.33854765738823</v>
      </c>
      <c r="M206" s="21"/>
    </row>
    <row r="207" customFormat="false" ht="15" hidden="false" customHeight="false" outlineLevel="0" collapsed="false">
      <c r="A207" s="21" t="s">
        <v>189</v>
      </c>
      <c r="B207" s="21" t="s">
        <v>357</v>
      </c>
      <c r="C207" s="21" t="s">
        <v>363</v>
      </c>
      <c r="D207" s="37" t="n">
        <v>561</v>
      </c>
      <c r="E207" s="37" t="n">
        <v>535</v>
      </c>
      <c r="F207" s="63" t="n">
        <f aca="false">IF(E207="","",D207-E207)</f>
        <v>26</v>
      </c>
      <c r="G207" s="37" t="n">
        <v>337</v>
      </c>
      <c r="H207" s="37" t="n">
        <v>364</v>
      </c>
      <c r="I207" s="63" t="n">
        <f aca="false">IF(H207="","",G207-H207)</f>
        <v>-27</v>
      </c>
      <c r="J207" s="52" t="n">
        <f aca="false">IF(OR(D207="",D207+G207=0),"",D207/(D207+G207))</f>
        <v>0.624721603563474</v>
      </c>
      <c r="K207" s="52" t="n">
        <f aca="false">IF(E207="","",E207/(E207+H207))</f>
        <v>0.595105672969967</v>
      </c>
      <c r="L207" s="64" t="n">
        <f aca="false">IF(OR(K207="",J207=""),"",(J207-K207)*100)</f>
        <v>2.96159305935078</v>
      </c>
      <c r="M207" s="21"/>
    </row>
    <row r="208" customFormat="false" ht="15" hidden="false" customHeight="false" outlineLevel="0" collapsed="false">
      <c r="A208" s="21" t="s">
        <v>189</v>
      </c>
      <c r="B208" s="21" t="s">
        <v>357</v>
      </c>
      <c r="C208" s="21" t="s">
        <v>364</v>
      </c>
      <c r="D208" s="37" t="n">
        <v>534</v>
      </c>
      <c r="E208" s="37" t="n">
        <v>564</v>
      </c>
      <c r="F208" s="63" t="n">
        <f aca="false">IF(E208="","",D208-E208)</f>
        <v>-30</v>
      </c>
      <c r="G208" s="37" t="n">
        <v>437</v>
      </c>
      <c r="H208" s="37" t="n">
        <v>451</v>
      </c>
      <c r="I208" s="63" t="n">
        <f aca="false">IF(H208="","",G208-H208)</f>
        <v>-14</v>
      </c>
      <c r="J208" s="52" t="n">
        <f aca="false">IF(OR(D208="",D208+G208=0),"",D208/(D208+G208))</f>
        <v>0.54994850669413</v>
      </c>
      <c r="K208" s="52" t="n">
        <f aca="false">IF(E208="","",E208/(E208+H208))</f>
        <v>0.555665024630542</v>
      </c>
      <c r="L208" s="64" t="n">
        <f aca="false">IF(OR(K208="",J208=""),"",(J208-K208)*100)</f>
        <v>-0.571651793641215</v>
      </c>
      <c r="M208" s="21"/>
    </row>
    <row r="209" customFormat="false" ht="15" hidden="false" customHeight="false" outlineLevel="0" collapsed="false">
      <c r="A209" s="21" t="s">
        <v>189</v>
      </c>
      <c r="B209" s="21" t="s">
        <v>357</v>
      </c>
      <c r="C209" s="21" t="s">
        <v>365</v>
      </c>
      <c r="D209" s="37" t="n">
        <v>290</v>
      </c>
      <c r="E209" s="37" t="n">
        <v>279</v>
      </c>
      <c r="F209" s="63" t="n">
        <f aca="false">IF(E209="","",D209-E209)</f>
        <v>11</v>
      </c>
      <c r="G209" s="37" t="n">
        <v>294</v>
      </c>
      <c r="H209" s="37" t="n">
        <v>318</v>
      </c>
      <c r="I209" s="63" t="n">
        <f aca="false">IF(H209="","",G209-H209)</f>
        <v>-24</v>
      </c>
      <c r="J209" s="52" t="n">
        <f aca="false">IF(OR(D209="",D209+G209=0),"",D209/(D209+G209))</f>
        <v>0.496575342465753</v>
      </c>
      <c r="K209" s="52" t="n">
        <f aca="false">IF(E209="","",E209/(E209+H209))</f>
        <v>0.467336683417085</v>
      </c>
      <c r="L209" s="64" t="n">
        <f aca="false">IF(OR(K209="",J209=""),"",(J209-K209)*100)</f>
        <v>2.9238659048668</v>
      </c>
      <c r="M209" s="21"/>
    </row>
    <row r="210" customFormat="false" ht="15" hidden="false" customHeight="false" outlineLevel="0" collapsed="false">
      <c r="A210" s="21" t="s">
        <v>189</v>
      </c>
      <c r="B210" s="21" t="s">
        <v>357</v>
      </c>
      <c r="C210" s="21" t="s">
        <v>366</v>
      </c>
      <c r="D210" s="37" t="n">
        <v>615</v>
      </c>
      <c r="E210" s="37" t="n">
        <v>571</v>
      </c>
      <c r="F210" s="63" t="n">
        <f aca="false">IF(E210="","",D210-E210)</f>
        <v>44</v>
      </c>
      <c r="G210" s="37" t="n">
        <v>519</v>
      </c>
      <c r="H210" s="37" t="n">
        <v>544</v>
      </c>
      <c r="I210" s="63" t="n">
        <f aca="false">IF(H210="","",G210-H210)</f>
        <v>-25</v>
      </c>
      <c r="J210" s="52" t="n">
        <f aca="false">IF(OR(D210="",D210+G210=0),"",D210/(D210+G210))</f>
        <v>0.542328042328042</v>
      </c>
      <c r="K210" s="52" t="n">
        <f aca="false">IF(E210="","",E210/(E210+H210))</f>
        <v>0.512107623318386</v>
      </c>
      <c r="L210" s="64" t="n">
        <f aca="false">IF(OR(K210="",J210=""),"",(J210-K210)*100)</f>
        <v>3.02204190096567</v>
      </c>
      <c r="M210" s="21"/>
    </row>
    <row r="211" customFormat="false" ht="15" hidden="false" customHeight="false" outlineLevel="0" collapsed="false">
      <c r="A211" s="21" t="s">
        <v>189</v>
      </c>
      <c r="B211" s="21" t="s">
        <v>357</v>
      </c>
      <c r="C211" s="21" t="s">
        <v>367</v>
      </c>
      <c r="D211" s="37" t="n">
        <v>858</v>
      </c>
      <c r="E211" s="37" t="n">
        <v>829</v>
      </c>
      <c r="F211" s="63" t="n">
        <f aca="false">IF(E211="","",D211-E211)</f>
        <v>29</v>
      </c>
      <c r="G211" s="37" t="n">
        <v>936</v>
      </c>
      <c r="H211" s="37" t="n">
        <v>968</v>
      </c>
      <c r="I211" s="63" t="n">
        <f aca="false">IF(H211="","",G211-H211)</f>
        <v>-32</v>
      </c>
      <c r="J211" s="52" t="n">
        <f aca="false">IF(OR(D211="",D211+G211=0),"",D211/(D211+G211))</f>
        <v>0.478260869565217</v>
      </c>
      <c r="K211" s="52" t="n">
        <f aca="false">IF(E211="","",E211/(E211+H211))</f>
        <v>0.461324429604897</v>
      </c>
      <c r="L211" s="64" t="n">
        <f aca="false">IF(OR(K211="",J211=""),"",(J211-K211)*100)</f>
        <v>1.69364399603203</v>
      </c>
      <c r="M211" s="21"/>
    </row>
    <row r="212" customFormat="false" ht="15" hidden="false" customHeight="false" outlineLevel="0" collapsed="false">
      <c r="A212" s="21" t="s">
        <v>189</v>
      </c>
      <c r="B212" s="21" t="s">
        <v>357</v>
      </c>
      <c r="C212" s="21" t="s">
        <v>368</v>
      </c>
      <c r="D212" s="37" t="n">
        <v>720</v>
      </c>
      <c r="E212" s="37" t="n">
        <v>698</v>
      </c>
      <c r="F212" s="63" t="n">
        <f aca="false">IF(E212="","",D212-E212)</f>
        <v>22</v>
      </c>
      <c r="G212" s="37" t="n">
        <v>722</v>
      </c>
      <c r="H212" s="37" t="n">
        <v>748</v>
      </c>
      <c r="I212" s="63" t="n">
        <f aca="false">IF(H212="","",G212-H212)</f>
        <v>-26</v>
      </c>
      <c r="J212" s="52" t="n">
        <f aca="false">IF(OR(D212="",D212+G212=0),"",D212/(D212+G212))</f>
        <v>0.499306518723994</v>
      </c>
      <c r="K212" s="52" t="n">
        <f aca="false">IF(E212="","",E212/(E212+H212))</f>
        <v>0.482710926694329</v>
      </c>
      <c r="L212" s="64" t="n">
        <f aca="false">IF(OR(K212="",J212=""),"",(J212-K212)*100)</f>
        <v>1.65955920296653</v>
      </c>
      <c r="M212" s="21"/>
    </row>
    <row r="213" customFormat="false" ht="15" hidden="false" customHeight="false" outlineLevel="0" collapsed="false">
      <c r="A213" s="21" t="s">
        <v>189</v>
      </c>
      <c r="B213" s="21" t="s">
        <v>357</v>
      </c>
      <c r="C213" s="21" t="s">
        <v>369</v>
      </c>
      <c r="D213" s="37" t="n">
        <v>629</v>
      </c>
      <c r="E213" s="37" t="n">
        <v>582</v>
      </c>
      <c r="F213" s="63" t="n">
        <f aca="false">IF(E213="","",D213-E213)</f>
        <v>47</v>
      </c>
      <c r="G213" s="37" t="n">
        <v>547</v>
      </c>
      <c r="H213" s="37" t="n">
        <v>562</v>
      </c>
      <c r="I213" s="63" t="n">
        <f aca="false">IF(H213="","",G213-H213)</f>
        <v>-15</v>
      </c>
      <c r="J213" s="52" t="n">
        <f aca="false">IF(OR(D213="",D213+G213=0),"",D213/(D213+G213))</f>
        <v>0.534863945578231</v>
      </c>
      <c r="K213" s="52" t="n">
        <f aca="false">IF(E213="","",E213/(E213+H213))</f>
        <v>0.508741258741259</v>
      </c>
      <c r="L213" s="64" t="n">
        <f aca="false">IF(OR(K213="",J213=""),"",(J213-K213)*100)</f>
        <v>2.61226868369725</v>
      </c>
      <c r="M213" s="21"/>
    </row>
    <row r="214" customFormat="false" ht="15" hidden="false" customHeight="false" outlineLevel="0" collapsed="false">
      <c r="A214" s="21" t="s">
        <v>370</v>
      </c>
      <c r="B214" s="21" t="s">
        <v>371</v>
      </c>
      <c r="C214" s="21" t="s">
        <v>372</v>
      </c>
      <c r="D214" s="37" t="n">
        <v>475</v>
      </c>
      <c r="E214" s="37" t="n">
        <v>471</v>
      </c>
      <c r="F214" s="63" t="n">
        <f aca="false">IF(E214="","",D214-E214)</f>
        <v>4</v>
      </c>
      <c r="G214" s="37" t="n">
        <v>1069</v>
      </c>
      <c r="H214" s="37" t="n">
        <v>1124</v>
      </c>
      <c r="I214" s="63" t="n">
        <f aca="false">IF(H214="","",G214-H214)</f>
        <v>-55</v>
      </c>
      <c r="J214" s="52" t="n">
        <f aca="false">IF(OR(D214="",D214+G214=0),"",D214/(D214+G214))</f>
        <v>0.307642487046632</v>
      </c>
      <c r="K214" s="52" t="n">
        <f aca="false">IF(E214="","",E214/(E214+H214))</f>
        <v>0.295297805642633</v>
      </c>
      <c r="L214" s="64" t="n">
        <f aca="false">IF(OR(K214="",J214=""),"",(J214-K214)*100)</f>
        <v>1.23446814039989</v>
      </c>
      <c r="M214" s="21"/>
    </row>
    <row r="215" customFormat="false" ht="15" hidden="false" customHeight="false" outlineLevel="0" collapsed="false">
      <c r="A215" s="21" t="s">
        <v>370</v>
      </c>
      <c r="B215" s="21" t="s">
        <v>373</v>
      </c>
      <c r="C215" s="21" t="s">
        <v>374</v>
      </c>
      <c r="D215" s="37" t="n">
        <v>1367</v>
      </c>
      <c r="E215" s="37" t="n">
        <v>1414</v>
      </c>
      <c r="F215" s="63" t="n">
        <f aca="false">IF(E215="","",D215-E215)</f>
        <v>-47</v>
      </c>
      <c r="G215" s="37" t="n">
        <v>2802</v>
      </c>
      <c r="H215" s="37" t="n">
        <v>2894</v>
      </c>
      <c r="I215" s="63" t="n">
        <f aca="false">IF(H215="","",G215-H215)</f>
        <v>-92</v>
      </c>
      <c r="J215" s="52" t="n">
        <f aca="false">IF(OR(D215="",D215+G215=0),"",D215/(D215+G215))</f>
        <v>0.327896378028304</v>
      </c>
      <c r="K215" s="52" t="n">
        <f aca="false">IF(E215="","",E215/(E215+H215))</f>
        <v>0.328226555246054</v>
      </c>
      <c r="L215" s="64" t="n">
        <f aca="false">IF(OR(K215="",J215=""),"",(J215-K215)*100)</f>
        <v>-0.033017721774975</v>
      </c>
      <c r="M215" s="21"/>
    </row>
    <row r="216" customFormat="false" ht="15" hidden="false" customHeight="false" outlineLevel="0" collapsed="false">
      <c r="A216" s="21" t="s">
        <v>370</v>
      </c>
      <c r="B216" s="21" t="s">
        <v>375</v>
      </c>
      <c r="C216" s="21" t="s">
        <v>376</v>
      </c>
      <c r="D216" s="37" t="n">
        <v>930</v>
      </c>
      <c r="E216" s="37" t="n">
        <v>521</v>
      </c>
      <c r="F216" s="63" t="n">
        <f aca="false">IF(E216="","",D216-E216)</f>
        <v>409</v>
      </c>
      <c r="G216" s="37" t="n">
        <v>1990</v>
      </c>
      <c r="H216" s="37" t="n">
        <v>997</v>
      </c>
      <c r="I216" s="63" t="n">
        <f aca="false">IF(H216="","",G216-H216)</f>
        <v>993</v>
      </c>
      <c r="J216" s="52" t="n">
        <f aca="false">IF(OR(D216="",D216+G216=0),"",D216/(D216+G216))</f>
        <v>0.318493150684932</v>
      </c>
      <c r="K216" s="52" t="n">
        <f aca="false">IF(E216="","",E216/(E216+H216))</f>
        <v>0.343214756258235</v>
      </c>
      <c r="L216" s="64" t="n">
        <f aca="false">IF(OR(K216="",J216=""),"",(J216-K216)*100)</f>
        <v>-2.4721605573303</v>
      </c>
      <c r="M216" s="21"/>
    </row>
    <row r="217" customFormat="false" ht="15" hidden="false" customHeight="false" outlineLevel="0" collapsed="false">
      <c r="A217" s="21" t="s">
        <v>377</v>
      </c>
      <c r="B217" s="21" t="s">
        <v>378</v>
      </c>
      <c r="C217" s="21" t="s">
        <v>379</v>
      </c>
      <c r="D217" s="37" t="n">
        <v>672</v>
      </c>
      <c r="E217" s="37" t="n">
        <v>687</v>
      </c>
      <c r="F217" s="63" t="n">
        <f aca="false">IF(E217="","",D217-E217)</f>
        <v>-15</v>
      </c>
      <c r="G217" s="37" t="n">
        <v>1025</v>
      </c>
      <c r="H217" s="37" t="n">
        <v>1009</v>
      </c>
      <c r="I217" s="63" t="n">
        <f aca="false">IF(H217="","",G217-H217)</f>
        <v>16</v>
      </c>
      <c r="J217" s="52" t="n">
        <f aca="false">IF(OR(D217="",D217+G217=0),"",D217/(D217+G217))</f>
        <v>0.395992928697702</v>
      </c>
      <c r="K217" s="52" t="n">
        <f aca="false">IF(E217="","",E217/(E217+H217))</f>
        <v>0.405070754716981</v>
      </c>
      <c r="L217" s="64" t="n">
        <f aca="false">IF(OR(K217="",J217=""),"",(J217-K217)*100)</f>
        <v>-0.907782601927931</v>
      </c>
      <c r="M217" s="21"/>
    </row>
    <row r="218" customFormat="false" ht="15" hidden="false" customHeight="false" outlineLevel="0" collapsed="false">
      <c r="A218" s="21" t="s">
        <v>377</v>
      </c>
      <c r="B218" s="21" t="s">
        <v>378</v>
      </c>
      <c r="C218" s="21" t="s">
        <v>380</v>
      </c>
      <c r="D218" s="37" t="n">
        <v>863</v>
      </c>
      <c r="E218" s="37" t="n">
        <v>824</v>
      </c>
      <c r="F218" s="63" t="n">
        <f aca="false">IF(E218="","",D218-E218)</f>
        <v>39</v>
      </c>
      <c r="G218" s="37" t="n">
        <v>903</v>
      </c>
      <c r="H218" s="37" t="n">
        <v>1009</v>
      </c>
      <c r="I218" s="63" t="n">
        <f aca="false">IF(H218="","",G218-H218)</f>
        <v>-106</v>
      </c>
      <c r="J218" s="52" t="n">
        <f aca="false">IF(OR(D218="",D218+G218=0),"",D218/(D218+G218))</f>
        <v>0.488674971687429</v>
      </c>
      <c r="K218" s="52" t="n">
        <f aca="false">IF(E218="","",E218/(E218+H218))</f>
        <v>0.449536279323513</v>
      </c>
      <c r="L218" s="64" t="n">
        <f aca="false">IF(OR(K218="",J218=""),"",(J218-K218)*100)</f>
        <v>3.91386923639159</v>
      </c>
      <c r="M218" s="21"/>
    </row>
    <row r="219" customFormat="false" ht="15" hidden="false" customHeight="false" outlineLevel="0" collapsed="false">
      <c r="A219" s="21" t="s">
        <v>377</v>
      </c>
      <c r="B219" s="21" t="s">
        <v>381</v>
      </c>
      <c r="C219" s="21" t="s">
        <v>382</v>
      </c>
      <c r="D219" s="37" t="n">
        <v>448</v>
      </c>
      <c r="E219" s="37"/>
      <c r="F219" s="63" t="str">
        <f aca="false">IF(E219="","",D219-E219)</f>
        <v/>
      </c>
      <c r="G219" s="37" t="n">
        <v>675</v>
      </c>
      <c r="H219" s="37"/>
      <c r="I219" s="63" t="str">
        <f aca="false">IF(H219="","",G219-H219)</f>
        <v/>
      </c>
      <c r="J219" s="52" t="n">
        <f aca="false">IF(OR(D219="",D219+G219=0),"",D219/(D219+G219))</f>
        <v>0.39893143365984</v>
      </c>
      <c r="K219" s="52" t="str">
        <f aca="false">IF(E219="","",E219/(E219+H219))</f>
        <v/>
      </c>
      <c r="L219" s="64" t="str">
        <f aca="false">IF(OR(K219="",J219=""),"",(J219-K219)*100)</f>
        <v/>
      </c>
      <c r="M219" s="21" t="s">
        <v>685</v>
      </c>
    </row>
    <row r="220" customFormat="false" ht="15" hidden="false" customHeight="false" outlineLevel="0" collapsed="false">
      <c r="A220" s="21" t="s">
        <v>377</v>
      </c>
      <c r="B220" s="21" t="s">
        <v>381</v>
      </c>
      <c r="C220" s="21" t="s">
        <v>383</v>
      </c>
      <c r="D220" s="37" t="n">
        <v>504</v>
      </c>
      <c r="E220" s="37"/>
      <c r="F220" s="63" t="str">
        <f aca="false">IF(E220="","",D220-E220)</f>
        <v/>
      </c>
      <c r="G220" s="37" t="n">
        <v>685</v>
      </c>
      <c r="H220" s="37"/>
      <c r="I220" s="63" t="str">
        <f aca="false">IF(H220="","",G220-H220)</f>
        <v/>
      </c>
      <c r="J220" s="52" t="n">
        <f aca="false">IF(OR(D220="",D220+G220=0),"",D220/(D220+G220))</f>
        <v>0.423885618166527</v>
      </c>
      <c r="K220" s="52" t="str">
        <f aca="false">IF(E220="","",E220/(E220+H220))</f>
        <v/>
      </c>
      <c r="L220" s="64" t="str">
        <f aca="false">IF(OR(K220="",J220=""),"",(J220-K220)*100)</f>
        <v/>
      </c>
      <c r="M220" s="21" t="s">
        <v>685</v>
      </c>
    </row>
    <row r="221" customFormat="false" ht="15" hidden="false" customHeight="false" outlineLevel="0" collapsed="false">
      <c r="A221" s="21" t="s">
        <v>377</v>
      </c>
      <c r="B221" s="21" t="s">
        <v>384</v>
      </c>
      <c r="C221" s="21" t="s">
        <v>385</v>
      </c>
      <c r="D221" s="37" t="n">
        <v>639</v>
      </c>
      <c r="E221" s="37" t="n">
        <v>623</v>
      </c>
      <c r="F221" s="63" t="n">
        <f aca="false">IF(E221="","",D221-E221)</f>
        <v>16</v>
      </c>
      <c r="G221" s="37" t="n">
        <v>731</v>
      </c>
      <c r="H221" s="37" t="n">
        <v>726</v>
      </c>
      <c r="I221" s="63" t="n">
        <f aca="false">IF(H221="","",G221-H221)</f>
        <v>5</v>
      </c>
      <c r="J221" s="52" t="n">
        <f aca="false">IF(OR(D221="",D221+G221=0),"",D221/(D221+G221))</f>
        <v>0.466423357664234</v>
      </c>
      <c r="K221" s="52" t="n">
        <f aca="false">IF(E221="","",E221/(E221+H221))</f>
        <v>0.46182357301705</v>
      </c>
      <c r="L221" s="64" t="n">
        <f aca="false">IF(OR(K221="",J221=""),"",(J221-K221)*100)</f>
        <v>0.459978464718391</v>
      </c>
      <c r="M221" s="21"/>
    </row>
    <row r="222" customFormat="false" ht="15" hidden="false" customHeight="false" outlineLevel="0" collapsed="false">
      <c r="A222" s="21" t="s">
        <v>377</v>
      </c>
      <c r="B222" s="21" t="s">
        <v>252</v>
      </c>
      <c r="C222" s="21" t="s">
        <v>386</v>
      </c>
      <c r="D222" s="37" t="n">
        <v>707</v>
      </c>
      <c r="E222" s="37" t="n">
        <v>775</v>
      </c>
      <c r="F222" s="63" t="n">
        <f aca="false">IF(E222="","",D222-E222)</f>
        <v>-68</v>
      </c>
      <c r="G222" s="37" t="n">
        <v>470</v>
      </c>
      <c r="H222" s="37" t="n">
        <v>447</v>
      </c>
      <c r="I222" s="63" t="n">
        <f aca="false">IF(H222="","",G222-H222)</f>
        <v>23</v>
      </c>
      <c r="J222" s="52" t="n">
        <f aca="false">IF(OR(D222="",D222+G222=0),"",D222/(D222+G222))</f>
        <v>0.600679694137638</v>
      </c>
      <c r="K222" s="52" t="n">
        <f aca="false">IF(E222="","",E222/(E222+H222))</f>
        <v>0.634206219312602</v>
      </c>
      <c r="L222" s="64" t="n">
        <f aca="false">IF(OR(K222="",J222=""),"",(J222-K222)*100)</f>
        <v>-3.35265251749641</v>
      </c>
      <c r="M222" s="21"/>
    </row>
    <row r="223" customFormat="false" ht="15" hidden="false" customHeight="false" outlineLevel="0" collapsed="false">
      <c r="A223" s="21" t="s">
        <v>377</v>
      </c>
      <c r="B223" s="21" t="s">
        <v>252</v>
      </c>
      <c r="C223" s="21" t="s">
        <v>387</v>
      </c>
      <c r="D223" s="37" t="n">
        <v>955</v>
      </c>
      <c r="E223" s="37" t="n">
        <v>982</v>
      </c>
      <c r="F223" s="63" t="n">
        <f aca="false">IF(E223="","",D223-E223)</f>
        <v>-27</v>
      </c>
      <c r="G223" s="37" t="n">
        <v>684</v>
      </c>
      <c r="H223" s="37" t="n">
        <v>684</v>
      </c>
      <c r="I223" s="63" t="n">
        <f aca="false">IF(H223="","",G223-H223)</f>
        <v>0</v>
      </c>
      <c r="J223" s="52" t="n">
        <f aca="false">IF(OR(D223="",D223+G223=0),"",D223/(D223+G223))</f>
        <v>0.582672361195851</v>
      </c>
      <c r="K223" s="52" t="n">
        <f aca="false">IF(E223="","",E223/(E223+H223))</f>
        <v>0.589435774309724</v>
      </c>
      <c r="L223" s="64" t="n">
        <f aca="false">IF(OR(K223="",J223=""),"",(J223-K223)*100)</f>
        <v>-0.676341311387285</v>
      </c>
      <c r="M223" s="21"/>
    </row>
    <row r="224" customFormat="false" ht="15" hidden="false" customHeight="false" outlineLevel="0" collapsed="false">
      <c r="A224" s="21" t="s">
        <v>377</v>
      </c>
      <c r="B224" s="21" t="s">
        <v>252</v>
      </c>
      <c r="C224" s="21" t="s">
        <v>388</v>
      </c>
      <c r="D224" s="37" t="n">
        <v>737</v>
      </c>
      <c r="E224" s="37" t="n">
        <v>750</v>
      </c>
      <c r="F224" s="63" t="n">
        <f aca="false">IF(E224="","",D224-E224)</f>
        <v>-13</v>
      </c>
      <c r="G224" s="37" t="n">
        <v>424</v>
      </c>
      <c r="H224" s="37" t="n">
        <v>421</v>
      </c>
      <c r="I224" s="63" t="n">
        <f aca="false">IF(H224="","",G224-H224)</f>
        <v>3</v>
      </c>
      <c r="J224" s="52" t="n">
        <f aca="false">IF(OR(D224="",D224+G224=0),"",D224/(D224+G224))</f>
        <v>0.63479758828596</v>
      </c>
      <c r="K224" s="52" t="n">
        <f aca="false">IF(E224="","",E224/(E224+H224))</f>
        <v>0.640478223740393</v>
      </c>
      <c r="L224" s="64" t="n">
        <f aca="false">IF(OR(K224="",J224=""),"",(J224-K224)*100)</f>
        <v>-0.568063545443254</v>
      </c>
      <c r="M224" s="21"/>
    </row>
    <row r="225" customFormat="false" ht="15" hidden="false" customHeight="false" outlineLevel="0" collapsed="false">
      <c r="A225" s="21" t="s">
        <v>377</v>
      </c>
      <c r="B225" s="21" t="s">
        <v>252</v>
      </c>
      <c r="C225" s="21" t="s">
        <v>389</v>
      </c>
      <c r="D225" s="37" t="n">
        <v>582</v>
      </c>
      <c r="E225" s="37" t="n">
        <v>592</v>
      </c>
      <c r="F225" s="63" t="n">
        <f aca="false">IF(E225="","",D225-E225)</f>
        <v>-10</v>
      </c>
      <c r="G225" s="37" t="n">
        <v>351</v>
      </c>
      <c r="H225" s="37" t="n">
        <v>337</v>
      </c>
      <c r="I225" s="63" t="n">
        <f aca="false">IF(H225="","",G225-H225)</f>
        <v>14</v>
      </c>
      <c r="J225" s="52" t="n">
        <f aca="false">IF(OR(D225="",D225+G225=0),"",D225/(D225+G225))</f>
        <v>0.62379421221865</v>
      </c>
      <c r="K225" s="52" t="n">
        <f aca="false">IF(E225="","",E225/(E225+H225))</f>
        <v>0.63724434876211</v>
      </c>
      <c r="L225" s="64" t="n">
        <f aca="false">IF(OR(K225="",J225=""),"",(J225-K225)*100)</f>
        <v>-1.34501365434603</v>
      </c>
      <c r="M225" s="21"/>
    </row>
    <row r="226" customFormat="false" ht="15" hidden="false" customHeight="false" outlineLevel="0" collapsed="false">
      <c r="A226" s="21" t="s">
        <v>377</v>
      </c>
      <c r="B226" s="21" t="s">
        <v>252</v>
      </c>
      <c r="C226" s="21" t="s">
        <v>390</v>
      </c>
      <c r="D226" s="37" t="n">
        <v>772</v>
      </c>
      <c r="E226" s="37" t="n">
        <v>740</v>
      </c>
      <c r="F226" s="63" t="n">
        <f aca="false">IF(E226="","",D226-E226)</f>
        <v>32</v>
      </c>
      <c r="G226" s="37" t="n">
        <v>510</v>
      </c>
      <c r="H226" s="37" t="n">
        <v>506</v>
      </c>
      <c r="I226" s="63" t="n">
        <f aca="false">IF(H226="","",G226-H226)</f>
        <v>4</v>
      </c>
      <c r="J226" s="52" t="n">
        <f aca="false">IF(OR(D226="",D226+G226=0),"",D226/(D226+G226))</f>
        <v>0.602184087363495</v>
      </c>
      <c r="K226" s="52" t="n">
        <f aca="false">IF(E226="","",E226/(E226+H226))</f>
        <v>0.593900481540931</v>
      </c>
      <c r="L226" s="64" t="n">
        <f aca="false">IF(OR(K226="",J226=""),"",(J226-K226)*100)</f>
        <v>0.828360582256349</v>
      </c>
      <c r="M226" s="21"/>
    </row>
    <row r="227" customFormat="false" ht="15" hidden="false" customHeight="false" outlineLevel="0" collapsed="false">
      <c r="A227" s="21" t="s">
        <v>377</v>
      </c>
      <c r="B227" s="21" t="s">
        <v>252</v>
      </c>
      <c r="C227" s="21" t="s">
        <v>391</v>
      </c>
      <c r="D227" s="37" t="n">
        <v>1030</v>
      </c>
      <c r="E227" s="37" t="n">
        <v>1037</v>
      </c>
      <c r="F227" s="63" t="n">
        <f aca="false">IF(E227="","",D227-E227)</f>
        <v>-7</v>
      </c>
      <c r="G227" s="37" t="n">
        <v>628</v>
      </c>
      <c r="H227" s="37" t="n">
        <v>623</v>
      </c>
      <c r="I227" s="63" t="n">
        <f aca="false">IF(H227="","",G227-H227)</f>
        <v>5</v>
      </c>
      <c r="J227" s="52" t="n">
        <f aca="false">IF(OR(D227="",D227+G227=0),"",D227/(D227+G227))</f>
        <v>0.621230398069964</v>
      </c>
      <c r="K227" s="52" t="n">
        <f aca="false">IF(E227="","",E227/(E227+H227))</f>
        <v>0.624698795180723</v>
      </c>
      <c r="L227" s="64" t="n">
        <f aca="false">IF(OR(K227="",J227=""),"",(J227-K227)*100)</f>
        <v>-0.346839711075908</v>
      </c>
      <c r="M227" s="21"/>
    </row>
    <row r="228" customFormat="false" ht="15" hidden="false" customHeight="false" outlineLevel="0" collapsed="false">
      <c r="A228" s="21" t="s">
        <v>377</v>
      </c>
      <c r="B228" s="21" t="s">
        <v>252</v>
      </c>
      <c r="C228" s="21" t="s">
        <v>392</v>
      </c>
      <c r="D228" s="37" t="n">
        <v>669</v>
      </c>
      <c r="E228" s="37" t="n">
        <v>681</v>
      </c>
      <c r="F228" s="63" t="n">
        <f aca="false">IF(E228="","",D228-E228)</f>
        <v>-12</v>
      </c>
      <c r="G228" s="37" t="n">
        <v>495</v>
      </c>
      <c r="H228" s="37" t="n">
        <v>513</v>
      </c>
      <c r="I228" s="63" t="n">
        <f aca="false">IF(H228="","",G228-H228)</f>
        <v>-18</v>
      </c>
      <c r="J228" s="52" t="n">
        <f aca="false">IF(OR(D228="",D228+G228=0),"",D228/(D228+G228))</f>
        <v>0.574742268041237</v>
      </c>
      <c r="K228" s="52" t="n">
        <f aca="false">IF(E228="","",E228/(E228+H228))</f>
        <v>0.57035175879397</v>
      </c>
      <c r="L228" s="64" t="n">
        <f aca="false">IF(OR(K228="",J228=""),"",(J228-K228)*100)</f>
        <v>0.439050924726725</v>
      </c>
      <c r="M228" s="21"/>
    </row>
    <row r="229" customFormat="false" ht="15" hidden="false" customHeight="false" outlineLevel="0" collapsed="false">
      <c r="A229" s="21" t="s">
        <v>377</v>
      </c>
      <c r="B229" s="21" t="s">
        <v>252</v>
      </c>
      <c r="C229" s="21" t="s">
        <v>393</v>
      </c>
      <c r="D229" s="37" t="n">
        <v>521</v>
      </c>
      <c r="E229" s="37" t="n">
        <v>529</v>
      </c>
      <c r="F229" s="63" t="n">
        <f aca="false">IF(E229="","",D229-E229)</f>
        <v>-8</v>
      </c>
      <c r="G229" s="37" t="n">
        <v>323</v>
      </c>
      <c r="H229" s="37" t="n">
        <v>293</v>
      </c>
      <c r="I229" s="63" t="n">
        <f aca="false">IF(H229="","",G229-H229)</f>
        <v>30</v>
      </c>
      <c r="J229" s="52" t="n">
        <f aca="false">IF(OR(D229="",D229+G229=0),"",D229/(D229+G229))</f>
        <v>0.617298578199052</v>
      </c>
      <c r="K229" s="52" t="n">
        <f aca="false">IF(E229="","",E229/(E229+H229))</f>
        <v>0.643552311435523</v>
      </c>
      <c r="L229" s="64" t="n">
        <f aca="false">IF(OR(K229="",J229=""),"",(J229-K229)*100)</f>
        <v>-2.62537332364711</v>
      </c>
      <c r="M229" s="21"/>
    </row>
    <row r="230" customFormat="false" ht="15" hidden="false" customHeight="false" outlineLevel="0" collapsed="false">
      <c r="A230" s="21" t="s">
        <v>377</v>
      </c>
      <c r="B230" s="21" t="s">
        <v>252</v>
      </c>
      <c r="C230" s="21" t="s">
        <v>394</v>
      </c>
      <c r="D230" s="37" t="n">
        <v>735</v>
      </c>
      <c r="E230" s="37" t="n">
        <v>767</v>
      </c>
      <c r="F230" s="63" t="n">
        <f aca="false">IF(E230="","",D230-E230)</f>
        <v>-32</v>
      </c>
      <c r="G230" s="37" t="n">
        <v>380</v>
      </c>
      <c r="H230" s="37" t="n">
        <v>384</v>
      </c>
      <c r="I230" s="63" t="n">
        <f aca="false">IF(H230="","",G230-H230)</f>
        <v>-4</v>
      </c>
      <c r="J230" s="52" t="n">
        <f aca="false">IF(OR(D230="",D230+G230=0),"",D230/(D230+G230))</f>
        <v>0.659192825112108</v>
      </c>
      <c r="K230" s="52" t="n">
        <f aca="false">IF(E230="","",E230/(E230+H230))</f>
        <v>0.66637706342311</v>
      </c>
      <c r="L230" s="64" t="n">
        <f aca="false">IF(OR(K230="",J230=""),"",(J230-K230)*100)</f>
        <v>-0.718423831100268</v>
      </c>
      <c r="M230" s="21"/>
    </row>
    <row r="231" customFormat="false" ht="15" hidden="false" customHeight="false" outlineLevel="0" collapsed="false">
      <c r="A231" s="21" t="s">
        <v>377</v>
      </c>
      <c r="B231" s="21" t="s">
        <v>252</v>
      </c>
      <c r="C231" s="21" t="s">
        <v>395</v>
      </c>
      <c r="D231" s="37" t="n">
        <v>914</v>
      </c>
      <c r="E231" s="37" t="n">
        <v>906</v>
      </c>
      <c r="F231" s="63" t="n">
        <f aca="false">IF(E231="","",D231-E231)</f>
        <v>8</v>
      </c>
      <c r="G231" s="37" t="n">
        <v>571</v>
      </c>
      <c r="H231" s="37" t="n">
        <v>586</v>
      </c>
      <c r="I231" s="63" t="n">
        <f aca="false">IF(H231="","",G231-H231)</f>
        <v>-15</v>
      </c>
      <c r="J231" s="52" t="n">
        <f aca="false">IF(OR(D231="",D231+G231=0),"",D231/(D231+G231))</f>
        <v>0.615488215488216</v>
      </c>
      <c r="K231" s="52" t="n">
        <f aca="false">IF(E231="","",E231/(E231+H231))</f>
        <v>0.607238605898123</v>
      </c>
      <c r="L231" s="64" t="n">
        <f aca="false">IF(OR(K231="",J231=""),"",(J231-K231)*100)</f>
        <v>0.824960959009224</v>
      </c>
      <c r="M231" s="21"/>
    </row>
    <row r="232" customFormat="false" ht="15" hidden="false" customHeight="false" outlineLevel="0" collapsed="false">
      <c r="A232" s="21" t="s">
        <v>377</v>
      </c>
      <c r="B232" s="21" t="s">
        <v>252</v>
      </c>
      <c r="C232" s="21" t="s">
        <v>396</v>
      </c>
      <c r="D232" s="37" t="n">
        <v>867</v>
      </c>
      <c r="E232" s="37" t="n">
        <v>954</v>
      </c>
      <c r="F232" s="63" t="n">
        <f aca="false">IF(E232="","",D232-E232)</f>
        <v>-87</v>
      </c>
      <c r="G232" s="37" t="n">
        <v>396</v>
      </c>
      <c r="H232" s="37" t="n">
        <v>416</v>
      </c>
      <c r="I232" s="63" t="n">
        <f aca="false">IF(H232="","",G232-H232)</f>
        <v>-20</v>
      </c>
      <c r="J232" s="52" t="n">
        <f aca="false">IF(OR(D232="",D232+G232=0),"",D232/(D232+G232))</f>
        <v>0.68646080760095</v>
      </c>
      <c r="K232" s="52" t="n">
        <f aca="false">IF(E232="","",E232/(E232+H232))</f>
        <v>0.696350364963504</v>
      </c>
      <c r="L232" s="64" t="n">
        <f aca="false">IF(OR(K232="",J232=""),"",(J232-K232)*100)</f>
        <v>-0.988955736255359</v>
      </c>
      <c r="M232" s="21"/>
    </row>
    <row r="233" customFormat="false" ht="15" hidden="false" customHeight="false" outlineLevel="0" collapsed="false">
      <c r="A233" s="21" t="s">
        <v>377</v>
      </c>
      <c r="B233" s="21" t="s">
        <v>252</v>
      </c>
      <c r="C233" s="21" t="s">
        <v>397</v>
      </c>
      <c r="D233" s="37" t="n">
        <v>727</v>
      </c>
      <c r="E233" s="37" t="n">
        <v>821</v>
      </c>
      <c r="F233" s="63" t="n">
        <f aca="false">IF(E233="","",D233-E233)</f>
        <v>-94</v>
      </c>
      <c r="G233" s="37" t="n">
        <v>465</v>
      </c>
      <c r="H233" s="37" t="n">
        <v>474</v>
      </c>
      <c r="I233" s="63" t="n">
        <f aca="false">IF(H233="","",G233-H233)</f>
        <v>-9</v>
      </c>
      <c r="J233" s="52" t="n">
        <f aca="false">IF(OR(D233="",D233+G233=0),"",D233/(D233+G233))</f>
        <v>0.60989932885906</v>
      </c>
      <c r="K233" s="52" t="n">
        <f aca="false">IF(E233="","",E233/(E233+H233))</f>
        <v>0.633976833976834</v>
      </c>
      <c r="L233" s="64" t="n">
        <f aca="false">IF(OR(K233="",J233=""),"",(J233-K233)*100)</f>
        <v>-2.40775051177736</v>
      </c>
      <c r="M233" s="21"/>
    </row>
    <row r="234" customFormat="false" ht="15" hidden="false" customHeight="false" outlineLevel="0" collapsed="false">
      <c r="A234" s="21" t="s">
        <v>377</v>
      </c>
      <c r="B234" s="21" t="s">
        <v>252</v>
      </c>
      <c r="C234" s="21" t="s">
        <v>398</v>
      </c>
      <c r="D234" s="37" t="n">
        <v>278</v>
      </c>
      <c r="E234" s="37" t="n">
        <v>283</v>
      </c>
      <c r="F234" s="63" t="n">
        <f aca="false">IF(E234="","",D234-E234)</f>
        <v>-5</v>
      </c>
      <c r="G234" s="37" t="n">
        <v>101</v>
      </c>
      <c r="H234" s="37" t="n">
        <v>110</v>
      </c>
      <c r="I234" s="63" t="n">
        <f aca="false">IF(H234="","",G234-H234)</f>
        <v>-9</v>
      </c>
      <c r="J234" s="52" t="n">
        <f aca="false">IF(OR(D234="",D234+G234=0),"",D234/(D234+G234))</f>
        <v>0.733509234828496</v>
      </c>
      <c r="K234" s="52" t="n">
        <f aca="false">IF(E234="","",E234/(E234+H234))</f>
        <v>0.720101781170484</v>
      </c>
      <c r="L234" s="64" t="n">
        <f aca="false">IF(OR(K234="",J234=""),"",(J234-K234)*100)</f>
        <v>1.34074536580125</v>
      </c>
      <c r="M234" s="21"/>
    </row>
    <row r="235" customFormat="false" ht="15" hidden="false" customHeight="false" outlineLevel="0" collapsed="false">
      <c r="A235" s="21" t="s">
        <v>377</v>
      </c>
      <c r="B235" s="21" t="s">
        <v>252</v>
      </c>
      <c r="C235" s="21" t="s">
        <v>399</v>
      </c>
      <c r="D235" s="37" t="n">
        <v>480</v>
      </c>
      <c r="E235" s="37" t="n">
        <v>450</v>
      </c>
      <c r="F235" s="63" t="n">
        <f aca="false">IF(E235="","",D235-E235)</f>
        <v>30</v>
      </c>
      <c r="G235" s="37" t="n">
        <v>175</v>
      </c>
      <c r="H235" s="37" t="n">
        <v>179</v>
      </c>
      <c r="I235" s="63" t="n">
        <f aca="false">IF(H235="","",G235-H235)</f>
        <v>-4</v>
      </c>
      <c r="J235" s="52" t="n">
        <f aca="false">IF(OR(D235="",D235+G235=0),"",D235/(D235+G235))</f>
        <v>0.732824427480916</v>
      </c>
      <c r="K235" s="52" t="n">
        <f aca="false">IF(E235="","",E235/(E235+H235))</f>
        <v>0.715421303656598</v>
      </c>
      <c r="L235" s="64" t="n">
        <f aca="false">IF(OR(K235="",J235=""),"",(J235-K235)*100)</f>
        <v>1.74031238243183</v>
      </c>
      <c r="M235" s="21"/>
    </row>
    <row r="236" customFormat="false" ht="15" hidden="false" customHeight="false" outlineLevel="0" collapsed="false">
      <c r="A236" s="21" t="s">
        <v>377</v>
      </c>
      <c r="B236" s="21" t="s">
        <v>252</v>
      </c>
      <c r="C236" s="21" t="s">
        <v>400</v>
      </c>
      <c r="D236" s="37" t="n">
        <v>478</v>
      </c>
      <c r="E236" s="37" t="n">
        <v>442</v>
      </c>
      <c r="F236" s="63" t="n">
        <f aca="false">IF(E236="","",D236-E236)</f>
        <v>36</v>
      </c>
      <c r="G236" s="37" t="n">
        <v>188</v>
      </c>
      <c r="H236" s="37" t="n">
        <v>161</v>
      </c>
      <c r="I236" s="63" t="n">
        <f aca="false">IF(H236="","",G236-H236)</f>
        <v>27</v>
      </c>
      <c r="J236" s="52" t="n">
        <f aca="false">IF(OR(D236="",D236+G236=0),"",D236/(D236+G236))</f>
        <v>0.717717717717718</v>
      </c>
      <c r="K236" s="52" t="n">
        <f aca="false">IF(E236="","",E236/(E236+H236))</f>
        <v>0.733001658374793</v>
      </c>
      <c r="L236" s="64" t="n">
        <f aca="false">IF(OR(K236="",J236=""),"",(J236-K236)*100)</f>
        <v>-1.52839406570749</v>
      </c>
      <c r="M236" s="21"/>
    </row>
    <row r="237" customFormat="false" ht="15" hidden="false" customHeight="false" outlineLevel="0" collapsed="false">
      <c r="A237" s="21" t="s">
        <v>377</v>
      </c>
      <c r="B237" s="21" t="s">
        <v>252</v>
      </c>
      <c r="C237" s="21" t="s">
        <v>401</v>
      </c>
      <c r="D237" s="37" t="n">
        <v>672</v>
      </c>
      <c r="E237" s="37" t="n">
        <v>599</v>
      </c>
      <c r="F237" s="63" t="n">
        <f aca="false">IF(E237="","",D237-E237)</f>
        <v>73</v>
      </c>
      <c r="G237" s="37" t="n">
        <v>235</v>
      </c>
      <c r="H237" s="37" t="n">
        <v>203</v>
      </c>
      <c r="I237" s="63" t="n">
        <f aca="false">IF(H237="","",G237-H237)</f>
        <v>32</v>
      </c>
      <c r="J237" s="52" t="n">
        <f aca="false">IF(OR(D237="",D237+G237=0),"",D237/(D237+G237))</f>
        <v>0.74090407938258</v>
      </c>
      <c r="K237" s="52" t="n">
        <f aca="false">IF(E237="","",E237/(E237+H237))</f>
        <v>0.746882793017456</v>
      </c>
      <c r="L237" s="64" t="n">
        <f aca="false">IF(OR(K237="",J237=""),"",(J237-K237)*100)</f>
        <v>-0.597871363487645</v>
      </c>
      <c r="M237" s="21"/>
    </row>
    <row r="238" customFormat="false" ht="15" hidden="false" customHeight="false" outlineLevel="0" collapsed="false">
      <c r="A238" s="21" t="s">
        <v>377</v>
      </c>
      <c r="B238" s="21" t="s">
        <v>252</v>
      </c>
      <c r="C238" s="21" t="s">
        <v>402</v>
      </c>
      <c r="D238" s="37" t="n">
        <v>867</v>
      </c>
      <c r="E238" s="37" t="n">
        <v>1506</v>
      </c>
      <c r="F238" s="63" t="n">
        <f aca="false">IF(E238="","",D238-E238)</f>
        <v>-639</v>
      </c>
      <c r="G238" s="37" t="n">
        <v>280</v>
      </c>
      <c r="H238" s="37" t="n">
        <v>338</v>
      </c>
      <c r="I238" s="63" t="n">
        <f aca="false">IF(H238="","",G238-H238)</f>
        <v>-58</v>
      </c>
      <c r="J238" s="52" t="n">
        <f aca="false">IF(OR(D238="",D238+G238=0),"",D238/(D238+G238))</f>
        <v>0.75588491717524</v>
      </c>
      <c r="K238" s="52" t="n">
        <f aca="false">IF(E238="","",E238/(E238+H238))</f>
        <v>0.816702819956616</v>
      </c>
      <c r="L238" s="64" t="n">
        <f aca="false">IF(OR(K238="",J238=""),"",(J238-K238)*100)</f>
        <v>-6.08179027813763</v>
      </c>
      <c r="M238" s="21"/>
    </row>
    <row r="239" customFormat="false" ht="15" hidden="false" customHeight="false" outlineLevel="0" collapsed="false">
      <c r="A239" s="21" t="s">
        <v>377</v>
      </c>
      <c r="B239" s="21" t="s">
        <v>252</v>
      </c>
      <c r="C239" s="21" t="s">
        <v>403</v>
      </c>
      <c r="D239" s="37" t="n">
        <v>696</v>
      </c>
      <c r="E239" s="37" t="n">
        <v>645</v>
      </c>
      <c r="F239" s="63" t="n">
        <f aca="false">IF(E239="","",D239-E239)</f>
        <v>51</v>
      </c>
      <c r="G239" s="37" t="n">
        <v>254</v>
      </c>
      <c r="H239" s="37" t="n">
        <v>243</v>
      </c>
      <c r="I239" s="63" t="n">
        <f aca="false">IF(H239="","",G239-H239)</f>
        <v>11</v>
      </c>
      <c r="J239" s="52" t="n">
        <f aca="false">IF(OR(D239="",D239+G239=0),"",D239/(D239+G239))</f>
        <v>0.732631578947368</v>
      </c>
      <c r="K239" s="52" t="n">
        <f aca="false">IF(E239="","",E239/(E239+H239))</f>
        <v>0.726351351351351</v>
      </c>
      <c r="L239" s="64" t="n">
        <f aca="false">IF(OR(K239="",J239=""),"",(J239-K239)*100)</f>
        <v>0.62802275960171</v>
      </c>
      <c r="M239" s="21"/>
    </row>
    <row r="240" customFormat="false" ht="15" hidden="false" customHeight="false" outlineLevel="0" collapsed="false">
      <c r="A240" s="21" t="s">
        <v>377</v>
      </c>
      <c r="B240" s="21" t="s">
        <v>252</v>
      </c>
      <c r="C240" s="21" t="s">
        <v>404</v>
      </c>
      <c r="D240" s="37" t="n">
        <v>668</v>
      </c>
      <c r="E240" s="37" t="n">
        <v>628</v>
      </c>
      <c r="F240" s="63" t="n">
        <f aca="false">IF(E240="","",D240-E240)</f>
        <v>40</v>
      </c>
      <c r="G240" s="37" t="n">
        <v>246</v>
      </c>
      <c r="H240" s="37" t="n">
        <v>267</v>
      </c>
      <c r="I240" s="63" t="n">
        <f aca="false">IF(H240="","",G240-H240)</f>
        <v>-21</v>
      </c>
      <c r="J240" s="52" t="n">
        <f aca="false">IF(OR(D240="",D240+G240=0),"",D240/(D240+G240))</f>
        <v>0.730853391684902</v>
      </c>
      <c r="K240" s="52" t="n">
        <f aca="false">IF(E240="","",E240/(E240+H240))</f>
        <v>0.701675977653631</v>
      </c>
      <c r="L240" s="64" t="n">
        <f aca="false">IF(OR(K240="",J240=""),"",(J240-K240)*100)</f>
        <v>2.91774140312702</v>
      </c>
      <c r="M240" s="21"/>
    </row>
    <row r="241" customFormat="false" ht="15" hidden="false" customHeight="false" outlineLevel="0" collapsed="false">
      <c r="A241" s="21" t="s">
        <v>377</v>
      </c>
      <c r="B241" s="21" t="s">
        <v>252</v>
      </c>
      <c r="C241" s="21" t="s">
        <v>405</v>
      </c>
      <c r="D241" s="37" t="n">
        <v>408</v>
      </c>
      <c r="E241" s="37" t="n">
        <v>473</v>
      </c>
      <c r="F241" s="63" t="n">
        <f aca="false">IF(E241="","",D241-E241)</f>
        <v>-65</v>
      </c>
      <c r="G241" s="37" t="n">
        <v>183</v>
      </c>
      <c r="H241" s="37" t="n">
        <v>153</v>
      </c>
      <c r="I241" s="63" t="n">
        <f aca="false">IF(H241="","",G241-H241)</f>
        <v>30</v>
      </c>
      <c r="J241" s="52" t="n">
        <f aca="false">IF(OR(D241="",D241+G241=0),"",D241/(D241+G241))</f>
        <v>0.690355329949239</v>
      </c>
      <c r="K241" s="52" t="n">
        <f aca="false">IF(E241="","",E241/(E241+H241))</f>
        <v>0.755591054313099</v>
      </c>
      <c r="L241" s="64" t="n">
        <f aca="false">IF(OR(K241="",J241=""),"",(J241-K241)*100)</f>
        <v>-6.52357243638605</v>
      </c>
      <c r="M241" s="21"/>
    </row>
    <row r="242" customFormat="false" ht="15" hidden="false" customHeight="false" outlineLevel="0" collapsed="false">
      <c r="A242" s="21" t="s">
        <v>377</v>
      </c>
      <c r="B242" s="21" t="s">
        <v>252</v>
      </c>
      <c r="C242" s="21" t="s">
        <v>406</v>
      </c>
      <c r="D242" s="37" t="n">
        <v>750</v>
      </c>
      <c r="E242" s="37" t="n">
        <v>745</v>
      </c>
      <c r="F242" s="63" t="n">
        <f aca="false">IF(E242="","",D242-E242)</f>
        <v>5</v>
      </c>
      <c r="G242" s="37" t="n">
        <v>307</v>
      </c>
      <c r="H242" s="37" t="n">
        <v>301</v>
      </c>
      <c r="I242" s="63" t="n">
        <f aca="false">IF(H242="","",G242-H242)</f>
        <v>6</v>
      </c>
      <c r="J242" s="52" t="n">
        <f aca="false">IF(OR(D242="",D242+G242=0),"",D242/(D242+G242))</f>
        <v>0.709555345316935</v>
      </c>
      <c r="K242" s="52" t="n">
        <f aca="false">IF(E242="","",E242/(E242+H242))</f>
        <v>0.712237093690249</v>
      </c>
      <c r="L242" s="64" t="n">
        <f aca="false">IF(OR(K242="",J242=""),"",(J242-K242)*100)</f>
        <v>-0.268174837331381</v>
      </c>
      <c r="M242" s="21"/>
    </row>
    <row r="243" customFormat="false" ht="15" hidden="false" customHeight="false" outlineLevel="0" collapsed="false">
      <c r="A243" s="21" t="s">
        <v>377</v>
      </c>
      <c r="B243" s="21" t="s">
        <v>252</v>
      </c>
      <c r="C243" s="21" t="s">
        <v>407</v>
      </c>
      <c r="D243" s="37" t="n">
        <v>658</v>
      </c>
      <c r="E243" s="37" t="n">
        <v>682</v>
      </c>
      <c r="F243" s="63" t="n">
        <f aca="false">IF(E243="","",D243-E243)</f>
        <v>-24</v>
      </c>
      <c r="G243" s="37" t="n">
        <v>309</v>
      </c>
      <c r="H243" s="37" t="n">
        <v>313</v>
      </c>
      <c r="I243" s="63" t="n">
        <f aca="false">IF(H243="","",G243-H243)</f>
        <v>-4</v>
      </c>
      <c r="J243" s="52" t="n">
        <f aca="false">IF(OR(D243="",D243+G243=0),"",D243/(D243+G243))</f>
        <v>0.680455015511893</v>
      </c>
      <c r="K243" s="52" t="n">
        <f aca="false">IF(E243="","",E243/(E243+H243))</f>
        <v>0.685427135678392</v>
      </c>
      <c r="L243" s="64" t="n">
        <f aca="false">IF(OR(K243="",J243=""),"",(J243-K243)*100)</f>
        <v>-0.497212016649951</v>
      </c>
      <c r="M243" s="21"/>
    </row>
    <row r="244" customFormat="false" ht="15" hidden="false" customHeight="false" outlineLevel="0" collapsed="false">
      <c r="A244" s="21" t="s">
        <v>377</v>
      </c>
      <c r="B244" s="21" t="s">
        <v>252</v>
      </c>
      <c r="C244" s="21" t="s">
        <v>408</v>
      </c>
      <c r="D244" s="37" t="n">
        <v>696</v>
      </c>
      <c r="E244" s="37" t="n">
        <v>711</v>
      </c>
      <c r="F244" s="63" t="n">
        <f aca="false">IF(E244="","",D244-E244)</f>
        <v>-15</v>
      </c>
      <c r="G244" s="37" t="n">
        <v>327</v>
      </c>
      <c r="H244" s="37" t="n">
        <v>341</v>
      </c>
      <c r="I244" s="63" t="n">
        <f aca="false">IF(H244="","",G244-H244)</f>
        <v>-14</v>
      </c>
      <c r="J244" s="52" t="n">
        <f aca="false">IF(OR(D244="",D244+G244=0),"",D244/(D244+G244))</f>
        <v>0.680351906158358</v>
      </c>
      <c r="K244" s="52" t="n">
        <f aca="false">IF(E244="","",E244/(E244+H244))</f>
        <v>0.675855513307985</v>
      </c>
      <c r="L244" s="64" t="n">
        <f aca="false">IF(OR(K244="",J244=""),"",(J244-K244)*100)</f>
        <v>0.449639285037295</v>
      </c>
      <c r="M244" s="21"/>
    </row>
    <row r="245" customFormat="false" ht="15" hidden="false" customHeight="false" outlineLevel="0" collapsed="false">
      <c r="A245" s="21" t="s">
        <v>377</v>
      </c>
      <c r="B245" s="21" t="s">
        <v>252</v>
      </c>
      <c r="C245" s="21" t="s">
        <v>409</v>
      </c>
      <c r="D245" s="37" t="n">
        <v>586</v>
      </c>
      <c r="E245" s="37"/>
      <c r="F245" s="63" t="str">
        <f aca="false">IF(E245="","",D245-E245)</f>
        <v/>
      </c>
      <c r="G245" s="37" t="n">
        <v>341</v>
      </c>
      <c r="H245" s="37"/>
      <c r="I245" s="63" t="str">
        <f aca="false">IF(H245="","",G245-H245)</f>
        <v/>
      </c>
      <c r="J245" s="52" t="n">
        <f aca="false">IF(OR(D245="",D245+G245=0),"",D245/(D245+G245))</f>
        <v>0.632146709816613</v>
      </c>
      <c r="K245" s="52" t="str">
        <f aca="false">IF(E245="","",E245/(E245+H245))</f>
        <v/>
      </c>
      <c r="L245" s="64" t="str">
        <f aca="false">IF(OR(K245="",J245=""),"",(J245-K245)*100)</f>
        <v/>
      </c>
      <c r="M245" s="21" t="s">
        <v>685</v>
      </c>
    </row>
    <row r="246" customFormat="false" ht="15" hidden="false" customHeight="false" outlineLevel="0" collapsed="false">
      <c r="A246" s="21" t="s">
        <v>377</v>
      </c>
      <c r="B246" s="21" t="s">
        <v>410</v>
      </c>
      <c r="C246" s="21" t="s">
        <v>411</v>
      </c>
      <c r="D246" s="37" t="n">
        <v>443</v>
      </c>
      <c r="E246" s="37" t="n">
        <v>466</v>
      </c>
      <c r="F246" s="63" t="n">
        <f aca="false">IF(E246="","",D246-E246)</f>
        <v>-23</v>
      </c>
      <c r="G246" s="37" t="n">
        <v>407</v>
      </c>
      <c r="H246" s="37" t="n">
        <v>405</v>
      </c>
      <c r="I246" s="63" t="n">
        <f aca="false">IF(H246="","",G246-H246)</f>
        <v>2</v>
      </c>
      <c r="J246" s="52" t="n">
        <f aca="false">IF(OR(D246="",D246+G246=0),"",D246/(D246+G246))</f>
        <v>0.521176470588235</v>
      </c>
      <c r="K246" s="52" t="n">
        <f aca="false">IF(E246="","",E246/(E246+H246))</f>
        <v>0.535017221584386</v>
      </c>
      <c r="L246" s="64" t="n">
        <f aca="false">IF(OR(K246="",J246=""),"",(J246-K246)*100)</f>
        <v>-1.38407509961506</v>
      </c>
      <c r="M246" s="21"/>
    </row>
    <row r="247" customFormat="false" ht="15" hidden="false" customHeight="false" outlineLevel="0" collapsed="false">
      <c r="A247" s="21" t="s">
        <v>377</v>
      </c>
      <c r="B247" s="21" t="s">
        <v>410</v>
      </c>
      <c r="C247" s="21" t="s">
        <v>412</v>
      </c>
      <c r="D247" s="37" t="n">
        <v>568</v>
      </c>
      <c r="E247" s="37" t="n">
        <v>552</v>
      </c>
      <c r="F247" s="63" t="n">
        <f aca="false">IF(E247="","",D247-E247)</f>
        <v>16</v>
      </c>
      <c r="G247" s="37" t="n">
        <v>525</v>
      </c>
      <c r="H247" s="37" t="n">
        <v>506</v>
      </c>
      <c r="I247" s="63" t="n">
        <f aca="false">IF(H247="","",G247-H247)</f>
        <v>19</v>
      </c>
      <c r="J247" s="52" t="n">
        <f aca="false">IF(OR(D247="",D247+G247=0),"",D247/(D247+G247))</f>
        <v>0.519670631290027</v>
      </c>
      <c r="K247" s="52" t="n">
        <f aca="false">IF(E247="","",E247/(E247+H247))</f>
        <v>0.521739130434783</v>
      </c>
      <c r="L247" s="64" t="n">
        <f aca="false">IF(OR(K247="",J247=""),"",(J247-K247)*100)</f>
        <v>-0.206849914475515</v>
      </c>
      <c r="M247" s="21"/>
    </row>
    <row r="248" customFormat="false" ht="15" hidden="false" customHeight="false" outlineLevel="0" collapsed="false">
      <c r="A248" s="21" t="s">
        <v>377</v>
      </c>
      <c r="B248" s="21" t="s">
        <v>410</v>
      </c>
      <c r="C248" s="21" t="s">
        <v>413</v>
      </c>
      <c r="D248" s="37" t="n">
        <v>671</v>
      </c>
      <c r="E248" s="37" t="n">
        <v>722</v>
      </c>
      <c r="F248" s="63" t="n">
        <f aca="false">IF(E248="","",D248-E248)</f>
        <v>-51</v>
      </c>
      <c r="G248" s="37" t="n">
        <v>575</v>
      </c>
      <c r="H248" s="37" t="n">
        <v>596</v>
      </c>
      <c r="I248" s="63" t="n">
        <f aca="false">IF(H248="","",G248-H248)</f>
        <v>-21</v>
      </c>
      <c r="J248" s="52" t="n">
        <f aca="false">IF(OR(D248="",D248+G248=0),"",D248/(D248+G248))</f>
        <v>0.538523274478331</v>
      </c>
      <c r="K248" s="52" t="n">
        <f aca="false">IF(E248="","",E248/(E248+H248))</f>
        <v>0.547799696509863</v>
      </c>
      <c r="L248" s="64" t="n">
        <f aca="false">IF(OR(K248="",J248=""),"",(J248-K248)*100)</f>
        <v>-0.927642203153267</v>
      </c>
      <c r="M248" s="21"/>
    </row>
    <row r="249" customFormat="false" ht="15" hidden="false" customHeight="false" outlineLevel="0" collapsed="false">
      <c r="A249" s="21" t="s">
        <v>377</v>
      </c>
      <c r="B249" s="21" t="s">
        <v>410</v>
      </c>
      <c r="C249" s="21" t="s">
        <v>414</v>
      </c>
      <c r="D249" s="37" t="n">
        <v>303</v>
      </c>
      <c r="E249" s="37" t="n">
        <v>339</v>
      </c>
      <c r="F249" s="63" t="n">
        <f aca="false">IF(E249="","",D249-E249)</f>
        <v>-36</v>
      </c>
      <c r="G249" s="37" t="n">
        <v>319</v>
      </c>
      <c r="H249" s="37" t="n">
        <v>338</v>
      </c>
      <c r="I249" s="63" t="n">
        <f aca="false">IF(H249="","",G249-H249)</f>
        <v>-19</v>
      </c>
      <c r="J249" s="52" t="n">
        <f aca="false">IF(OR(D249="",D249+G249=0),"",D249/(D249+G249))</f>
        <v>0.487138263665595</v>
      </c>
      <c r="K249" s="52" t="n">
        <f aca="false">IF(E249="","",E249/(E249+H249))</f>
        <v>0.500738552437223</v>
      </c>
      <c r="L249" s="64" t="n">
        <f aca="false">IF(OR(K249="",J249=""),"",(J249-K249)*100)</f>
        <v>-1.36002887716282</v>
      </c>
      <c r="M249" s="21"/>
    </row>
    <row r="250" customFormat="false" ht="15" hidden="false" customHeight="false" outlineLevel="0" collapsed="false">
      <c r="A250" s="21" t="s">
        <v>377</v>
      </c>
      <c r="B250" s="21" t="s">
        <v>410</v>
      </c>
      <c r="C250" s="21" t="s">
        <v>415</v>
      </c>
      <c r="D250" s="37" t="n">
        <v>592</v>
      </c>
      <c r="E250" s="37" t="n">
        <v>579</v>
      </c>
      <c r="F250" s="63" t="n">
        <f aca="false">IF(E250="","",D250-E250)</f>
        <v>13</v>
      </c>
      <c r="G250" s="37" t="n">
        <v>482</v>
      </c>
      <c r="H250" s="37" t="n">
        <v>482</v>
      </c>
      <c r="I250" s="63" t="n">
        <f aca="false">IF(H250="","",G250-H250)</f>
        <v>0</v>
      </c>
      <c r="J250" s="52" t="n">
        <f aca="false">IF(OR(D250="",D250+G250=0),"",D250/(D250+G250))</f>
        <v>0.5512104283054</v>
      </c>
      <c r="K250" s="52" t="n">
        <f aca="false">IF(E250="","",E250/(E250+H250))</f>
        <v>0.545711592836946</v>
      </c>
      <c r="L250" s="64" t="n">
        <f aca="false">IF(OR(K250="",J250=""),"",(J250-K250)*100)</f>
        <v>0.549883546845409</v>
      </c>
      <c r="M250" s="21"/>
    </row>
    <row r="251" customFormat="false" ht="15" hidden="false" customHeight="false" outlineLevel="0" collapsed="false">
      <c r="A251" s="21" t="s">
        <v>377</v>
      </c>
      <c r="B251" s="21" t="s">
        <v>410</v>
      </c>
      <c r="C251" s="21" t="s">
        <v>416</v>
      </c>
      <c r="D251" s="37" t="n">
        <v>562</v>
      </c>
      <c r="E251" s="37" t="n">
        <v>562</v>
      </c>
      <c r="F251" s="63" t="n">
        <f aca="false">IF(E251="","",D251-E251)</f>
        <v>0</v>
      </c>
      <c r="G251" s="37" t="n">
        <v>497</v>
      </c>
      <c r="H251" s="37" t="n">
        <v>525</v>
      </c>
      <c r="I251" s="63" t="n">
        <f aca="false">IF(H251="","",G251-H251)</f>
        <v>-28</v>
      </c>
      <c r="J251" s="52" t="n">
        <f aca="false">IF(OR(D251="",D251+G251=0),"",D251/(D251+G251))</f>
        <v>0.530689329556185</v>
      </c>
      <c r="K251" s="52" t="n">
        <f aca="false">IF(E251="","",E251/(E251+H251))</f>
        <v>0.517019319227231</v>
      </c>
      <c r="L251" s="64" t="n">
        <f aca="false">IF(OR(K251="",J251=""),"",(J251-K251)*100)</f>
        <v>1.36700103289542</v>
      </c>
      <c r="M251" s="21"/>
    </row>
    <row r="252" customFormat="false" ht="15" hidden="false" customHeight="false" outlineLevel="0" collapsed="false">
      <c r="A252" s="21" t="s">
        <v>377</v>
      </c>
      <c r="B252" s="21" t="s">
        <v>410</v>
      </c>
      <c r="C252" s="21" t="s">
        <v>417</v>
      </c>
      <c r="D252" s="37" t="n">
        <v>347</v>
      </c>
      <c r="E252" s="37" t="n">
        <v>337</v>
      </c>
      <c r="F252" s="63" t="n">
        <f aca="false">IF(E252="","",D252-E252)</f>
        <v>10</v>
      </c>
      <c r="G252" s="37" t="n">
        <v>288</v>
      </c>
      <c r="H252" s="37" t="n">
        <v>296</v>
      </c>
      <c r="I252" s="63" t="n">
        <f aca="false">IF(H252="","",G252-H252)</f>
        <v>-8</v>
      </c>
      <c r="J252" s="52" t="n">
        <f aca="false">IF(OR(D252="",D252+G252=0),"",D252/(D252+G252))</f>
        <v>0.546456692913386</v>
      </c>
      <c r="K252" s="52" t="n">
        <f aca="false">IF(E252="","",E252/(E252+H252))</f>
        <v>0.532385466034755</v>
      </c>
      <c r="L252" s="64" t="n">
        <f aca="false">IF(OR(K252="",J252=""),"",(J252-K252)*100)</f>
        <v>1.40712268786307</v>
      </c>
      <c r="M252" s="21"/>
    </row>
    <row r="253" customFormat="false" ht="15" hidden="false" customHeight="false" outlineLevel="0" collapsed="false">
      <c r="A253" s="21" t="s">
        <v>377</v>
      </c>
      <c r="B253" s="21" t="s">
        <v>410</v>
      </c>
      <c r="C253" s="21" t="s">
        <v>418</v>
      </c>
      <c r="D253" s="37" t="n">
        <v>508</v>
      </c>
      <c r="E253" s="37" t="n">
        <v>517</v>
      </c>
      <c r="F253" s="63" t="n">
        <f aca="false">IF(E253="","",D253-E253)</f>
        <v>-9</v>
      </c>
      <c r="G253" s="37" t="n">
        <v>388</v>
      </c>
      <c r="H253" s="37" t="n">
        <v>388</v>
      </c>
      <c r="I253" s="63" t="n">
        <f aca="false">IF(H253="","",G253-H253)</f>
        <v>0</v>
      </c>
      <c r="J253" s="52" t="n">
        <f aca="false">IF(OR(D253="",D253+G253=0),"",D253/(D253+G253))</f>
        <v>0.566964285714286</v>
      </c>
      <c r="K253" s="52" t="n">
        <f aca="false">IF(E253="","",E253/(E253+H253))</f>
        <v>0.571270718232044</v>
      </c>
      <c r="L253" s="64" t="n">
        <f aca="false">IF(OR(K253="",J253=""),"",(J253-K253)*100)</f>
        <v>-0.430643251775853</v>
      </c>
      <c r="M253" s="21"/>
    </row>
    <row r="254" customFormat="false" ht="15" hidden="false" customHeight="false" outlineLevel="0" collapsed="false">
      <c r="A254" s="21" t="s">
        <v>377</v>
      </c>
      <c r="B254" s="21" t="s">
        <v>410</v>
      </c>
      <c r="C254" s="21" t="s">
        <v>419</v>
      </c>
      <c r="D254" s="37" t="n">
        <v>314</v>
      </c>
      <c r="E254" s="37" t="n">
        <v>329</v>
      </c>
      <c r="F254" s="63" t="n">
        <f aca="false">IF(E254="","",D254-E254)</f>
        <v>-15</v>
      </c>
      <c r="G254" s="37" t="n">
        <v>234</v>
      </c>
      <c r="H254" s="37" t="n">
        <v>217</v>
      </c>
      <c r="I254" s="63" t="n">
        <f aca="false">IF(H254="","",G254-H254)</f>
        <v>17</v>
      </c>
      <c r="J254" s="52" t="n">
        <f aca="false">IF(OR(D254="",D254+G254=0),"",D254/(D254+G254))</f>
        <v>0.572992700729927</v>
      </c>
      <c r="K254" s="52" t="n">
        <f aca="false">IF(E254="","",E254/(E254+H254))</f>
        <v>0.602564102564103</v>
      </c>
      <c r="L254" s="64" t="n">
        <f aca="false">IF(OR(K254="",J254=""),"",(J254-K254)*100)</f>
        <v>-2.95714018341755</v>
      </c>
      <c r="M254" s="21"/>
    </row>
    <row r="255" customFormat="false" ht="15" hidden="false" customHeight="false" outlineLevel="0" collapsed="false">
      <c r="A255" s="21" t="s">
        <v>377</v>
      </c>
      <c r="B255" s="21" t="s">
        <v>410</v>
      </c>
      <c r="C255" s="21" t="s">
        <v>420</v>
      </c>
      <c r="D255" s="37" t="n">
        <v>345</v>
      </c>
      <c r="E255" s="37" t="n">
        <v>352</v>
      </c>
      <c r="F255" s="63" t="n">
        <f aca="false">IF(E255="","",D255-E255)</f>
        <v>-7</v>
      </c>
      <c r="G255" s="37" t="n">
        <v>343</v>
      </c>
      <c r="H255" s="37" t="n">
        <v>326</v>
      </c>
      <c r="I255" s="63" t="n">
        <f aca="false">IF(H255="","",G255-H255)</f>
        <v>17</v>
      </c>
      <c r="J255" s="52" t="n">
        <f aca="false">IF(OR(D255="",D255+G255=0),"",D255/(D255+G255))</f>
        <v>0.501453488372093</v>
      </c>
      <c r="K255" s="52" t="n">
        <f aca="false">IF(E255="","",E255/(E255+H255))</f>
        <v>0.519174041297935</v>
      </c>
      <c r="L255" s="64" t="n">
        <f aca="false">IF(OR(K255="",J255=""),"",(J255-K255)*100)</f>
        <v>-1.77205529258421</v>
      </c>
      <c r="M255" s="21"/>
    </row>
    <row r="256" customFormat="false" ht="15" hidden="false" customHeight="false" outlineLevel="0" collapsed="false">
      <c r="A256" s="21" t="s">
        <v>377</v>
      </c>
      <c r="B256" s="21" t="s">
        <v>410</v>
      </c>
      <c r="C256" s="21" t="s">
        <v>421</v>
      </c>
      <c r="D256" s="37" t="n">
        <v>423</v>
      </c>
      <c r="E256" s="37" t="n">
        <v>420</v>
      </c>
      <c r="F256" s="63" t="n">
        <f aca="false">IF(E256="","",D256-E256)</f>
        <v>3</v>
      </c>
      <c r="G256" s="37" t="n">
        <v>373</v>
      </c>
      <c r="H256" s="37" t="n">
        <v>378</v>
      </c>
      <c r="I256" s="63" t="n">
        <f aca="false">IF(H256="","",G256-H256)</f>
        <v>-5</v>
      </c>
      <c r="J256" s="52" t="n">
        <f aca="false">IF(OR(D256="",D256+G256=0),"",D256/(D256+G256))</f>
        <v>0.531407035175879</v>
      </c>
      <c r="K256" s="52" t="n">
        <f aca="false">IF(E256="","",E256/(E256+H256))</f>
        <v>0.526315789473684</v>
      </c>
      <c r="L256" s="64" t="n">
        <f aca="false">IF(OR(K256="",J256=""),"",(J256-K256)*100)</f>
        <v>0.509124570219521</v>
      </c>
      <c r="M256" s="21"/>
    </row>
    <row r="257" customFormat="false" ht="15" hidden="false" customHeight="false" outlineLevel="0" collapsed="false">
      <c r="A257" s="21" t="s">
        <v>377</v>
      </c>
      <c r="B257" s="21" t="s">
        <v>410</v>
      </c>
      <c r="C257" s="21" t="s">
        <v>422</v>
      </c>
      <c r="D257" s="37" t="n">
        <v>493</v>
      </c>
      <c r="E257" s="37" t="n">
        <v>522</v>
      </c>
      <c r="F257" s="63" t="n">
        <f aca="false">IF(E257="","",D257-E257)</f>
        <v>-29</v>
      </c>
      <c r="G257" s="37" t="n">
        <v>399</v>
      </c>
      <c r="H257" s="37" t="n">
        <v>400</v>
      </c>
      <c r="I257" s="63" t="n">
        <f aca="false">IF(H257="","",G257-H257)</f>
        <v>-1</v>
      </c>
      <c r="J257" s="52" t="n">
        <f aca="false">IF(OR(D257="",D257+G257=0),"",D257/(D257+G257))</f>
        <v>0.552690582959641</v>
      </c>
      <c r="K257" s="52" t="n">
        <f aca="false">IF(E257="","",E257/(E257+H257))</f>
        <v>0.566160520607375</v>
      </c>
      <c r="L257" s="64" t="n">
        <f aca="false">IF(OR(K257="",J257=""),"",(J257-K257)*100)</f>
        <v>-1.34699376477341</v>
      </c>
      <c r="M257" s="21"/>
    </row>
    <row r="258" customFormat="false" ht="15" hidden="false" customHeight="false" outlineLevel="0" collapsed="false">
      <c r="A258" s="21" t="s">
        <v>377</v>
      </c>
      <c r="B258" s="21" t="s">
        <v>410</v>
      </c>
      <c r="C258" s="21" t="s">
        <v>423</v>
      </c>
      <c r="D258" s="37" t="n">
        <v>436</v>
      </c>
      <c r="E258" s="37" t="n">
        <v>436</v>
      </c>
      <c r="F258" s="63" t="n">
        <f aca="false">IF(E258="","",D258-E258)</f>
        <v>0</v>
      </c>
      <c r="G258" s="37" t="n">
        <v>431</v>
      </c>
      <c r="H258" s="37" t="n">
        <v>423</v>
      </c>
      <c r="I258" s="63" t="n">
        <f aca="false">IF(H258="","",G258-H258)</f>
        <v>8</v>
      </c>
      <c r="J258" s="52" t="n">
        <f aca="false">IF(OR(D258="",D258+G258=0),"",D258/(D258+G258))</f>
        <v>0.502883506343714</v>
      </c>
      <c r="K258" s="52" t="n">
        <f aca="false">IF(E258="","",E258/(E258+H258))</f>
        <v>0.507566938300349</v>
      </c>
      <c r="L258" s="64" t="n">
        <f aca="false">IF(OR(K258="",J258=""),"",(J258-K258)*100)</f>
        <v>-0.468343195663534</v>
      </c>
      <c r="M258" s="21"/>
    </row>
    <row r="259" customFormat="false" ht="15" hidden="false" customHeight="false" outlineLevel="0" collapsed="false">
      <c r="A259" s="21" t="s">
        <v>377</v>
      </c>
      <c r="B259" s="21" t="s">
        <v>410</v>
      </c>
      <c r="C259" s="21" t="s">
        <v>424</v>
      </c>
      <c r="D259" s="37" t="n">
        <v>945</v>
      </c>
      <c r="E259" s="37" t="n">
        <v>925</v>
      </c>
      <c r="F259" s="63" t="n">
        <f aca="false">IF(E259="","",D259-E259)</f>
        <v>20</v>
      </c>
      <c r="G259" s="37" t="n">
        <v>786</v>
      </c>
      <c r="H259" s="37" t="n">
        <v>710</v>
      </c>
      <c r="I259" s="63" t="n">
        <f aca="false">IF(H259="","",G259-H259)</f>
        <v>76</v>
      </c>
      <c r="J259" s="52" t="n">
        <f aca="false">IF(OR(D259="",D259+G259=0),"",D259/(D259+G259))</f>
        <v>0.545927209705373</v>
      </c>
      <c r="K259" s="52" t="n">
        <f aca="false">IF(E259="","",E259/(E259+H259))</f>
        <v>0.565749235474006</v>
      </c>
      <c r="L259" s="64" t="n">
        <f aca="false">IF(OR(K259="",J259=""),"",(J259-K259)*100)</f>
        <v>-1.98220257686336</v>
      </c>
      <c r="M259" s="21"/>
    </row>
    <row r="260" customFormat="false" ht="15" hidden="false" customHeight="false" outlineLevel="0" collapsed="false">
      <c r="A260" s="21" t="s">
        <v>377</v>
      </c>
      <c r="B260" s="21" t="s">
        <v>410</v>
      </c>
      <c r="C260" s="21" t="s">
        <v>425</v>
      </c>
      <c r="D260" s="37" t="n">
        <v>504</v>
      </c>
      <c r="E260" s="37" t="n">
        <v>535</v>
      </c>
      <c r="F260" s="63" t="n">
        <f aca="false">IF(E260="","",D260-E260)</f>
        <v>-31</v>
      </c>
      <c r="G260" s="37" t="n">
        <v>515</v>
      </c>
      <c r="H260" s="37" t="n">
        <v>514</v>
      </c>
      <c r="I260" s="63" t="n">
        <f aca="false">IF(H260="","",G260-H260)</f>
        <v>1</v>
      </c>
      <c r="J260" s="52" t="n">
        <f aca="false">IF(OR(D260="",D260+G260=0),"",D260/(D260+G260))</f>
        <v>0.494602551521099</v>
      </c>
      <c r="K260" s="52" t="n">
        <f aca="false">IF(E260="","",E260/(E260+H260))</f>
        <v>0.510009532888465</v>
      </c>
      <c r="L260" s="64" t="n">
        <f aca="false">IF(OR(K260="",J260=""),"",(J260-K260)*100)</f>
        <v>-1.54069813673661</v>
      </c>
      <c r="M260" s="21"/>
    </row>
    <row r="261" customFormat="false" ht="15" hidden="false" customHeight="false" outlineLevel="0" collapsed="false">
      <c r="A261" s="21" t="s">
        <v>377</v>
      </c>
      <c r="B261" s="21" t="s">
        <v>410</v>
      </c>
      <c r="C261" s="21" t="s">
        <v>426</v>
      </c>
      <c r="D261" s="37" t="n">
        <v>480</v>
      </c>
      <c r="E261" s="37" t="n">
        <v>499</v>
      </c>
      <c r="F261" s="63" t="n">
        <f aca="false">IF(E261="","",D261-E261)</f>
        <v>-19</v>
      </c>
      <c r="G261" s="37" t="n">
        <v>459</v>
      </c>
      <c r="H261" s="37" t="n">
        <v>468</v>
      </c>
      <c r="I261" s="63" t="n">
        <f aca="false">IF(H261="","",G261-H261)</f>
        <v>-9</v>
      </c>
      <c r="J261" s="52" t="n">
        <f aca="false">IF(OR(D261="",D261+G261=0),"",D261/(D261+G261))</f>
        <v>0.511182108626198</v>
      </c>
      <c r="K261" s="52" t="n">
        <f aca="false">IF(E261="","",E261/(E261+H261))</f>
        <v>0.516028955532575</v>
      </c>
      <c r="L261" s="64" t="n">
        <f aca="false">IF(OR(K261="",J261=""),"",(J261-K261)*100)</f>
        <v>-0.484684690637693</v>
      </c>
      <c r="M261" s="21"/>
    </row>
    <row r="262" customFormat="false" ht="15" hidden="false" customHeight="false" outlineLevel="0" collapsed="false">
      <c r="A262" s="21" t="s">
        <v>377</v>
      </c>
      <c r="B262" s="21" t="s">
        <v>410</v>
      </c>
      <c r="C262" s="21" t="s">
        <v>427</v>
      </c>
      <c r="D262" s="37" t="n">
        <v>508</v>
      </c>
      <c r="E262" s="37" t="n">
        <v>503</v>
      </c>
      <c r="F262" s="63" t="n">
        <f aca="false">IF(E262="","",D262-E262)</f>
        <v>5</v>
      </c>
      <c r="G262" s="37" t="n">
        <v>457</v>
      </c>
      <c r="H262" s="37" t="n">
        <v>468</v>
      </c>
      <c r="I262" s="63" t="n">
        <f aca="false">IF(H262="","",G262-H262)</f>
        <v>-11</v>
      </c>
      <c r="J262" s="52" t="n">
        <f aca="false">IF(OR(D262="",D262+G262=0),"",D262/(D262+G262))</f>
        <v>0.526424870466321</v>
      </c>
      <c r="K262" s="52" t="n">
        <f aca="false">IF(E262="","",E262/(E262+H262))</f>
        <v>0.518022657054583</v>
      </c>
      <c r="L262" s="64" t="n">
        <f aca="false">IF(OR(K262="",J262=""),"",(J262-K262)*100)</f>
        <v>0.84022134117383</v>
      </c>
      <c r="M262" s="21"/>
    </row>
    <row r="263" customFormat="false" ht="15" hidden="false" customHeight="false" outlineLevel="0" collapsed="false">
      <c r="A263" s="21" t="s">
        <v>377</v>
      </c>
      <c r="B263" s="21" t="s">
        <v>428</v>
      </c>
      <c r="C263" s="21" t="s">
        <v>429</v>
      </c>
      <c r="D263" s="37" t="n">
        <v>859</v>
      </c>
      <c r="E263" s="37" t="n">
        <v>939</v>
      </c>
      <c r="F263" s="63" t="n">
        <f aca="false">IF(E263="","",D263-E263)</f>
        <v>-80</v>
      </c>
      <c r="G263" s="37" t="n">
        <v>1531</v>
      </c>
      <c r="H263" s="37" t="n">
        <v>1452</v>
      </c>
      <c r="I263" s="63" t="n">
        <f aca="false">IF(H263="","",G263-H263)</f>
        <v>79</v>
      </c>
      <c r="J263" s="52" t="n">
        <f aca="false">IF(OR(D263="",D263+G263=0),"",D263/(D263+G263))</f>
        <v>0.359414225941423</v>
      </c>
      <c r="K263" s="52" t="n">
        <f aca="false">IF(E263="","",E263/(E263+H263))</f>
        <v>0.392722710163112</v>
      </c>
      <c r="L263" s="64" t="n">
        <f aca="false">IF(OR(K263="",J263=""),"",(J263-K263)*100)</f>
        <v>-3.33084842216891</v>
      </c>
      <c r="M263" s="21"/>
    </row>
    <row r="264" customFormat="false" ht="15" hidden="false" customHeight="false" outlineLevel="0" collapsed="false">
      <c r="A264" s="21" t="s">
        <v>377</v>
      </c>
      <c r="B264" s="21" t="s">
        <v>428</v>
      </c>
      <c r="C264" s="21" t="s">
        <v>430</v>
      </c>
      <c r="D264" s="37" t="n">
        <v>792</v>
      </c>
      <c r="E264" s="37" t="n">
        <v>820</v>
      </c>
      <c r="F264" s="63" t="n">
        <f aca="false">IF(E264="","",D264-E264)</f>
        <v>-28</v>
      </c>
      <c r="G264" s="37" t="n">
        <v>1245</v>
      </c>
      <c r="H264" s="37" t="n">
        <v>1185</v>
      </c>
      <c r="I264" s="63" t="n">
        <f aca="false">IF(H264="","",G264-H264)</f>
        <v>60</v>
      </c>
      <c r="J264" s="52" t="n">
        <f aca="false">IF(OR(D264="",D264+G264=0),"",D264/(D264+G264))</f>
        <v>0.38880706921944</v>
      </c>
      <c r="K264" s="52" t="n">
        <f aca="false">IF(E264="","",E264/(E264+H264))</f>
        <v>0.408977556109726</v>
      </c>
      <c r="L264" s="64" t="n">
        <f aca="false">IF(OR(K264="",J264=""),"",(J264-K264)*100)</f>
        <v>-2.01704868902853</v>
      </c>
      <c r="M264" s="21"/>
    </row>
    <row r="265" customFormat="false" ht="15" hidden="false" customHeight="false" outlineLevel="0" collapsed="false">
      <c r="A265" s="21" t="s">
        <v>377</v>
      </c>
      <c r="B265" s="21" t="s">
        <v>428</v>
      </c>
      <c r="C265" s="21" t="s">
        <v>431</v>
      </c>
      <c r="D265" s="37" t="n">
        <v>394</v>
      </c>
      <c r="E265" s="37" t="n">
        <v>410</v>
      </c>
      <c r="F265" s="63" t="n">
        <f aca="false">IF(E265="","",D265-E265)</f>
        <v>-16</v>
      </c>
      <c r="G265" s="37" t="n">
        <v>793</v>
      </c>
      <c r="H265" s="37" t="n">
        <v>822</v>
      </c>
      <c r="I265" s="63" t="n">
        <f aca="false">IF(H265="","",G265-H265)</f>
        <v>-29</v>
      </c>
      <c r="J265" s="52" t="n">
        <f aca="false">IF(OR(D265="",D265+G265=0),"",D265/(D265+G265))</f>
        <v>0.331929233361415</v>
      </c>
      <c r="K265" s="52" t="n">
        <f aca="false">IF(E265="","",E265/(E265+H265))</f>
        <v>0.332792207792208</v>
      </c>
      <c r="L265" s="64" t="n">
        <f aca="false">IF(OR(K265="",J265=""),"",(J265-K265)*100)</f>
        <v>-0.0862974430792474</v>
      </c>
      <c r="M265" s="21"/>
    </row>
    <row r="266" customFormat="false" ht="15" hidden="false" customHeight="false" outlineLevel="0" collapsed="false">
      <c r="A266" s="21" t="s">
        <v>377</v>
      </c>
      <c r="B266" s="21" t="s">
        <v>432</v>
      </c>
      <c r="C266" s="21" t="s">
        <v>432</v>
      </c>
      <c r="D266" s="37" t="n">
        <v>42</v>
      </c>
      <c r="E266" s="37" t="n">
        <v>40</v>
      </c>
      <c r="F266" s="63" t="n">
        <f aca="false">IF(E266="","",D266-E266)</f>
        <v>2</v>
      </c>
      <c r="G266" s="37" t="n">
        <v>79</v>
      </c>
      <c r="H266" s="37" t="n">
        <v>83</v>
      </c>
      <c r="I266" s="63" t="n">
        <f aca="false">IF(H266="","",G266-H266)</f>
        <v>-4</v>
      </c>
      <c r="J266" s="52" t="n">
        <f aca="false">IF(OR(D266="",D266+G266=0),"",D266/(D266+G266))</f>
        <v>0.347107438016529</v>
      </c>
      <c r="K266" s="52" t="n">
        <f aca="false">IF(E266="","",E266/(E266+H266))</f>
        <v>0.32520325203252</v>
      </c>
      <c r="L266" s="64" t="n">
        <f aca="false">IF(OR(K266="",J266=""),"",(J266-K266)*100)</f>
        <v>2.19041859840086</v>
      </c>
      <c r="M266" s="21"/>
    </row>
    <row r="267" customFormat="false" ht="15" hidden="false" customHeight="false" outlineLevel="0" collapsed="false">
      <c r="A267" s="21" t="s">
        <v>377</v>
      </c>
      <c r="B267" s="21" t="s">
        <v>433</v>
      </c>
      <c r="C267" s="21" t="s">
        <v>434</v>
      </c>
      <c r="D267" s="37" t="n">
        <v>701</v>
      </c>
      <c r="E267" s="37" t="n">
        <v>774</v>
      </c>
      <c r="F267" s="63" t="n">
        <f aca="false">IF(E267="","",D267-E267)</f>
        <v>-73</v>
      </c>
      <c r="G267" s="37" t="n">
        <v>1034</v>
      </c>
      <c r="H267" s="37" t="n">
        <v>1032</v>
      </c>
      <c r="I267" s="63" t="n">
        <f aca="false">IF(H267="","",G267-H267)</f>
        <v>2</v>
      </c>
      <c r="J267" s="52" t="n">
        <f aca="false">IF(OR(D267="",D267+G267=0),"",D267/(D267+G267))</f>
        <v>0.404034582132565</v>
      </c>
      <c r="K267" s="52" t="n">
        <f aca="false">IF(E267="","",E267/(E267+H267))</f>
        <v>0.428571428571429</v>
      </c>
      <c r="L267" s="64" t="n">
        <f aca="false">IF(OR(K267="",J267=""),"",(J267-K267)*100)</f>
        <v>-2.45368464388637</v>
      </c>
      <c r="M267" s="21"/>
    </row>
    <row r="268" customFormat="false" ht="15" hidden="false" customHeight="false" outlineLevel="0" collapsed="false">
      <c r="A268" s="21" t="s">
        <v>377</v>
      </c>
      <c r="B268" s="21" t="s">
        <v>433</v>
      </c>
      <c r="C268" s="21" t="s">
        <v>435</v>
      </c>
      <c r="D268" s="37" t="n">
        <v>711</v>
      </c>
      <c r="E268" s="37" t="n">
        <v>710</v>
      </c>
      <c r="F268" s="63" t="n">
        <f aca="false">IF(E268="","",D268-E268)</f>
        <v>1</v>
      </c>
      <c r="G268" s="37" t="n">
        <v>913</v>
      </c>
      <c r="H268" s="37" t="n">
        <v>927</v>
      </c>
      <c r="I268" s="63" t="n">
        <f aca="false">IF(H268="","",G268-H268)</f>
        <v>-14</v>
      </c>
      <c r="J268" s="52" t="n">
        <f aca="false">IF(OR(D268="",D268+G268=0),"",D268/(D268+G268))</f>
        <v>0.437807881773399</v>
      </c>
      <c r="K268" s="52" t="n">
        <f aca="false">IF(E268="","",E268/(E268+H268))</f>
        <v>0.433720219914478</v>
      </c>
      <c r="L268" s="64" t="n">
        <f aca="false">IF(OR(K268="",J268=""),"",(J268-K268)*100)</f>
        <v>0.408766185892134</v>
      </c>
      <c r="M268" s="21"/>
    </row>
    <row r="269" customFormat="false" ht="15" hidden="false" customHeight="false" outlineLevel="0" collapsed="false">
      <c r="A269" s="21" t="s">
        <v>377</v>
      </c>
      <c r="B269" s="21" t="s">
        <v>436</v>
      </c>
      <c r="C269" s="21" t="s">
        <v>436</v>
      </c>
      <c r="D269" s="37" t="n">
        <v>188</v>
      </c>
      <c r="E269" s="37" t="n">
        <v>217</v>
      </c>
      <c r="F269" s="63" t="n">
        <f aca="false">IF(E269="","",D269-E269)</f>
        <v>-29</v>
      </c>
      <c r="G269" s="37" t="n">
        <v>323</v>
      </c>
      <c r="H269" s="37" t="n">
        <v>309</v>
      </c>
      <c r="I269" s="63" t="n">
        <f aca="false">IF(H269="","",G269-H269)</f>
        <v>14</v>
      </c>
      <c r="J269" s="52" t="n">
        <f aca="false">IF(OR(D269="",D269+G269=0),"",D269/(D269+G269))</f>
        <v>0.367906066536204</v>
      </c>
      <c r="K269" s="52" t="n">
        <f aca="false">IF(E269="","",E269/(E269+H269))</f>
        <v>0.41254752851711</v>
      </c>
      <c r="L269" s="64" t="n">
        <f aca="false">IF(OR(K269="",J269=""),"",(J269-K269)*100)</f>
        <v>-4.46414619809067</v>
      </c>
      <c r="M269" s="21"/>
    </row>
    <row r="270" customFormat="false" ht="15" hidden="false" customHeight="false" outlineLevel="0" collapsed="false">
      <c r="A270" s="21" t="s">
        <v>377</v>
      </c>
      <c r="B270" s="21" t="s">
        <v>437</v>
      </c>
      <c r="C270" s="21" t="s">
        <v>438</v>
      </c>
      <c r="D270" s="37" t="n">
        <v>711</v>
      </c>
      <c r="E270" s="37"/>
      <c r="F270" s="63" t="str">
        <f aca="false">IF(E270="","",D270-E270)</f>
        <v/>
      </c>
      <c r="G270" s="37" t="n">
        <v>404</v>
      </c>
      <c r="H270" s="37"/>
      <c r="I270" s="63" t="str">
        <f aca="false">IF(H270="","",G270-H270)</f>
        <v/>
      </c>
      <c r="J270" s="52" t="n">
        <f aca="false">IF(OR(D270="",D270+G270=0),"",D270/(D270+G270))</f>
        <v>0.637668161434978</v>
      </c>
      <c r="K270" s="52" t="str">
        <f aca="false">IF(E270="","",E270/(E270+H270))</f>
        <v/>
      </c>
      <c r="L270" s="64" t="str">
        <f aca="false">IF(OR(K270="",J270=""),"",(J270-K270)*100)</f>
        <v/>
      </c>
      <c r="M270" s="21" t="s">
        <v>685</v>
      </c>
    </row>
    <row r="271" customFormat="false" ht="15" hidden="false" customHeight="false" outlineLevel="0" collapsed="false">
      <c r="A271" s="21" t="s">
        <v>377</v>
      </c>
      <c r="B271" s="21" t="s">
        <v>437</v>
      </c>
      <c r="C271" s="21" t="s">
        <v>439</v>
      </c>
      <c r="D271" s="37" t="n">
        <v>485</v>
      </c>
      <c r="E271" s="37"/>
      <c r="F271" s="63" t="str">
        <f aca="false">IF(E271="","",D271-E271)</f>
        <v/>
      </c>
      <c r="G271" s="37" t="n">
        <v>215</v>
      </c>
      <c r="H271" s="37"/>
      <c r="I271" s="63" t="str">
        <f aca="false">IF(H271="","",G271-H271)</f>
        <v/>
      </c>
      <c r="J271" s="52" t="n">
        <f aca="false">IF(OR(D271="",D271+G271=0),"",D271/(D271+G271))</f>
        <v>0.692857142857143</v>
      </c>
      <c r="K271" s="52" t="str">
        <f aca="false">IF(E271="","",E271/(E271+H271))</f>
        <v/>
      </c>
      <c r="L271" s="64" t="str">
        <f aca="false">IF(OR(K271="",J271=""),"",(J271-K271)*100)</f>
        <v/>
      </c>
      <c r="M271" s="21" t="s">
        <v>685</v>
      </c>
    </row>
    <row r="272" customFormat="false" ht="15" hidden="false" customHeight="false" outlineLevel="0" collapsed="false">
      <c r="A272" s="21" t="s">
        <v>377</v>
      </c>
      <c r="B272" s="21" t="s">
        <v>437</v>
      </c>
      <c r="C272" s="21" t="s">
        <v>440</v>
      </c>
      <c r="D272" s="37" t="n">
        <v>454</v>
      </c>
      <c r="E272" s="37" t="n">
        <v>492</v>
      </c>
      <c r="F272" s="63" t="n">
        <f aca="false">IF(E272="","",D272-E272)</f>
        <v>-38</v>
      </c>
      <c r="G272" s="37" t="n">
        <v>182</v>
      </c>
      <c r="H272" s="37" t="n">
        <v>197</v>
      </c>
      <c r="I272" s="63" t="n">
        <f aca="false">IF(H272="","",G272-H272)</f>
        <v>-15</v>
      </c>
      <c r="J272" s="52" t="n">
        <f aca="false">IF(OR(D272="",D272+G272=0),"",D272/(D272+G272))</f>
        <v>0.713836477987421</v>
      </c>
      <c r="K272" s="52" t="n">
        <f aca="false">IF(E272="","",E272/(E272+H272))</f>
        <v>0.714078374455733</v>
      </c>
      <c r="L272" s="64" t="n">
        <f aca="false">IF(OR(K272="",J272=""),"",(J272-K272)*100)</f>
        <v>-0.0241896468311631</v>
      </c>
      <c r="M272" s="21"/>
    </row>
    <row r="273" customFormat="false" ht="15" hidden="false" customHeight="false" outlineLevel="0" collapsed="false">
      <c r="A273" s="21" t="s">
        <v>377</v>
      </c>
      <c r="B273" s="21" t="s">
        <v>437</v>
      </c>
      <c r="C273" s="21" t="s">
        <v>441</v>
      </c>
      <c r="D273" s="37" t="n">
        <v>691</v>
      </c>
      <c r="E273" s="37" t="n">
        <v>743</v>
      </c>
      <c r="F273" s="63" t="n">
        <f aca="false">IF(E273="","",D273-E273)</f>
        <v>-52</v>
      </c>
      <c r="G273" s="37" t="n">
        <v>284</v>
      </c>
      <c r="H273" s="37" t="n">
        <v>265</v>
      </c>
      <c r="I273" s="63" t="n">
        <f aca="false">IF(H273="","",G273-H273)</f>
        <v>19</v>
      </c>
      <c r="J273" s="52" t="n">
        <f aca="false">IF(OR(D273="",D273+G273=0),"",D273/(D273+G273))</f>
        <v>0.708717948717949</v>
      </c>
      <c r="K273" s="52" t="n">
        <f aca="false">IF(E273="","",E273/(E273+H273))</f>
        <v>0.737103174603175</v>
      </c>
      <c r="L273" s="64" t="n">
        <f aca="false">IF(OR(K273="",J273=""),"",(J273-K273)*100)</f>
        <v>-2.8385225885226</v>
      </c>
      <c r="M273" s="21"/>
    </row>
    <row r="274" customFormat="false" ht="15" hidden="false" customHeight="false" outlineLevel="0" collapsed="false">
      <c r="A274" s="21" t="s">
        <v>377</v>
      </c>
      <c r="B274" s="21" t="s">
        <v>437</v>
      </c>
      <c r="C274" s="21" t="s">
        <v>442</v>
      </c>
      <c r="D274" s="37" t="n">
        <v>620</v>
      </c>
      <c r="E274" s="37" t="n">
        <v>1109</v>
      </c>
      <c r="F274" s="63" t="n">
        <f aca="false">IF(E274="","",D274-E274)</f>
        <v>-489</v>
      </c>
      <c r="G274" s="37" t="n">
        <v>203</v>
      </c>
      <c r="H274" s="37" t="n">
        <v>290</v>
      </c>
      <c r="I274" s="63" t="n">
        <f aca="false">IF(H274="","",G274-H274)</f>
        <v>-87</v>
      </c>
      <c r="J274" s="52" t="n">
        <f aca="false">IF(OR(D274="",D274+G274=0),"",D274/(D274+G274))</f>
        <v>0.753341433778858</v>
      </c>
      <c r="K274" s="52" t="n">
        <f aca="false">IF(E274="","",E274/(E274+H274))</f>
        <v>0.792709077912795</v>
      </c>
      <c r="L274" s="64" t="n">
        <f aca="false">IF(OR(K274="",J274=""),"",(J274-K274)*100)</f>
        <v>-3.9367644133937</v>
      </c>
      <c r="M274" s="21"/>
    </row>
    <row r="275" customFormat="false" ht="15" hidden="false" customHeight="false" outlineLevel="0" collapsed="false">
      <c r="A275" s="21" t="s">
        <v>377</v>
      </c>
      <c r="B275" s="21" t="s">
        <v>437</v>
      </c>
      <c r="C275" s="21" t="s">
        <v>443</v>
      </c>
      <c r="D275" s="37" t="n">
        <v>593</v>
      </c>
      <c r="E275" s="37" t="n">
        <v>566</v>
      </c>
      <c r="F275" s="63" t="n">
        <f aca="false">IF(E275="","",D275-E275)</f>
        <v>27</v>
      </c>
      <c r="G275" s="37" t="n">
        <v>254</v>
      </c>
      <c r="H275" s="37" t="n">
        <v>257</v>
      </c>
      <c r="I275" s="63" t="n">
        <f aca="false">IF(H275="","",G275-H275)</f>
        <v>-3</v>
      </c>
      <c r="J275" s="52" t="n">
        <f aca="false">IF(OR(D275="",D275+G275=0),"",D275/(D275+G275))</f>
        <v>0.700118063754427</v>
      </c>
      <c r="K275" s="52" t="n">
        <f aca="false">IF(E275="","",E275/(E275+H275))</f>
        <v>0.687727825030377</v>
      </c>
      <c r="L275" s="64" t="n">
        <f aca="false">IF(OR(K275="",J275=""),"",(J275-K275)*100)</f>
        <v>1.23902387240508</v>
      </c>
      <c r="M275" s="21"/>
    </row>
    <row r="276" customFormat="false" ht="15" hidden="false" customHeight="false" outlineLevel="0" collapsed="false">
      <c r="A276" s="21" t="s">
        <v>377</v>
      </c>
      <c r="B276" s="21" t="s">
        <v>437</v>
      </c>
      <c r="C276" s="21" t="s">
        <v>444</v>
      </c>
      <c r="D276" s="37" t="n">
        <v>516</v>
      </c>
      <c r="E276" s="37" t="n">
        <v>517</v>
      </c>
      <c r="F276" s="63" t="n">
        <f aca="false">IF(E276="","",D276-E276)</f>
        <v>-1</v>
      </c>
      <c r="G276" s="37" t="n">
        <v>262</v>
      </c>
      <c r="H276" s="37" t="n">
        <v>265</v>
      </c>
      <c r="I276" s="63" t="n">
        <f aca="false">IF(H276="","",G276-H276)</f>
        <v>-3</v>
      </c>
      <c r="J276" s="52" t="n">
        <f aca="false">IF(OR(D276="",D276+G276=0),"",D276/(D276+G276))</f>
        <v>0.663239074550129</v>
      </c>
      <c r="K276" s="52" t="n">
        <f aca="false">IF(E276="","",E276/(E276+H276))</f>
        <v>0.661125319693095</v>
      </c>
      <c r="L276" s="64" t="n">
        <f aca="false">IF(OR(K276="",J276=""),"",(J276-K276)*100)</f>
        <v>0.211375485703391</v>
      </c>
      <c r="M276" s="21"/>
    </row>
    <row r="277" customFormat="false" ht="15" hidden="false" customHeight="false" outlineLevel="0" collapsed="false">
      <c r="A277" s="21" t="s">
        <v>377</v>
      </c>
      <c r="B277" s="21" t="s">
        <v>437</v>
      </c>
      <c r="C277" s="21" t="s">
        <v>445</v>
      </c>
      <c r="D277" s="37" t="n">
        <v>213</v>
      </c>
      <c r="E277" s="37" t="n">
        <v>233</v>
      </c>
      <c r="F277" s="63" t="n">
        <f aca="false">IF(E277="","",D277-E277)</f>
        <v>-20</v>
      </c>
      <c r="G277" s="37" t="n">
        <v>89</v>
      </c>
      <c r="H277" s="37" t="n">
        <v>84</v>
      </c>
      <c r="I277" s="63" t="n">
        <f aca="false">IF(H277="","",G277-H277)</f>
        <v>5</v>
      </c>
      <c r="J277" s="52" t="n">
        <f aca="false">IF(OR(D277="",D277+G277=0),"",D277/(D277+G277))</f>
        <v>0.705298013245033</v>
      </c>
      <c r="K277" s="52" t="n">
        <f aca="false">IF(E277="","",E277/(E277+H277))</f>
        <v>0.735015772870662</v>
      </c>
      <c r="L277" s="64" t="n">
        <f aca="false">IF(OR(K277="",J277=""),"",(J277-K277)*100)</f>
        <v>-2.97177596256293</v>
      </c>
      <c r="M277" s="21"/>
    </row>
    <row r="278" customFormat="false" ht="15" hidden="false" customHeight="false" outlineLevel="0" collapsed="false">
      <c r="A278" s="21" t="s">
        <v>377</v>
      </c>
      <c r="B278" s="21" t="s">
        <v>437</v>
      </c>
      <c r="C278" s="21" t="s">
        <v>446</v>
      </c>
      <c r="D278" s="37" t="n">
        <v>359</v>
      </c>
      <c r="E278" s="37" t="n">
        <v>391</v>
      </c>
      <c r="F278" s="63" t="n">
        <f aca="false">IF(E278="","",D278-E278)</f>
        <v>-32</v>
      </c>
      <c r="G278" s="37" t="n">
        <v>137</v>
      </c>
      <c r="H278" s="37" t="n">
        <v>126</v>
      </c>
      <c r="I278" s="63" t="n">
        <f aca="false">IF(H278="","",G278-H278)</f>
        <v>11</v>
      </c>
      <c r="J278" s="52" t="n">
        <f aca="false">IF(OR(D278="",D278+G278=0),"",D278/(D278+G278))</f>
        <v>0.723790322580645</v>
      </c>
      <c r="K278" s="52" t="n">
        <f aca="false">IF(E278="","",E278/(E278+H278))</f>
        <v>0.756286266924565</v>
      </c>
      <c r="L278" s="64" t="n">
        <f aca="false">IF(OR(K278="",J278=""),"",(J278-K278)*100)</f>
        <v>-3.24959443439197</v>
      </c>
      <c r="M278" s="21"/>
    </row>
    <row r="279" customFormat="false" ht="15" hidden="false" customHeight="false" outlineLevel="0" collapsed="false">
      <c r="A279" s="21" t="s">
        <v>377</v>
      </c>
      <c r="B279" s="21" t="s">
        <v>437</v>
      </c>
      <c r="C279" s="21" t="s">
        <v>447</v>
      </c>
      <c r="D279" s="37" t="n">
        <v>407</v>
      </c>
      <c r="E279" s="37" t="n">
        <v>381</v>
      </c>
      <c r="F279" s="63" t="n">
        <f aca="false">IF(E279="","",D279-E279)</f>
        <v>26</v>
      </c>
      <c r="G279" s="37" t="n">
        <v>165</v>
      </c>
      <c r="H279" s="37" t="n">
        <v>184</v>
      </c>
      <c r="I279" s="63" t="n">
        <f aca="false">IF(H279="","",G279-H279)</f>
        <v>-19</v>
      </c>
      <c r="J279" s="52" t="n">
        <f aca="false">IF(OR(D279="",D279+G279=0),"",D279/(D279+G279))</f>
        <v>0.711538461538462</v>
      </c>
      <c r="K279" s="52" t="n">
        <f aca="false">IF(E279="","",E279/(E279+H279))</f>
        <v>0.674336283185841</v>
      </c>
      <c r="L279" s="64" t="n">
        <f aca="false">IF(OR(K279="",J279=""),"",(J279-K279)*100)</f>
        <v>3.72021783526209</v>
      </c>
      <c r="M279" s="21"/>
    </row>
    <row r="280" customFormat="false" ht="15" hidden="false" customHeight="false" outlineLevel="0" collapsed="false">
      <c r="A280" s="21" t="s">
        <v>377</v>
      </c>
      <c r="B280" s="21" t="s">
        <v>437</v>
      </c>
      <c r="C280" s="21" t="s">
        <v>448</v>
      </c>
      <c r="D280" s="37" t="n">
        <v>695</v>
      </c>
      <c r="E280" s="37"/>
      <c r="F280" s="63" t="str">
        <f aca="false">IF(E280="","",D280-E280)</f>
        <v/>
      </c>
      <c r="G280" s="37" t="n">
        <v>421</v>
      </c>
      <c r="H280" s="37"/>
      <c r="I280" s="63" t="str">
        <f aca="false">IF(H280="","",G280-H280)</f>
        <v/>
      </c>
      <c r="J280" s="52" t="n">
        <f aca="false">IF(OR(D280="",D280+G280=0),"",D280/(D280+G280))</f>
        <v>0.622759856630824</v>
      </c>
      <c r="K280" s="52" t="str">
        <f aca="false">IF(E280="","",E280/(E280+H280))</f>
        <v/>
      </c>
      <c r="L280" s="64" t="str">
        <f aca="false">IF(OR(K280="",J280=""),"",(J280-K280)*100)</f>
        <v/>
      </c>
      <c r="M280" s="21" t="s">
        <v>685</v>
      </c>
    </row>
    <row r="281" customFormat="false" ht="15" hidden="false" customHeight="false" outlineLevel="0" collapsed="false">
      <c r="A281" s="21" t="s">
        <v>377</v>
      </c>
      <c r="B281" s="21" t="s">
        <v>437</v>
      </c>
      <c r="C281" s="21" t="s">
        <v>449</v>
      </c>
      <c r="D281" s="37" t="n">
        <v>969</v>
      </c>
      <c r="E281" s="37" t="n">
        <v>912</v>
      </c>
      <c r="F281" s="63" t="n">
        <f aca="false">IF(E281="","",D281-E281)</f>
        <v>57</v>
      </c>
      <c r="G281" s="37" t="n">
        <v>417</v>
      </c>
      <c r="H281" s="37" t="n">
        <v>445</v>
      </c>
      <c r="I281" s="63" t="n">
        <f aca="false">IF(H281="","",G281-H281)</f>
        <v>-28</v>
      </c>
      <c r="J281" s="52" t="n">
        <f aca="false">IF(OR(D281="",D281+G281=0),"",D281/(D281+G281))</f>
        <v>0.699134199134199</v>
      </c>
      <c r="K281" s="52" t="n">
        <f aca="false">IF(E281="","",E281/(E281+H281))</f>
        <v>0.672070744288873</v>
      </c>
      <c r="L281" s="64" t="n">
        <f aca="false">IF(OR(K281="",J281=""),"",(J281-K281)*100)</f>
        <v>2.70634548453267</v>
      </c>
      <c r="M281" s="21"/>
    </row>
    <row r="282" customFormat="false" ht="15" hidden="false" customHeight="false" outlineLevel="0" collapsed="false">
      <c r="A282" s="21" t="s">
        <v>377</v>
      </c>
      <c r="B282" s="21" t="s">
        <v>450</v>
      </c>
      <c r="C282" s="21" t="s">
        <v>451</v>
      </c>
      <c r="D282" s="37" t="n">
        <v>1408</v>
      </c>
      <c r="E282" s="37"/>
      <c r="F282" s="63" t="str">
        <f aca="false">IF(E282="","",D282-E282)</f>
        <v/>
      </c>
      <c r="G282" s="37" t="n">
        <v>1397</v>
      </c>
      <c r="H282" s="37"/>
      <c r="I282" s="63" t="str">
        <f aca="false">IF(H282="","",G282-H282)</f>
        <v/>
      </c>
      <c r="J282" s="52" t="n">
        <f aca="false">IF(OR(D282="",D282+G282=0),"",D282/(D282+G282))</f>
        <v>0.501960784313726</v>
      </c>
      <c r="K282" s="52" t="str">
        <f aca="false">IF(E282="","",E282/(E282+H282))</f>
        <v/>
      </c>
      <c r="L282" s="64" t="str">
        <f aca="false">IF(OR(K282="",J282=""),"",(J282-K282)*100)</f>
        <v/>
      </c>
      <c r="M282" s="21" t="s">
        <v>685</v>
      </c>
    </row>
    <row r="283" customFormat="false" ht="15" hidden="false" customHeight="false" outlineLevel="0" collapsed="false">
      <c r="A283" s="21" t="s">
        <v>377</v>
      </c>
      <c r="B283" s="21" t="s">
        <v>450</v>
      </c>
      <c r="C283" s="21" t="s">
        <v>452</v>
      </c>
      <c r="D283" s="37" t="n">
        <v>637</v>
      </c>
      <c r="E283" s="37"/>
      <c r="F283" s="63" t="str">
        <f aca="false">IF(E283="","",D283-E283)</f>
        <v/>
      </c>
      <c r="G283" s="37" t="n">
        <v>655</v>
      </c>
      <c r="H283" s="37"/>
      <c r="I283" s="63" t="str">
        <f aca="false">IF(H283="","",G283-H283)</f>
        <v/>
      </c>
      <c r="J283" s="52" t="n">
        <f aca="false">IF(OR(D283="",D283+G283=0),"",D283/(D283+G283))</f>
        <v>0.493034055727554</v>
      </c>
      <c r="K283" s="52" t="str">
        <f aca="false">IF(E283="","",E283/(E283+H283))</f>
        <v/>
      </c>
      <c r="L283" s="64" t="str">
        <f aca="false">IF(OR(K283="",J283=""),"",(J283-K283)*100)</f>
        <v/>
      </c>
      <c r="M283" s="21" t="s">
        <v>685</v>
      </c>
    </row>
    <row r="284" customFormat="false" ht="15" hidden="false" customHeight="false" outlineLevel="0" collapsed="false">
      <c r="A284" s="21" t="s">
        <v>377</v>
      </c>
      <c r="B284" s="21" t="s">
        <v>450</v>
      </c>
      <c r="C284" s="21" t="s">
        <v>453</v>
      </c>
      <c r="D284" s="37" t="n">
        <v>775</v>
      </c>
      <c r="E284" s="37"/>
      <c r="F284" s="63" t="str">
        <f aca="false">IF(E284="","",D284-E284)</f>
        <v/>
      </c>
      <c r="G284" s="37" t="n">
        <v>778</v>
      </c>
      <c r="H284" s="37"/>
      <c r="I284" s="63" t="str">
        <f aca="false">IF(H284="","",G284-H284)</f>
        <v/>
      </c>
      <c r="J284" s="52" t="n">
        <f aca="false">IF(OR(D284="",D284+G284=0),"",D284/(D284+G284))</f>
        <v>0.499034127495171</v>
      </c>
      <c r="K284" s="52" t="str">
        <f aca="false">IF(E284="","",E284/(E284+H284))</f>
        <v/>
      </c>
      <c r="L284" s="64" t="str">
        <f aca="false">IF(OR(K284="",J284=""),"",(J284-K284)*100)</f>
        <v/>
      </c>
      <c r="M284" s="21" t="s">
        <v>685</v>
      </c>
    </row>
    <row r="285" customFormat="false" ht="15" hidden="false" customHeight="false" outlineLevel="0" collapsed="false">
      <c r="A285" s="21" t="s">
        <v>377</v>
      </c>
      <c r="B285" s="21" t="s">
        <v>450</v>
      </c>
      <c r="C285" s="21" t="s">
        <v>454</v>
      </c>
      <c r="D285" s="37" t="n">
        <v>729</v>
      </c>
      <c r="E285" s="37"/>
      <c r="F285" s="63" t="str">
        <f aca="false">IF(E285="","",D285-E285)</f>
        <v/>
      </c>
      <c r="G285" s="37" t="n">
        <v>703</v>
      </c>
      <c r="H285" s="37"/>
      <c r="I285" s="63" t="str">
        <f aca="false">IF(H285="","",G285-H285)</f>
        <v/>
      </c>
      <c r="J285" s="52" t="n">
        <f aca="false">IF(OR(D285="",D285+G285=0),"",D285/(D285+G285))</f>
        <v>0.509078212290503</v>
      </c>
      <c r="K285" s="52" t="str">
        <f aca="false">IF(E285="","",E285/(E285+H285))</f>
        <v/>
      </c>
      <c r="L285" s="64" t="str">
        <f aca="false">IF(OR(K285="",J285=""),"",(J285-K285)*100)</f>
        <v/>
      </c>
      <c r="M285" s="21" t="s">
        <v>685</v>
      </c>
    </row>
    <row r="286" customFormat="false" ht="15" hidden="false" customHeight="false" outlineLevel="0" collapsed="false">
      <c r="A286" s="21" t="s">
        <v>377</v>
      </c>
      <c r="B286" s="21" t="s">
        <v>450</v>
      </c>
      <c r="C286" s="21" t="s">
        <v>455</v>
      </c>
      <c r="D286" s="37" t="n">
        <v>981</v>
      </c>
      <c r="E286" s="37" t="n">
        <v>975</v>
      </c>
      <c r="F286" s="63" t="n">
        <f aca="false">IF(E286="","",D286-E286)</f>
        <v>6</v>
      </c>
      <c r="G286" s="37" t="n">
        <v>876</v>
      </c>
      <c r="H286" s="37" t="n">
        <v>935</v>
      </c>
      <c r="I286" s="63" t="n">
        <f aca="false">IF(H286="","",G286-H286)</f>
        <v>-59</v>
      </c>
      <c r="J286" s="52" t="n">
        <f aca="false">IF(OR(D286="",D286+G286=0),"",D286/(D286+G286))</f>
        <v>0.52827140549273</v>
      </c>
      <c r="K286" s="52" t="n">
        <f aca="false">IF(E286="","",E286/(E286+H286))</f>
        <v>0.510471204188482</v>
      </c>
      <c r="L286" s="64" t="n">
        <f aca="false">IF(OR(K286="",J286=""),"",(J286-K286)*100)</f>
        <v>1.78002013042485</v>
      </c>
      <c r="M286" s="21"/>
    </row>
    <row r="287" customFormat="false" ht="15" hidden="false" customHeight="false" outlineLevel="0" collapsed="false">
      <c r="A287" s="21" t="s">
        <v>377</v>
      </c>
      <c r="B287" s="21" t="s">
        <v>450</v>
      </c>
      <c r="C287" s="21" t="s">
        <v>456</v>
      </c>
      <c r="D287" s="37" t="n">
        <v>782</v>
      </c>
      <c r="E287" s="37"/>
      <c r="F287" s="63" t="str">
        <f aca="false">IF(E287="","",D287-E287)</f>
        <v/>
      </c>
      <c r="G287" s="37" t="n">
        <v>788</v>
      </c>
      <c r="H287" s="37"/>
      <c r="I287" s="63" t="str">
        <f aca="false">IF(H287="","",G287-H287)</f>
        <v/>
      </c>
      <c r="J287" s="52" t="n">
        <f aca="false">IF(OR(D287="",D287+G287=0),"",D287/(D287+G287))</f>
        <v>0.498089171974522</v>
      </c>
      <c r="K287" s="52" t="str">
        <f aca="false">IF(E287="","",E287/(E287+H287))</f>
        <v/>
      </c>
      <c r="L287" s="64" t="str">
        <f aca="false">IF(OR(K287="",J287=""),"",(J287-K287)*100)</f>
        <v/>
      </c>
      <c r="M287" s="21" t="s">
        <v>685</v>
      </c>
    </row>
    <row r="288" customFormat="false" ht="15" hidden="false" customHeight="false" outlineLevel="0" collapsed="false">
      <c r="A288" s="21" t="s">
        <v>377</v>
      </c>
      <c r="B288" s="21" t="s">
        <v>450</v>
      </c>
      <c r="C288" s="21" t="s">
        <v>457</v>
      </c>
      <c r="D288" s="37" t="n">
        <v>658</v>
      </c>
      <c r="E288" s="37"/>
      <c r="F288" s="63" t="str">
        <f aca="false">IF(E288="","",D288-E288)</f>
        <v/>
      </c>
      <c r="G288" s="37" t="n">
        <v>751</v>
      </c>
      <c r="H288" s="37"/>
      <c r="I288" s="63" t="str">
        <f aca="false">IF(H288="","",G288-H288)</f>
        <v/>
      </c>
      <c r="J288" s="52" t="n">
        <f aca="false">IF(OR(D288="",D288+G288=0),"",D288/(D288+G288))</f>
        <v>0.466997870830376</v>
      </c>
      <c r="K288" s="52" t="str">
        <f aca="false">IF(E288="","",E288/(E288+H288))</f>
        <v/>
      </c>
      <c r="L288" s="64" t="str">
        <f aca="false">IF(OR(K288="",J288=""),"",(J288-K288)*100)</f>
        <v/>
      </c>
      <c r="M288" s="21" t="s">
        <v>685</v>
      </c>
    </row>
    <row r="289" customFormat="false" ht="15" hidden="false" customHeight="false" outlineLevel="0" collapsed="false">
      <c r="A289" s="21" t="s">
        <v>377</v>
      </c>
      <c r="B289" s="21" t="s">
        <v>458</v>
      </c>
      <c r="C289" s="21" t="s">
        <v>458</v>
      </c>
      <c r="D289" s="37" t="n">
        <v>747</v>
      </c>
      <c r="E289" s="37" t="n">
        <v>714</v>
      </c>
      <c r="F289" s="63" t="n">
        <f aca="false">IF(E289="","",D289-E289)</f>
        <v>33</v>
      </c>
      <c r="G289" s="37" t="n">
        <v>518</v>
      </c>
      <c r="H289" s="37" t="n">
        <v>484</v>
      </c>
      <c r="I289" s="63" t="n">
        <f aca="false">IF(H289="","",G289-H289)</f>
        <v>34</v>
      </c>
      <c r="J289" s="52" t="n">
        <f aca="false">IF(OR(D289="",D289+G289=0),"",D289/(D289+G289))</f>
        <v>0.590513833992095</v>
      </c>
      <c r="K289" s="52" t="n">
        <f aca="false">IF(E289="","",E289/(E289+H289))</f>
        <v>0.595993322203673</v>
      </c>
      <c r="L289" s="64" t="n">
        <f aca="false">IF(OR(K289="",J289=""),"",(J289-K289)*100)</f>
        <v>-0.547948821157784</v>
      </c>
      <c r="M289" s="21"/>
    </row>
    <row r="290" customFormat="false" ht="15" hidden="false" customHeight="false" outlineLevel="0" collapsed="false">
      <c r="A290" s="21" t="s">
        <v>377</v>
      </c>
      <c r="B290" s="21" t="s">
        <v>459</v>
      </c>
      <c r="C290" s="21" t="s">
        <v>459</v>
      </c>
      <c r="D290" s="37" t="n">
        <v>104</v>
      </c>
      <c r="E290" s="37" t="n">
        <v>109</v>
      </c>
      <c r="F290" s="63" t="n">
        <f aca="false">IF(E290="","",D290-E290)</f>
        <v>-5</v>
      </c>
      <c r="G290" s="37" t="n">
        <v>101</v>
      </c>
      <c r="H290" s="37" t="n">
        <v>97</v>
      </c>
      <c r="I290" s="63" t="n">
        <f aca="false">IF(H290="","",G290-H290)</f>
        <v>4</v>
      </c>
      <c r="J290" s="52" t="n">
        <f aca="false">IF(OR(D290="",D290+G290=0),"",D290/(D290+G290))</f>
        <v>0.507317073170732</v>
      </c>
      <c r="K290" s="52" t="n">
        <f aca="false">IF(E290="","",E290/(E290+H290))</f>
        <v>0.529126213592233</v>
      </c>
      <c r="L290" s="64" t="n">
        <f aca="false">IF(OR(K290="",J290=""),"",(J290-K290)*100)</f>
        <v>-2.18091404215013</v>
      </c>
      <c r="M290" s="21"/>
    </row>
    <row r="291" customFormat="false" ht="15" hidden="false" customHeight="false" outlineLevel="0" collapsed="false">
      <c r="A291" s="21" t="s">
        <v>377</v>
      </c>
      <c r="B291" s="21" t="s">
        <v>284</v>
      </c>
      <c r="C291" s="21" t="s">
        <v>460</v>
      </c>
      <c r="D291" s="37" t="n">
        <v>905</v>
      </c>
      <c r="E291" s="37" t="n">
        <v>955</v>
      </c>
      <c r="F291" s="63" t="n">
        <f aca="false">IF(E291="","",D291-E291)</f>
        <v>-50</v>
      </c>
      <c r="G291" s="37" t="n">
        <v>735</v>
      </c>
      <c r="H291" s="37" t="n">
        <v>692</v>
      </c>
      <c r="I291" s="63" t="n">
        <f aca="false">IF(H291="","",G291-H291)</f>
        <v>43</v>
      </c>
      <c r="J291" s="52" t="n">
        <f aca="false">IF(OR(D291="",D291+G291=0),"",D291/(D291+G291))</f>
        <v>0.551829268292683</v>
      </c>
      <c r="K291" s="52" t="n">
        <f aca="false">IF(E291="","",E291/(E291+H291))</f>
        <v>0.579842137219186</v>
      </c>
      <c r="L291" s="64" t="n">
        <f aca="false">IF(OR(K291="",J291=""),"",(J291-K291)*100)</f>
        <v>-2.80128689265035</v>
      </c>
      <c r="M291" s="21"/>
    </row>
    <row r="292" customFormat="false" ht="15" hidden="false" customHeight="false" outlineLevel="0" collapsed="false">
      <c r="A292" s="21" t="s">
        <v>377</v>
      </c>
      <c r="B292" s="21" t="s">
        <v>284</v>
      </c>
      <c r="C292" s="21" t="s">
        <v>461</v>
      </c>
      <c r="D292" s="37" t="n">
        <v>867</v>
      </c>
      <c r="E292" s="37" t="n">
        <v>910</v>
      </c>
      <c r="F292" s="63" t="n">
        <f aca="false">IF(E292="","",D292-E292)</f>
        <v>-43</v>
      </c>
      <c r="G292" s="37" t="n">
        <v>757</v>
      </c>
      <c r="H292" s="37" t="n">
        <v>742</v>
      </c>
      <c r="I292" s="63" t="n">
        <f aca="false">IF(H292="","",G292-H292)</f>
        <v>15</v>
      </c>
      <c r="J292" s="52" t="n">
        <f aca="false">IF(OR(D292="",D292+G292=0),"",D292/(D292+G292))</f>
        <v>0.533866995073892</v>
      </c>
      <c r="K292" s="52" t="n">
        <f aca="false">IF(E292="","",E292/(E292+H292))</f>
        <v>0.550847457627119</v>
      </c>
      <c r="L292" s="64" t="n">
        <f aca="false">IF(OR(K292="",J292=""),"",(J292-K292)*100)</f>
        <v>-1.69804625532271</v>
      </c>
      <c r="M292" s="21"/>
    </row>
    <row r="293" customFormat="false" ht="15" hidden="false" customHeight="false" outlineLevel="0" collapsed="false">
      <c r="A293" s="21" t="s">
        <v>377</v>
      </c>
      <c r="B293" s="21" t="s">
        <v>284</v>
      </c>
      <c r="C293" s="21" t="s">
        <v>462</v>
      </c>
      <c r="D293" s="37" t="n">
        <v>438</v>
      </c>
      <c r="E293" s="37" t="n">
        <v>446</v>
      </c>
      <c r="F293" s="63" t="n">
        <f aca="false">IF(E293="","",D293-E293)</f>
        <v>-8</v>
      </c>
      <c r="G293" s="37" t="n">
        <v>417</v>
      </c>
      <c r="H293" s="37" t="n">
        <v>410</v>
      </c>
      <c r="I293" s="63" t="n">
        <f aca="false">IF(H293="","",G293-H293)</f>
        <v>7</v>
      </c>
      <c r="J293" s="52" t="n">
        <f aca="false">IF(OR(D293="",D293+G293=0),"",D293/(D293+G293))</f>
        <v>0.512280701754386</v>
      </c>
      <c r="K293" s="52" t="n">
        <f aca="false">IF(E293="","",E293/(E293+H293))</f>
        <v>0.521028037383178</v>
      </c>
      <c r="L293" s="64" t="n">
        <f aca="false">IF(OR(K293="",J293=""),"",(J293-K293)*100)</f>
        <v>-0.87473356287916</v>
      </c>
      <c r="M293" s="21"/>
    </row>
    <row r="294" customFormat="false" ht="15" hidden="false" customHeight="false" outlineLevel="0" collapsed="false">
      <c r="A294" s="21" t="s">
        <v>377</v>
      </c>
      <c r="B294" s="21" t="s">
        <v>284</v>
      </c>
      <c r="C294" s="21" t="s">
        <v>463</v>
      </c>
      <c r="D294" s="37" t="n">
        <v>739</v>
      </c>
      <c r="E294" s="37" t="n">
        <v>744</v>
      </c>
      <c r="F294" s="63" t="n">
        <f aca="false">IF(E294="","",D294-E294)</f>
        <v>-5</v>
      </c>
      <c r="G294" s="37" t="n">
        <v>698</v>
      </c>
      <c r="H294" s="37" t="n">
        <v>678</v>
      </c>
      <c r="I294" s="63" t="n">
        <f aca="false">IF(H294="","",G294-H294)</f>
        <v>20</v>
      </c>
      <c r="J294" s="52" t="n">
        <f aca="false">IF(OR(D294="",D294+G294=0),"",D294/(D294+G294))</f>
        <v>0.514265831593598</v>
      </c>
      <c r="K294" s="52" t="n">
        <f aca="false">IF(E294="","",E294/(E294+H294))</f>
        <v>0.523206751054852</v>
      </c>
      <c r="L294" s="64" t="n">
        <f aca="false">IF(OR(K294="",J294=""),"",(J294-K294)*100)</f>
        <v>-0.894091946125464</v>
      </c>
      <c r="M294" s="21"/>
    </row>
    <row r="295" customFormat="false" ht="15" hidden="false" customHeight="false" outlineLevel="0" collapsed="false">
      <c r="A295" s="21" t="s">
        <v>377</v>
      </c>
      <c r="B295" s="21" t="s">
        <v>284</v>
      </c>
      <c r="C295" s="21" t="s">
        <v>464</v>
      </c>
      <c r="D295" s="37" t="n">
        <v>765</v>
      </c>
      <c r="E295" s="37" t="n">
        <v>775</v>
      </c>
      <c r="F295" s="63" t="n">
        <f aca="false">IF(E295="","",D295-E295)</f>
        <v>-10</v>
      </c>
      <c r="G295" s="37" t="n">
        <v>652</v>
      </c>
      <c r="H295" s="37" t="n">
        <v>645</v>
      </c>
      <c r="I295" s="63" t="n">
        <f aca="false">IF(H295="","",G295-H295)</f>
        <v>7</v>
      </c>
      <c r="J295" s="52" t="n">
        <f aca="false">IF(OR(D295="",D295+G295=0),"",D295/(D295+G295))</f>
        <v>0.539872971065632</v>
      </c>
      <c r="K295" s="52" t="n">
        <f aca="false">IF(E295="","",E295/(E295+H295))</f>
        <v>0.545774647887324</v>
      </c>
      <c r="L295" s="64" t="n">
        <f aca="false">IF(OR(K295="",J295=""),"",(J295-K295)*100)</f>
        <v>-0.59016768216924</v>
      </c>
      <c r="M295" s="21"/>
    </row>
    <row r="296" customFormat="false" ht="15" hidden="false" customHeight="false" outlineLevel="0" collapsed="false">
      <c r="A296" s="21" t="s">
        <v>377</v>
      </c>
      <c r="B296" s="21" t="s">
        <v>284</v>
      </c>
      <c r="C296" s="21" t="s">
        <v>465</v>
      </c>
      <c r="D296" s="37" t="n">
        <v>508</v>
      </c>
      <c r="E296" s="37" t="n">
        <v>511</v>
      </c>
      <c r="F296" s="63" t="n">
        <f aca="false">IF(E296="","",D296-E296)</f>
        <v>-3</v>
      </c>
      <c r="G296" s="37" t="n">
        <v>469</v>
      </c>
      <c r="H296" s="37" t="n">
        <v>453</v>
      </c>
      <c r="I296" s="63" t="n">
        <f aca="false">IF(H296="","",G296-H296)</f>
        <v>16</v>
      </c>
      <c r="J296" s="52" t="n">
        <f aca="false">IF(OR(D296="",D296+G296=0),"",D296/(D296+G296))</f>
        <v>0.519959058341863</v>
      </c>
      <c r="K296" s="52" t="n">
        <f aca="false">IF(E296="","",E296/(E296+H296))</f>
        <v>0.530082987551867</v>
      </c>
      <c r="L296" s="64" t="n">
        <f aca="false">IF(OR(K296="",J296=""),"",(J296-K296)*100)</f>
        <v>-1.01239292100044</v>
      </c>
      <c r="M296" s="21"/>
    </row>
    <row r="297" customFormat="false" ht="15" hidden="false" customHeight="false" outlineLevel="0" collapsed="false">
      <c r="A297" s="21" t="s">
        <v>377</v>
      </c>
      <c r="B297" s="21" t="s">
        <v>466</v>
      </c>
      <c r="C297" s="21" t="s">
        <v>467</v>
      </c>
      <c r="D297" s="37" t="n">
        <v>597</v>
      </c>
      <c r="E297" s="37" t="n">
        <v>553</v>
      </c>
      <c r="F297" s="63" t="n">
        <f aca="false">IF(E297="","",D297-E297)</f>
        <v>44</v>
      </c>
      <c r="G297" s="37" t="n">
        <v>595</v>
      </c>
      <c r="H297" s="37" t="n">
        <v>581</v>
      </c>
      <c r="I297" s="63" t="n">
        <f aca="false">IF(H297="","",G297-H297)</f>
        <v>14</v>
      </c>
      <c r="J297" s="52" t="n">
        <f aca="false">IF(OR(D297="",D297+G297=0),"",D297/(D297+G297))</f>
        <v>0.500838926174497</v>
      </c>
      <c r="K297" s="52" t="n">
        <f aca="false">IF(E297="","",E297/(E297+H297))</f>
        <v>0.487654320987654</v>
      </c>
      <c r="L297" s="64" t="n">
        <f aca="false">IF(OR(K297="",J297=""),"",(J297-K297)*100)</f>
        <v>1.31846051868423</v>
      </c>
      <c r="M297" s="21"/>
    </row>
    <row r="298" customFormat="false" ht="15" hidden="false" customHeight="false" outlineLevel="0" collapsed="false">
      <c r="A298" s="21" t="s">
        <v>377</v>
      </c>
      <c r="B298" s="21" t="s">
        <v>466</v>
      </c>
      <c r="C298" s="21" t="s">
        <v>468</v>
      </c>
      <c r="D298" s="37" t="n">
        <v>470</v>
      </c>
      <c r="E298" s="37" t="n">
        <v>473</v>
      </c>
      <c r="F298" s="63" t="n">
        <f aca="false">IF(E298="","",D298-E298)</f>
        <v>-3</v>
      </c>
      <c r="G298" s="37" t="n">
        <v>425</v>
      </c>
      <c r="H298" s="37" t="n">
        <v>465</v>
      </c>
      <c r="I298" s="63" t="n">
        <f aca="false">IF(H298="","",G298-H298)</f>
        <v>-40</v>
      </c>
      <c r="J298" s="52" t="n">
        <f aca="false">IF(OR(D298="",D298+G298=0),"",D298/(D298+G298))</f>
        <v>0.525139664804469</v>
      </c>
      <c r="K298" s="52" t="n">
        <f aca="false">IF(E298="","",E298/(E298+H298))</f>
        <v>0.504264392324094</v>
      </c>
      <c r="L298" s="64" t="n">
        <f aca="false">IF(OR(K298="",J298=""),"",(J298-K298)*100)</f>
        <v>2.08752724803755</v>
      </c>
      <c r="M298" s="21"/>
    </row>
    <row r="299" customFormat="false" ht="15" hidden="false" customHeight="false" outlineLevel="0" collapsed="false">
      <c r="A299" s="21" t="s">
        <v>377</v>
      </c>
      <c r="B299" s="21" t="s">
        <v>466</v>
      </c>
      <c r="C299" s="21" t="s">
        <v>469</v>
      </c>
      <c r="D299" s="37" t="n">
        <v>678</v>
      </c>
      <c r="E299" s="37" t="n">
        <v>700</v>
      </c>
      <c r="F299" s="63" t="n">
        <f aca="false">IF(E299="","",D299-E299)</f>
        <v>-22</v>
      </c>
      <c r="G299" s="37" t="n">
        <v>594</v>
      </c>
      <c r="H299" s="37" t="n">
        <v>639</v>
      </c>
      <c r="I299" s="63" t="n">
        <f aca="false">IF(H299="","",G299-H299)</f>
        <v>-45</v>
      </c>
      <c r="J299" s="52" t="n">
        <f aca="false">IF(OR(D299="",D299+G299=0),"",D299/(D299+G299))</f>
        <v>0.533018867924528</v>
      </c>
      <c r="K299" s="52" t="n">
        <f aca="false">IF(E299="","",E299/(E299+H299))</f>
        <v>0.522778192681105</v>
      </c>
      <c r="L299" s="64" t="n">
        <f aca="false">IF(OR(K299="",J299=""),"",(J299-K299)*100)</f>
        <v>1.02406752434231</v>
      </c>
      <c r="M299" s="21"/>
    </row>
    <row r="300" customFormat="false" ht="15" hidden="false" customHeight="false" outlineLevel="0" collapsed="false">
      <c r="A300" s="21" t="s">
        <v>377</v>
      </c>
      <c r="B300" s="21" t="s">
        <v>470</v>
      </c>
      <c r="C300" s="21" t="s">
        <v>471</v>
      </c>
      <c r="D300" s="37" t="n">
        <v>559</v>
      </c>
      <c r="E300" s="37" t="n">
        <v>546</v>
      </c>
      <c r="F300" s="63" t="n">
        <f aca="false">IF(E300="","",D300-E300)</f>
        <v>13</v>
      </c>
      <c r="G300" s="37" t="n">
        <v>1099</v>
      </c>
      <c r="H300" s="37" t="n">
        <v>1089</v>
      </c>
      <c r="I300" s="63" t="n">
        <f aca="false">IF(H300="","",G300-H300)</f>
        <v>10</v>
      </c>
      <c r="J300" s="52" t="n">
        <f aca="false">IF(OR(D300="",D300+G300=0),"",D300/(D300+G300))</f>
        <v>0.337153196622437</v>
      </c>
      <c r="K300" s="52" t="n">
        <f aca="false">IF(E300="","",E300/(E300+H300))</f>
        <v>0.33394495412844</v>
      </c>
      <c r="L300" s="64" t="n">
        <f aca="false">IF(OR(K300="",J300=""),"",(J300-K300)*100)</f>
        <v>0.320824249399626</v>
      </c>
      <c r="M300" s="21"/>
    </row>
    <row r="301" customFormat="false" ht="15" hidden="false" customHeight="false" outlineLevel="0" collapsed="false">
      <c r="A301" s="21" t="s">
        <v>377</v>
      </c>
      <c r="B301" s="21" t="s">
        <v>470</v>
      </c>
      <c r="C301" s="21" t="s">
        <v>472</v>
      </c>
      <c r="D301" s="37" t="n">
        <v>635</v>
      </c>
      <c r="E301" s="37" t="n">
        <v>636</v>
      </c>
      <c r="F301" s="63" t="n">
        <f aca="false">IF(E301="","",D301-E301)</f>
        <v>-1</v>
      </c>
      <c r="G301" s="37" t="n">
        <v>1215</v>
      </c>
      <c r="H301" s="37" t="n">
        <v>1262</v>
      </c>
      <c r="I301" s="63" t="n">
        <f aca="false">IF(H301="","",G301-H301)</f>
        <v>-47</v>
      </c>
      <c r="J301" s="52" t="n">
        <f aca="false">IF(OR(D301="",D301+G301=0),"",D301/(D301+G301))</f>
        <v>0.343243243243243</v>
      </c>
      <c r="K301" s="52" t="n">
        <f aca="false">IF(E301="","",E301/(E301+H301))</f>
        <v>0.33508956796628</v>
      </c>
      <c r="L301" s="64" t="n">
        <f aca="false">IF(OR(K301="",J301=""),"",(J301-K301)*100)</f>
        <v>0.815367527696292</v>
      </c>
      <c r="M301" s="21"/>
    </row>
    <row r="302" customFormat="false" ht="15" hidden="false" customHeight="false" outlineLevel="0" collapsed="false">
      <c r="A302" s="21" t="s">
        <v>377</v>
      </c>
      <c r="B302" s="21" t="s">
        <v>470</v>
      </c>
      <c r="C302" s="21" t="s">
        <v>473</v>
      </c>
      <c r="D302" s="37" t="n">
        <v>218</v>
      </c>
      <c r="E302" s="37" t="n">
        <v>224</v>
      </c>
      <c r="F302" s="63" t="n">
        <f aca="false">IF(E302="","",D302-E302)</f>
        <v>-6</v>
      </c>
      <c r="G302" s="37" t="n">
        <v>499</v>
      </c>
      <c r="H302" s="37" t="n">
        <v>495</v>
      </c>
      <c r="I302" s="63" t="n">
        <f aca="false">IF(H302="","",G302-H302)</f>
        <v>4</v>
      </c>
      <c r="J302" s="52" t="n">
        <f aca="false">IF(OR(D302="",D302+G302=0),"",D302/(D302+G302))</f>
        <v>0.304044630404463</v>
      </c>
      <c r="K302" s="52" t="n">
        <f aca="false">IF(E302="","",E302/(E302+H302))</f>
        <v>0.311543810848401</v>
      </c>
      <c r="L302" s="64" t="n">
        <f aca="false">IF(OR(K302="",J302=""),"",(J302-K302)*100)</f>
        <v>-0.749918044393749</v>
      </c>
      <c r="M302" s="21"/>
    </row>
    <row r="303" customFormat="false" ht="15" hidden="false" customHeight="false" outlineLevel="0" collapsed="false">
      <c r="A303" s="21" t="s">
        <v>377</v>
      </c>
      <c r="B303" s="21" t="s">
        <v>470</v>
      </c>
      <c r="C303" s="21" t="s">
        <v>474</v>
      </c>
      <c r="D303" s="37" t="n">
        <v>484</v>
      </c>
      <c r="E303" s="37" t="n">
        <v>478</v>
      </c>
      <c r="F303" s="63" t="n">
        <f aca="false">IF(E303="","",D303-E303)</f>
        <v>6</v>
      </c>
      <c r="G303" s="37" t="n">
        <v>942</v>
      </c>
      <c r="H303" s="37" t="n">
        <v>948</v>
      </c>
      <c r="I303" s="63" t="n">
        <f aca="false">IF(H303="","",G303-H303)</f>
        <v>-6</v>
      </c>
      <c r="J303" s="52" t="n">
        <f aca="false">IF(OR(D303="",D303+G303=0),"",D303/(D303+G303))</f>
        <v>0.339410939691445</v>
      </c>
      <c r="K303" s="52" t="n">
        <f aca="false">IF(E303="","",E303/(E303+H303))</f>
        <v>0.335203366058906</v>
      </c>
      <c r="L303" s="64" t="n">
        <f aca="false">IF(OR(K303="",J303=""),"",(J303-K303)*100)</f>
        <v>0.420757363253854</v>
      </c>
      <c r="M303" s="21"/>
    </row>
    <row r="304" customFormat="false" ht="15" hidden="false" customHeight="false" outlineLevel="0" collapsed="false">
      <c r="A304" s="21" t="s">
        <v>377</v>
      </c>
      <c r="B304" s="21" t="s">
        <v>470</v>
      </c>
      <c r="C304" s="21" t="s">
        <v>475</v>
      </c>
      <c r="D304" s="37" t="n">
        <v>335</v>
      </c>
      <c r="E304" s="37" t="n">
        <v>360</v>
      </c>
      <c r="F304" s="63" t="n">
        <f aca="false">IF(E304="","",D304-E304)</f>
        <v>-25</v>
      </c>
      <c r="G304" s="37" t="n">
        <v>663</v>
      </c>
      <c r="H304" s="37" t="n">
        <v>645</v>
      </c>
      <c r="I304" s="63" t="n">
        <f aca="false">IF(H304="","",G304-H304)</f>
        <v>18</v>
      </c>
      <c r="J304" s="52" t="n">
        <f aca="false">IF(OR(D304="",D304+G304=0),"",D304/(D304+G304))</f>
        <v>0.335671342685371</v>
      </c>
      <c r="K304" s="52" t="n">
        <f aca="false">IF(E304="","",E304/(E304+H304))</f>
        <v>0.358208955223881</v>
      </c>
      <c r="L304" s="64" t="n">
        <f aca="false">IF(OR(K304="",J304=""),"",(J304-K304)*100)</f>
        <v>-2.25376125385098</v>
      </c>
      <c r="M304" s="21"/>
    </row>
    <row r="305" customFormat="false" ht="15" hidden="false" customHeight="false" outlineLevel="0" collapsed="false">
      <c r="A305" s="21" t="s">
        <v>377</v>
      </c>
      <c r="B305" s="21" t="s">
        <v>476</v>
      </c>
      <c r="C305" s="21" t="s">
        <v>477</v>
      </c>
      <c r="D305" s="37" t="n">
        <v>221</v>
      </c>
      <c r="E305" s="37" t="n">
        <v>264</v>
      </c>
      <c r="F305" s="63" t="n">
        <f aca="false">IF(E305="","",D305-E305)</f>
        <v>-43</v>
      </c>
      <c r="G305" s="37" t="n">
        <v>400</v>
      </c>
      <c r="H305" s="37" t="n">
        <v>439</v>
      </c>
      <c r="I305" s="63" t="n">
        <f aca="false">IF(H305="","",G305-H305)</f>
        <v>-39</v>
      </c>
      <c r="J305" s="52" t="n">
        <f aca="false">IF(OR(D305="",D305+G305=0),"",D305/(D305+G305))</f>
        <v>0.355877616747182</v>
      </c>
      <c r="K305" s="52" t="n">
        <f aca="false">IF(E305="","",E305/(E305+H305))</f>
        <v>0.375533428165007</v>
      </c>
      <c r="L305" s="64" t="n">
        <f aca="false">IF(OR(K305="",J305=""),"",(J305-K305)*100)</f>
        <v>-1.96558114178251</v>
      </c>
      <c r="M305" s="21"/>
    </row>
    <row r="306" customFormat="false" ht="15" hidden="false" customHeight="false" outlineLevel="0" collapsed="false">
      <c r="A306" s="21" t="s">
        <v>377</v>
      </c>
      <c r="B306" s="21" t="s">
        <v>476</v>
      </c>
      <c r="C306" s="21" t="s">
        <v>478</v>
      </c>
      <c r="D306" s="37" t="n">
        <v>363</v>
      </c>
      <c r="E306" s="37" t="n">
        <v>361</v>
      </c>
      <c r="F306" s="63" t="n">
        <f aca="false">IF(E306="","",D306-E306)</f>
        <v>2</v>
      </c>
      <c r="G306" s="37" t="n">
        <v>743</v>
      </c>
      <c r="H306" s="37" t="n">
        <v>775</v>
      </c>
      <c r="I306" s="63" t="n">
        <f aca="false">IF(H306="","",G306-H306)</f>
        <v>-32</v>
      </c>
      <c r="J306" s="52" t="n">
        <f aca="false">IF(OR(D306="",D306+G306=0),"",D306/(D306+G306))</f>
        <v>0.328209764918626</v>
      </c>
      <c r="K306" s="52" t="n">
        <f aca="false">IF(E306="","",E306/(E306+H306))</f>
        <v>0.317781690140845</v>
      </c>
      <c r="L306" s="64" t="n">
        <f aca="false">IF(OR(K306="",J306=""),"",(J306-K306)*100)</f>
        <v>1.04280747777806</v>
      </c>
      <c r="M306" s="21"/>
    </row>
    <row r="307" customFormat="false" ht="15" hidden="false" customHeight="false" outlineLevel="0" collapsed="false">
      <c r="A307" s="21" t="s">
        <v>377</v>
      </c>
      <c r="B307" s="21" t="s">
        <v>479</v>
      </c>
      <c r="C307" s="21" t="s">
        <v>480</v>
      </c>
      <c r="D307" s="37" t="n">
        <v>248</v>
      </c>
      <c r="E307" s="37"/>
      <c r="F307" s="63" t="str">
        <f aca="false">IF(E307="","",D307-E307)</f>
        <v/>
      </c>
      <c r="G307" s="37" t="n">
        <v>366</v>
      </c>
      <c r="H307" s="37"/>
      <c r="I307" s="63" t="str">
        <f aca="false">IF(H307="","",G307-H307)</f>
        <v/>
      </c>
      <c r="J307" s="52" t="n">
        <f aca="false">IF(OR(D307="",D307+G307=0),"",D307/(D307+G307))</f>
        <v>0.403908794788274</v>
      </c>
      <c r="K307" s="52" t="str">
        <f aca="false">IF(E307="","",E307/(E307+H307))</f>
        <v/>
      </c>
      <c r="L307" s="64" t="str">
        <f aca="false">IF(OR(K307="",J307=""),"",(J307-K307)*100)</f>
        <v/>
      </c>
      <c r="M307" s="21" t="s">
        <v>685</v>
      </c>
    </row>
    <row r="308" customFormat="false" ht="15" hidden="false" customHeight="false" outlineLevel="0" collapsed="false">
      <c r="A308" s="21" t="s">
        <v>377</v>
      </c>
      <c r="B308" s="21" t="s">
        <v>479</v>
      </c>
      <c r="C308" s="21" t="s">
        <v>481</v>
      </c>
      <c r="D308" s="37" t="n">
        <v>640</v>
      </c>
      <c r="E308" s="37"/>
      <c r="F308" s="63" t="str">
        <f aca="false">IF(E308="","",D308-E308)</f>
        <v/>
      </c>
      <c r="G308" s="37" t="n">
        <v>707</v>
      </c>
      <c r="H308" s="37"/>
      <c r="I308" s="63" t="str">
        <f aca="false">IF(H308="","",G308-H308)</f>
        <v/>
      </c>
      <c r="J308" s="52" t="n">
        <f aca="false">IF(OR(D308="",D308+G308=0),"",D308/(D308+G308))</f>
        <v>0.475129918337045</v>
      </c>
      <c r="K308" s="52" t="str">
        <f aca="false">IF(E308="","",E308/(E308+H308))</f>
        <v/>
      </c>
      <c r="L308" s="64" t="str">
        <f aca="false">IF(OR(K308="",J308=""),"",(J308-K308)*100)</f>
        <v/>
      </c>
      <c r="M308" s="21" t="s">
        <v>685</v>
      </c>
    </row>
    <row r="309" customFormat="false" ht="15" hidden="false" customHeight="false" outlineLevel="0" collapsed="false">
      <c r="A309" s="21" t="s">
        <v>377</v>
      </c>
      <c r="B309" s="21" t="s">
        <v>479</v>
      </c>
      <c r="C309" s="21" t="s">
        <v>482</v>
      </c>
      <c r="D309" s="37" t="n">
        <v>589</v>
      </c>
      <c r="E309" s="37" t="n">
        <v>606</v>
      </c>
      <c r="F309" s="63" t="n">
        <f aca="false">IF(E309="","",D309-E309)</f>
        <v>-17</v>
      </c>
      <c r="G309" s="37" t="n">
        <v>825</v>
      </c>
      <c r="H309" s="37" t="n">
        <v>825</v>
      </c>
      <c r="I309" s="63" t="n">
        <f aca="false">IF(H309="","",G309-H309)</f>
        <v>0</v>
      </c>
      <c r="J309" s="52" t="n">
        <f aca="false">IF(OR(D309="",D309+G309=0),"",D309/(D309+G309))</f>
        <v>0.416548797736917</v>
      </c>
      <c r="K309" s="52" t="n">
        <f aca="false">IF(E309="","",E309/(E309+H309))</f>
        <v>0.423480083857442</v>
      </c>
      <c r="L309" s="64" t="n">
        <f aca="false">IF(OR(K309="",J309=""),"",(J309-K309)*100)</f>
        <v>-0.693128612052579</v>
      </c>
      <c r="M309" s="21"/>
    </row>
    <row r="310" customFormat="false" ht="15" hidden="false" customHeight="false" outlineLevel="0" collapsed="false">
      <c r="A310" s="21" t="s">
        <v>377</v>
      </c>
      <c r="B310" s="21" t="s">
        <v>479</v>
      </c>
      <c r="C310" s="21" t="s">
        <v>483</v>
      </c>
      <c r="D310" s="37" t="n">
        <v>612</v>
      </c>
      <c r="E310" s="37"/>
      <c r="F310" s="63" t="str">
        <f aca="false">IF(E310="","",D310-E310)</f>
        <v/>
      </c>
      <c r="G310" s="37" t="n">
        <v>747</v>
      </c>
      <c r="H310" s="37"/>
      <c r="I310" s="63" t="str">
        <f aca="false">IF(H310="","",G310-H310)</f>
        <v/>
      </c>
      <c r="J310" s="52" t="n">
        <f aca="false">IF(OR(D310="",D310+G310=0),"",D310/(D310+G310))</f>
        <v>0.450331125827815</v>
      </c>
      <c r="K310" s="52" t="str">
        <f aca="false">IF(E310="","",E310/(E310+H310))</f>
        <v/>
      </c>
      <c r="L310" s="64" t="str">
        <f aca="false">IF(OR(K310="",J310=""),"",(J310-K310)*100)</f>
        <v/>
      </c>
      <c r="M310" s="21" t="s">
        <v>685</v>
      </c>
    </row>
    <row r="311" customFormat="false" ht="15" hidden="false" customHeight="false" outlineLevel="0" collapsed="false">
      <c r="A311" s="21" t="s">
        <v>377</v>
      </c>
      <c r="B311" s="21" t="s">
        <v>484</v>
      </c>
      <c r="C311" s="21" t="s">
        <v>485</v>
      </c>
      <c r="D311" s="37" t="n">
        <v>557</v>
      </c>
      <c r="E311" s="37" t="n">
        <v>585</v>
      </c>
      <c r="F311" s="63" t="n">
        <f aca="false">IF(E311="","",D311-E311)</f>
        <v>-28</v>
      </c>
      <c r="G311" s="37" t="n">
        <v>549</v>
      </c>
      <c r="H311" s="37" t="n">
        <v>527</v>
      </c>
      <c r="I311" s="63" t="n">
        <f aca="false">IF(H311="","",G311-H311)</f>
        <v>22</v>
      </c>
      <c r="J311" s="52" t="n">
        <f aca="false">IF(OR(D311="",D311+G311=0),"",D311/(D311+G311))</f>
        <v>0.503616636528029</v>
      </c>
      <c r="K311" s="52" t="n">
        <f aca="false">IF(E311="","",E311/(E311+H311))</f>
        <v>0.526079136690647</v>
      </c>
      <c r="L311" s="64" t="n">
        <f aca="false">IF(OR(K311="",J311=""),"",(J311-K311)*100)</f>
        <v>-2.24625001626185</v>
      </c>
      <c r="M311" s="21"/>
    </row>
    <row r="312" customFormat="false" ht="15" hidden="false" customHeight="false" outlineLevel="0" collapsed="false">
      <c r="A312" s="21" t="s">
        <v>377</v>
      </c>
      <c r="B312" s="21" t="s">
        <v>484</v>
      </c>
      <c r="C312" s="21" t="s">
        <v>486</v>
      </c>
      <c r="D312" s="37" t="n">
        <v>679</v>
      </c>
      <c r="E312" s="37" t="n">
        <v>639</v>
      </c>
      <c r="F312" s="63" t="n">
        <f aca="false">IF(E312="","",D312-E312)</f>
        <v>40</v>
      </c>
      <c r="G312" s="37" t="n">
        <v>885</v>
      </c>
      <c r="H312" s="37" t="n">
        <v>886</v>
      </c>
      <c r="I312" s="63" t="n">
        <f aca="false">IF(H312="","",G312-H312)</f>
        <v>-1</v>
      </c>
      <c r="J312" s="52" t="n">
        <f aca="false">IF(OR(D312="",D312+G312=0),"",D312/(D312+G312))</f>
        <v>0.434143222506394</v>
      </c>
      <c r="K312" s="52" t="n">
        <f aca="false">IF(E312="","",E312/(E312+H312))</f>
        <v>0.419016393442623</v>
      </c>
      <c r="L312" s="64" t="n">
        <f aca="false">IF(OR(K312="",J312=""),"",(J312-K312)*100)</f>
        <v>1.51268290637709</v>
      </c>
      <c r="M312" s="21"/>
    </row>
    <row r="313" customFormat="false" ht="15" hidden="false" customHeight="false" outlineLevel="0" collapsed="false">
      <c r="A313" s="21" t="s">
        <v>377</v>
      </c>
      <c r="B313" s="21" t="s">
        <v>484</v>
      </c>
      <c r="C313" s="21" t="s">
        <v>487</v>
      </c>
      <c r="D313" s="37" t="n">
        <v>395</v>
      </c>
      <c r="E313" s="37"/>
      <c r="F313" s="63" t="str">
        <f aca="false">IF(E313="","",D313-E313)</f>
        <v/>
      </c>
      <c r="G313" s="37" t="n">
        <v>581</v>
      </c>
      <c r="H313" s="37"/>
      <c r="I313" s="63" t="str">
        <f aca="false">IF(H313="","",G313-H313)</f>
        <v/>
      </c>
      <c r="J313" s="52" t="n">
        <f aca="false">IF(OR(D313="",D313+G313=0),"",D313/(D313+G313))</f>
        <v>0.404713114754098</v>
      </c>
      <c r="K313" s="52" t="str">
        <f aca="false">IF(E313="","",E313/(E313+H313))</f>
        <v/>
      </c>
      <c r="L313" s="64" t="str">
        <f aca="false">IF(OR(K313="",J313=""),"",(J313-K313)*100)</f>
        <v/>
      </c>
      <c r="M313" s="21" t="s">
        <v>685</v>
      </c>
    </row>
    <row r="314" customFormat="false" ht="15" hidden="false" customHeight="false" outlineLevel="0" collapsed="false">
      <c r="A314" s="21" t="s">
        <v>377</v>
      </c>
      <c r="B314" s="21" t="s">
        <v>484</v>
      </c>
      <c r="C314" s="21" t="s">
        <v>488</v>
      </c>
      <c r="D314" s="37" t="n">
        <v>475</v>
      </c>
      <c r="E314" s="37" t="n">
        <v>496</v>
      </c>
      <c r="F314" s="63" t="n">
        <f aca="false">IF(E314="","",D314-E314)</f>
        <v>-21</v>
      </c>
      <c r="G314" s="37" t="n">
        <v>456</v>
      </c>
      <c r="H314" s="37" t="n">
        <v>458</v>
      </c>
      <c r="I314" s="63" t="n">
        <f aca="false">IF(H314="","",G314-H314)</f>
        <v>-2</v>
      </c>
      <c r="J314" s="52" t="n">
        <f aca="false">IF(OR(D314="",D314+G314=0),"",D314/(D314+G314))</f>
        <v>0.510204081632653</v>
      </c>
      <c r="K314" s="52" t="n">
        <f aca="false">IF(E314="","",E314/(E314+H314))</f>
        <v>0.519916142557652</v>
      </c>
      <c r="L314" s="64" t="n">
        <f aca="false">IF(OR(K314="",J314=""),"",(J314-K314)*100)</f>
        <v>-0.971206092499888</v>
      </c>
      <c r="M314" s="21"/>
    </row>
    <row r="315" customFormat="false" ht="15" hidden="false" customHeight="false" outlineLevel="0" collapsed="false">
      <c r="A315" s="21" t="s">
        <v>377</v>
      </c>
      <c r="B315" s="21" t="s">
        <v>484</v>
      </c>
      <c r="C315" s="21" t="s">
        <v>489</v>
      </c>
      <c r="D315" s="37" t="n">
        <v>399</v>
      </c>
      <c r="E315" s="37" t="n">
        <v>423</v>
      </c>
      <c r="F315" s="63" t="n">
        <f aca="false">IF(E315="","",D315-E315)</f>
        <v>-24</v>
      </c>
      <c r="G315" s="37" t="n">
        <v>577</v>
      </c>
      <c r="H315" s="37" t="n">
        <v>592</v>
      </c>
      <c r="I315" s="63" t="n">
        <f aca="false">IF(H315="","",G315-H315)</f>
        <v>-15</v>
      </c>
      <c r="J315" s="52" t="n">
        <f aca="false">IF(OR(D315="",D315+G315=0),"",D315/(D315+G315))</f>
        <v>0.408811475409836</v>
      </c>
      <c r="K315" s="52" t="n">
        <f aca="false">IF(E315="","",E315/(E315+H315))</f>
        <v>0.416748768472906</v>
      </c>
      <c r="L315" s="64" t="n">
        <f aca="false">IF(OR(K315="",J315=""),"",(J315-K315)*100)</f>
        <v>-0.793729306307034</v>
      </c>
      <c r="M315" s="21"/>
    </row>
    <row r="316" customFormat="false" ht="15" hidden="false" customHeight="false" outlineLevel="0" collapsed="false">
      <c r="A316" s="21" t="s">
        <v>377</v>
      </c>
      <c r="B316" s="21" t="s">
        <v>484</v>
      </c>
      <c r="C316" s="21" t="s">
        <v>490</v>
      </c>
      <c r="D316" s="37" t="n">
        <v>749</v>
      </c>
      <c r="E316" s="37"/>
      <c r="F316" s="63" t="str">
        <f aca="false">IF(E316="","",D316-E316)</f>
        <v/>
      </c>
      <c r="G316" s="37" t="n">
        <v>907</v>
      </c>
      <c r="H316" s="37"/>
      <c r="I316" s="63" t="str">
        <f aca="false">IF(H316="","",G316-H316)</f>
        <v/>
      </c>
      <c r="J316" s="52" t="n">
        <f aca="false">IF(OR(D316="",D316+G316=0),"",D316/(D316+G316))</f>
        <v>0.452294685990338</v>
      </c>
      <c r="K316" s="52" t="str">
        <f aca="false">IF(E316="","",E316/(E316+H316))</f>
        <v/>
      </c>
      <c r="L316" s="64" t="str">
        <f aca="false">IF(OR(K316="",J316=""),"",(J316-K316)*100)</f>
        <v/>
      </c>
      <c r="M316" s="21" t="s">
        <v>685</v>
      </c>
    </row>
    <row r="317" customFormat="false" ht="15" hidden="false" customHeight="false" outlineLevel="0" collapsed="false">
      <c r="A317" s="21" t="s">
        <v>377</v>
      </c>
      <c r="B317" s="21" t="s">
        <v>491</v>
      </c>
      <c r="C317" s="21" t="s">
        <v>492</v>
      </c>
      <c r="D317" s="37" t="n">
        <v>379</v>
      </c>
      <c r="E317" s="37" t="n">
        <v>409</v>
      </c>
      <c r="F317" s="63" t="n">
        <f aca="false">IF(E317="","",D317-E317)</f>
        <v>-30</v>
      </c>
      <c r="G317" s="37" t="n">
        <v>782</v>
      </c>
      <c r="H317" s="37" t="n">
        <v>764</v>
      </c>
      <c r="I317" s="63" t="n">
        <f aca="false">IF(H317="","",G317-H317)</f>
        <v>18</v>
      </c>
      <c r="J317" s="52" t="n">
        <f aca="false">IF(OR(D317="",D317+G317=0),"",D317/(D317+G317))</f>
        <v>0.326442721791559</v>
      </c>
      <c r="K317" s="52" t="n">
        <f aca="false">IF(E317="","",E317/(E317+H317))</f>
        <v>0.348678601875533</v>
      </c>
      <c r="L317" s="64" t="n">
        <f aca="false">IF(OR(K317="",J317=""),"",(J317-K317)*100)</f>
        <v>-2.22358800839739</v>
      </c>
      <c r="M317" s="21"/>
    </row>
    <row r="318" customFormat="false" ht="15" hidden="false" customHeight="false" outlineLevel="0" collapsed="false">
      <c r="A318" s="21" t="s">
        <v>377</v>
      </c>
      <c r="B318" s="21" t="s">
        <v>491</v>
      </c>
      <c r="C318" s="21" t="s">
        <v>493</v>
      </c>
      <c r="D318" s="37" t="n">
        <v>783</v>
      </c>
      <c r="E318" s="37" t="n">
        <v>805</v>
      </c>
      <c r="F318" s="63" t="n">
        <f aca="false">IF(E318="","",D318-E318)</f>
        <v>-22</v>
      </c>
      <c r="G318" s="37" t="n">
        <v>1559</v>
      </c>
      <c r="H318" s="37" t="n">
        <v>1577</v>
      </c>
      <c r="I318" s="63" t="n">
        <f aca="false">IF(H318="","",G318-H318)</f>
        <v>-18</v>
      </c>
      <c r="J318" s="52" t="n">
        <f aca="false">IF(OR(D318="",D318+G318=0),"",D318/(D318+G318))</f>
        <v>0.334329632792485</v>
      </c>
      <c r="K318" s="52" t="n">
        <f aca="false">IF(E318="","",E318/(E318+H318))</f>
        <v>0.337951301427372</v>
      </c>
      <c r="L318" s="64" t="n">
        <f aca="false">IF(OR(K318="",J318=""),"",(J318-K318)*100)</f>
        <v>-0.362166863488689</v>
      </c>
      <c r="M318" s="21"/>
    </row>
    <row r="319" customFormat="false" ht="15" hidden="false" customHeight="false" outlineLevel="0" collapsed="false">
      <c r="A319" s="21" t="s">
        <v>377</v>
      </c>
      <c r="B319" s="21" t="s">
        <v>491</v>
      </c>
      <c r="C319" s="21" t="s">
        <v>494</v>
      </c>
      <c r="D319" s="37" t="n">
        <v>526</v>
      </c>
      <c r="E319" s="37" t="n">
        <v>547</v>
      </c>
      <c r="F319" s="63" t="n">
        <f aca="false">IF(E319="","",D319-E319)</f>
        <v>-21</v>
      </c>
      <c r="G319" s="37" t="n">
        <v>1155</v>
      </c>
      <c r="H319" s="37" t="n">
        <v>1179</v>
      </c>
      <c r="I319" s="63" t="n">
        <f aca="false">IF(H319="","",G319-H319)</f>
        <v>-24</v>
      </c>
      <c r="J319" s="52" t="n">
        <f aca="false">IF(OR(D319="",D319+G319=0),"",D319/(D319+G319))</f>
        <v>0.312908982748364</v>
      </c>
      <c r="K319" s="52" t="n">
        <f aca="false">IF(E319="","",E319/(E319+H319))</f>
        <v>0.316917728852839</v>
      </c>
      <c r="L319" s="64" t="n">
        <f aca="false">IF(OR(K319="",J319=""),"",(J319-K319)*100)</f>
        <v>-0.400874610447483</v>
      </c>
      <c r="M319" s="21"/>
    </row>
    <row r="320" customFormat="false" ht="15" hidden="false" customHeight="false" outlineLevel="0" collapsed="false">
      <c r="A320" s="21" t="s">
        <v>377</v>
      </c>
      <c r="B320" s="21" t="s">
        <v>491</v>
      </c>
      <c r="C320" s="21" t="s">
        <v>495</v>
      </c>
      <c r="D320" s="37" t="n">
        <v>251</v>
      </c>
      <c r="E320" s="37" t="n">
        <v>245</v>
      </c>
      <c r="F320" s="63" t="n">
        <f aca="false">IF(E320="","",D320-E320)</f>
        <v>6</v>
      </c>
      <c r="G320" s="37" t="n">
        <v>511</v>
      </c>
      <c r="H320" s="37" t="n">
        <v>537</v>
      </c>
      <c r="I320" s="63" t="n">
        <f aca="false">IF(H320="","",G320-H320)</f>
        <v>-26</v>
      </c>
      <c r="J320" s="52" t="n">
        <f aca="false">IF(OR(D320="",D320+G320=0),"",D320/(D320+G320))</f>
        <v>0.329396325459318</v>
      </c>
      <c r="K320" s="52" t="n">
        <f aca="false">IF(E320="","",E320/(E320+H320))</f>
        <v>0.313299232736573</v>
      </c>
      <c r="L320" s="64" t="n">
        <f aca="false">IF(OR(K320="",J320=""),"",(J320-K320)*100)</f>
        <v>1.60970927227447</v>
      </c>
      <c r="M320" s="21"/>
    </row>
    <row r="321" customFormat="false" ht="15" hidden="false" customHeight="false" outlineLevel="0" collapsed="false">
      <c r="A321" s="21" t="s">
        <v>377</v>
      </c>
      <c r="B321" s="21" t="s">
        <v>496</v>
      </c>
      <c r="C321" s="21" t="s">
        <v>497</v>
      </c>
      <c r="D321" s="37" t="n">
        <v>578</v>
      </c>
      <c r="E321" s="37" t="n">
        <v>601</v>
      </c>
      <c r="F321" s="63" t="n">
        <f aca="false">IF(E321="","",D321-E321)</f>
        <v>-23</v>
      </c>
      <c r="G321" s="37" t="n">
        <v>601</v>
      </c>
      <c r="H321" s="37" t="n">
        <v>605</v>
      </c>
      <c r="I321" s="63" t="n">
        <f aca="false">IF(H321="","",G321-H321)</f>
        <v>-4</v>
      </c>
      <c r="J321" s="52" t="n">
        <f aca="false">IF(OR(D321="",D321+G321=0),"",D321/(D321+G321))</f>
        <v>0.490245971162002</v>
      </c>
      <c r="K321" s="52" t="n">
        <f aca="false">IF(E321="","",E321/(E321+H321))</f>
        <v>0.498341625207297</v>
      </c>
      <c r="L321" s="64" t="n">
        <f aca="false">IF(OR(K321="",J321=""),"",(J321-K321)*100)</f>
        <v>-0.809565404529516</v>
      </c>
      <c r="M321" s="21"/>
    </row>
    <row r="322" customFormat="false" ht="15" hidden="false" customHeight="false" outlineLevel="0" collapsed="false">
      <c r="A322" s="21" t="s">
        <v>377</v>
      </c>
      <c r="B322" s="21" t="s">
        <v>496</v>
      </c>
      <c r="C322" s="21" t="s">
        <v>498</v>
      </c>
      <c r="D322" s="37" t="n">
        <v>519</v>
      </c>
      <c r="E322" s="37" t="n">
        <v>523</v>
      </c>
      <c r="F322" s="63" t="n">
        <f aca="false">IF(E322="","",D322-E322)</f>
        <v>-4</v>
      </c>
      <c r="G322" s="37" t="n">
        <v>486</v>
      </c>
      <c r="H322" s="37" t="n">
        <v>542</v>
      </c>
      <c r="I322" s="63" t="n">
        <f aca="false">IF(H322="","",G322-H322)</f>
        <v>-56</v>
      </c>
      <c r="J322" s="52" t="n">
        <f aca="false">IF(OR(D322="",D322+G322=0),"",D322/(D322+G322))</f>
        <v>0.516417910447761</v>
      </c>
      <c r="K322" s="52" t="n">
        <f aca="false">IF(E322="","",E322/(E322+H322))</f>
        <v>0.491079812206573</v>
      </c>
      <c r="L322" s="64" t="n">
        <f aca="false">IF(OR(K322="",J322=""),"",(J322-K322)*100)</f>
        <v>2.53380982411884</v>
      </c>
      <c r="M322" s="21"/>
    </row>
    <row r="323" customFormat="false" ht="15" hidden="false" customHeight="false" outlineLevel="0" collapsed="false">
      <c r="A323" s="21" t="s">
        <v>377</v>
      </c>
      <c r="B323" s="21" t="s">
        <v>496</v>
      </c>
      <c r="C323" s="21" t="s">
        <v>499</v>
      </c>
      <c r="D323" s="37" t="n">
        <v>487</v>
      </c>
      <c r="E323" s="37" t="n">
        <v>472</v>
      </c>
      <c r="F323" s="63" t="n">
        <f aca="false">IF(E323="","",D323-E323)</f>
        <v>15</v>
      </c>
      <c r="G323" s="37" t="n">
        <v>495</v>
      </c>
      <c r="H323" s="37" t="n">
        <v>517</v>
      </c>
      <c r="I323" s="63" t="n">
        <f aca="false">IF(H323="","",G323-H323)</f>
        <v>-22</v>
      </c>
      <c r="J323" s="52" t="n">
        <f aca="false">IF(OR(D323="",D323+G323=0),"",D323/(D323+G323))</f>
        <v>0.495926680244399</v>
      </c>
      <c r="K323" s="52" t="n">
        <f aca="false">IF(E323="","",E323/(E323+H323))</f>
        <v>0.477249747219414</v>
      </c>
      <c r="L323" s="64" t="n">
        <f aca="false">IF(OR(K323="",J323=""),"",(J323-K323)*100)</f>
        <v>1.86769330249856</v>
      </c>
      <c r="M323" s="21"/>
    </row>
    <row r="324" customFormat="false" ht="15" hidden="false" customHeight="false" outlineLevel="0" collapsed="false">
      <c r="A324" s="21" t="s">
        <v>377</v>
      </c>
      <c r="B324" s="21" t="s">
        <v>500</v>
      </c>
      <c r="C324" s="21" t="s">
        <v>501</v>
      </c>
      <c r="D324" s="37" t="n">
        <v>242</v>
      </c>
      <c r="E324" s="37" t="n">
        <v>222</v>
      </c>
      <c r="F324" s="63" t="n">
        <f aca="false">IF(E324="","",D324-E324)</f>
        <v>20</v>
      </c>
      <c r="G324" s="37" t="n">
        <v>287</v>
      </c>
      <c r="H324" s="37" t="n">
        <v>276</v>
      </c>
      <c r="I324" s="63" t="n">
        <f aca="false">IF(H324="","",G324-H324)</f>
        <v>11</v>
      </c>
      <c r="J324" s="52" t="n">
        <f aca="false">IF(OR(D324="",D324+G324=0),"",D324/(D324+G324))</f>
        <v>0.457466918714556</v>
      </c>
      <c r="K324" s="52" t="n">
        <f aca="false">IF(E324="","",E324/(E324+H324))</f>
        <v>0.445783132530121</v>
      </c>
      <c r="L324" s="64" t="n">
        <f aca="false">IF(OR(K324="",J324=""),"",(J324-K324)*100)</f>
        <v>1.16837861844353</v>
      </c>
      <c r="M324" s="21"/>
    </row>
    <row r="325" customFormat="false" ht="15" hidden="false" customHeight="false" outlineLevel="0" collapsed="false">
      <c r="A325" s="21" t="s">
        <v>377</v>
      </c>
      <c r="B325" s="21" t="s">
        <v>500</v>
      </c>
      <c r="C325" s="21" t="s">
        <v>502</v>
      </c>
      <c r="D325" s="37" t="n">
        <v>631</v>
      </c>
      <c r="E325" s="37" t="n">
        <v>625</v>
      </c>
      <c r="F325" s="63" t="n">
        <f aca="false">IF(E325="","",D325-E325)</f>
        <v>6</v>
      </c>
      <c r="G325" s="37" t="n">
        <v>618</v>
      </c>
      <c r="H325" s="37" t="n">
        <v>613</v>
      </c>
      <c r="I325" s="63" t="n">
        <f aca="false">IF(H325="","",G325-H325)</f>
        <v>5</v>
      </c>
      <c r="J325" s="52" t="n">
        <f aca="false">IF(OR(D325="",D325+G325=0),"",D325/(D325+G325))</f>
        <v>0.505204163330665</v>
      </c>
      <c r="K325" s="52" t="n">
        <f aca="false">IF(E325="","",E325/(E325+H325))</f>
        <v>0.504846526655897</v>
      </c>
      <c r="L325" s="64" t="n">
        <f aca="false">IF(OR(K325="",J325=""),"",(J325-K325)*100)</f>
        <v>0.0357636674767958</v>
      </c>
      <c r="M325" s="21"/>
    </row>
    <row r="326" customFormat="false" ht="15" hidden="false" customHeight="false" outlineLevel="0" collapsed="false">
      <c r="A326" s="21" t="s">
        <v>377</v>
      </c>
      <c r="B326" s="21" t="s">
        <v>503</v>
      </c>
      <c r="C326" s="21" t="s">
        <v>504</v>
      </c>
      <c r="D326" s="37" t="n">
        <v>675</v>
      </c>
      <c r="E326" s="37" t="n">
        <v>628</v>
      </c>
      <c r="F326" s="63" t="n">
        <f aca="false">IF(E326="","",D326-E326)</f>
        <v>47</v>
      </c>
      <c r="G326" s="37" t="n">
        <v>723</v>
      </c>
      <c r="H326" s="37" t="n">
        <v>719</v>
      </c>
      <c r="I326" s="63" t="n">
        <f aca="false">IF(H326="","",G326-H326)</f>
        <v>4</v>
      </c>
      <c r="J326" s="52" t="n">
        <f aca="false">IF(OR(D326="",D326+G326=0),"",D326/(D326+G326))</f>
        <v>0.482832618025751</v>
      </c>
      <c r="K326" s="52" t="n">
        <f aca="false">IF(E326="","",E326/(E326+H326))</f>
        <v>0.466221232368226</v>
      </c>
      <c r="L326" s="64" t="n">
        <f aca="false">IF(OR(K326="",J326=""),"",(J326-K326)*100)</f>
        <v>1.66113856575253</v>
      </c>
      <c r="M326" s="21"/>
    </row>
    <row r="327" customFormat="false" ht="15" hidden="false" customHeight="false" outlineLevel="0" collapsed="false">
      <c r="A327" s="21" t="s">
        <v>377</v>
      </c>
      <c r="B327" s="21" t="s">
        <v>503</v>
      </c>
      <c r="C327" s="21" t="s">
        <v>505</v>
      </c>
      <c r="D327" s="37" t="n">
        <v>592</v>
      </c>
      <c r="E327" s="37" t="n">
        <v>588</v>
      </c>
      <c r="F327" s="63" t="n">
        <f aca="false">IF(E327="","",D327-E327)</f>
        <v>4</v>
      </c>
      <c r="G327" s="37" t="n">
        <v>619</v>
      </c>
      <c r="H327" s="37" t="n">
        <v>628</v>
      </c>
      <c r="I327" s="63" t="n">
        <f aca="false">IF(H327="","",G327-H327)</f>
        <v>-9</v>
      </c>
      <c r="J327" s="52" t="n">
        <f aca="false">IF(OR(D327="",D327+G327=0),"",D327/(D327+G327))</f>
        <v>0.488852188274154</v>
      </c>
      <c r="K327" s="52" t="n">
        <f aca="false">IF(E327="","",E327/(E327+H327))</f>
        <v>0.483552631578947</v>
      </c>
      <c r="L327" s="64" t="n">
        <f aca="false">IF(OR(K327="",J327=""),"",(J327-K327)*100)</f>
        <v>0.529955669520626</v>
      </c>
      <c r="M327" s="21"/>
    </row>
    <row r="328" customFormat="false" ht="15" hidden="false" customHeight="false" outlineLevel="0" collapsed="false">
      <c r="A328" s="21" t="s">
        <v>377</v>
      </c>
      <c r="B328" s="21" t="s">
        <v>503</v>
      </c>
      <c r="C328" s="21" t="s">
        <v>506</v>
      </c>
      <c r="D328" s="37" t="n">
        <v>1223</v>
      </c>
      <c r="E328" s="37" t="n">
        <v>1120</v>
      </c>
      <c r="F328" s="63" t="n">
        <f aca="false">IF(E328="","",D328-E328)</f>
        <v>103</v>
      </c>
      <c r="G328" s="37" t="n">
        <v>1314</v>
      </c>
      <c r="H328" s="37" t="n">
        <v>1352</v>
      </c>
      <c r="I328" s="63" t="n">
        <f aca="false">IF(H328="","",G328-H328)</f>
        <v>-38</v>
      </c>
      <c r="J328" s="52" t="n">
        <f aca="false">IF(OR(D328="",D328+G328=0),"",D328/(D328+G328))</f>
        <v>0.48206543161214</v>
      </c>
      <c r="K328" s="52" t="n">
        <f aca="false">IF(E328="","",E328/(E328+H328))</f>
        <v>0.453074433656958</v>
      </c>
      <c r="L328" s="64" t="n">
        <f aca="false">IF(OR(K328="",J328=""),"",(J328-K328)*100)</f>
        <v>2.89909979551824</v>
      </c>
      <c r="M328" s="21"/>
    </row>
    <row r="329" customFormat="false" ht="15" hidden="false" customHeight="false" outlineLevel="0" collapsed="false">
      <c r="A329" s="21" t="s">
        <v>377</v>
      </c>
      <c r="B329" s="21" t="s">
        <v>503</v>
      </c>
      <c r="C329" s="21" t="s">
        <v>507</v>
      </c>
      <c r="D329" s="37" t="n">
        <v>273</v>
      </c>
      <c r="E329" s="37" t="n">
        <v>237</v>
      </c>
      <c r="F329" s="63" t="n">
        <f aca="false">IF(E329="","",D329-E329)</f>
        <v>36</v>
      </c>
      <c r="G329" s="37" t="n">
        <v>294</v>
      </c>
      <c r="H329" s="37" t="n">
        <v>324</v>
      </c>
      <c r="I329" s="63" t="n">
        <f aca="false">IF(H329="","",G329-H329)</f>
        <v>-30</v>
      </c>
      <c r="J329" s="52" t="n">
        <f aca="false">IF(OR(D329="",D329+G329=0),"",D329/(D329+G329))</f>
        <v>0.481481481481481</v>
      </c>
      <c r="K329" s="52" t="n">
        <f aca="false">IF(E329="","",E329/(E329+H329))</f>
        <v>0.422459893048128</v>
      </c>
      <c r="L329" s="64" t="n">
        <f aca="false">IF(OR(K329="",J329=""),"",(J329-K329)*100)</f>
        <v>5.90215884333531</v>
      </c>
      <c r="M329" s="21"/>
    </row>
    <row r="330" customFormat="false" ht="15" hidden="false" customHeight="false" outlineLevel="0" collapsed="false">
      <c r="A330" s="21" t="s">
        <v>377</v>
      </c>
      <c r="B330" s="21" t="s">
        <v>508</v>
      </c>
      <c r="C330" s="21" t="s">
        <v>509</v>
      </c>
      <c r="D330" s="37" t="n">
        <v>662</v>
      </c>
      <c r="E330" s="37" t="n">
        <v>600</v>
      </c>
      <c r="F330" s="63" t="n">
        <f aca="false">IF(E330="","",D330-E330)</f>
        <v>62</v>
      </c>
      <c r="G330" s="37" t="n">
        <v>663</v>
      </c>
      <c r="H330" s="37" t="n">
        <v>681</v>
      </c>
      <c r="I330" s="63" t="n">
        <f aca="false">IF(H330="","",G330-H330)</f>
        <v>-18</v>
      </c>
      <c r="J330" s="52" t="n">
        <f aca="false">IF(OR(D330="",D330+G330=0),"",D330/(D330+G330))</f>
        <v>0.499622641509434</v>
      </c>
      <c r="K330" s="52" t="n">
        <f aca="false">IF(E330="","",E330/(E330+H330))</f>
        <v>0.468384074941452</v>
      </c>
      <c r="L330" s="64" t="n">
        <f aca="false">IF(OR(K330="",J330=""),"",(J330-K330)*100)</f>
        <v>3.1238566567982</v>
      </c>
      <c r="M330" s="21"/>
    </row>
    <row r="331" customFormat="false" ht="15" hidden="false" customHeight="false" outlineLevel="0" collapsed="false">
      <c r="A331" s="21" t="s">
        <v>377</v>
      </c>
      <c r="B331" s="21" t="s">
        <v>508</v>
      </c>
      <c r="C331" s="21" t="s">
        <v>510</v>
      </c>
      <c r="D331" s="37" t="n">
        <v>510</v>
      </c>
      <c r="E331" s="37"/>
      <c r="F331" s="63" t="str">
        <f aca="false">IF(E331="","",D331-E331)</f>
        <v/>
      </c>
      <c r="G331" s="37" t="n">
        <v>495</v>
      </c>
      <c r="H331" s="37"/>
      <c r="I331" s="63" t="str">
        <f aca="false">IF(H331="","",G331-H331)</f>
        <v/>
      </c>
      <c r="J331" s="52" t="n">
        <f aca="false">IF(OR(D331="",D331+G331=0),"",D331/(D331+G331))</f>
        <v>0.507462686567164</v>
      </c>
      <c r="K331" s="52" t="str">
        <f aca="false">IF(E331="","",E331/(E331+H331))</f>
        <v/>
      </c>
      <c r="L331" s="64" t="str">
        <f aca="false">IF(OR(K331="",J331=""),"",(J331-K331)*100)</f>
        <v/>
      </c>
      <c r="M331" s="21" t="s">
        <v>685</v>
      </c>
    </row>
    <row r="332" customFormat="false" ht="15" hidden="false" customHeight="false" outlineLevel="0" collapsed="false">
      <c r="A332" s="21" t="s">
        <v>377</v>
      </c>
      <c r="B332" s="21" t="s">
        <v>508</v>
      </c>
      <c r="C332" s="21" t="s">
        <v>511</v>
      </c>
      <c r="D332" s="37" t="n">
        <v>761</v>
      </c>
      <c r="E332" s="37"/>
      <c r="F332" s="63" t="str">
        <f aca="false">IF(E332="","",D332-E332)</f>
        <v/>
      </c>
      <c r="G332" s="37" t="n">
        <v>780</v>
      </c>
      <c r="H332" s="37"/>
      <c r="I332" s="63" t="str">
        <f aca="false">IF(H332="","",G332-H332)</f>
        <v/>
      </c>
      <c r="J332" s="52" t="n">
        <f aca="false">IF(OR(D332="",D332+G332=0),"",D332/(D332+G332))</f>
        <v>0.493835171966256</v>
      </c>
      <c r="K332" s="52" t="str">
        <f aca="false">IF(E332="","",E332/(E332+H332))</f>
        <v/>
      </c>
      <c r="L332" s="64" t="str">
        <f aca="false">IF(OR(K332="",J332=""),"",(J332-K332)*100)</f>
        <v/>
      </c>
      <c r="M332" s="21" t="s">
        <v>685</v>
      </c>
    </row>
    <row r="333" customFormat="false" ht="15" hidden="false" customHeight="false" outlineLevel="0" collapsed="false">
      <c r="A333" s="21" t="s">
        <v>377</v>
      </c>
      <c r="B333" s="21" t="s">
        <v>508</v>
      </c>
      <c r="C333" s="21" t="s">
        <v>512</v>
      </c>
      <c r="D333" s="37" t="n">
        <v>854</v>
      </c>
      <c r="E333" s="37" t="n">
        <v>824</v>
      </c>
      <c r="F333" s="63" t="n">
        <f aca="false">IF(E333="","",D333-E333)</f>
        <v>30</v>
      </c>
      <c r="G333" s="37" t="n">
        <v>793</v>
      </c>
      <c r="H333" s="37" t="n">
        <v>795</v>
      </c>
      <c r="I333" s="63" t="n">
        <f aca="false">IF(H333="","",G333-H333)</f>
        <v>-2</v>
      </c>
      <c r="J333" s="52" t="n">
        <f aca="false">IF(OR(D333="",D333+G333=0),"",D333/(D333+G333))</f>
        <v>0.518518518518519</v>
      </c>
      <c r="K333" s="52" t="n">
        <f aca="false">IF(E333="","",E333/(E333+H333))</f>
        <v>0.508956145768993</v>
      </c>
      <c r="L333" s="64" t="n">
        <f aca="false">IF(OR(K333="",J333=""),"",(J333-K333)*100)</f>
        <v>0.956237274952532</v>
      </c>
      <c r="M333" s="21"/>
    </row>
    <row r="334" customFormat="false" ht="15" hidden="false" customHeight="false" outlineLevel="0" collapsed="false">
      <c r="A334" s="21" t="s">
        <v>377</v>
      </c>
      <c r="B334" s="21" t="s">
        <v>508</v>
      </c>
      <c r="C334" s="21" t="s">
        <v>513</v>
      </c>
      <c r="D334" s="37" t="n">
        <v>1215</v>
      </c>
      <c r="E334" s="37" t="n">
        <v>1193</v>
      </c>
      <c r="F334" s="63" t="n">
        <f aca="false">IF(E334="","",D334-E334)</f>
        <v>22</v>
      </c>
      <c r="G334" s="37" t="n">
        <v>1270</v>
      </c>
      <c r="H334" s="37" t="n">
        <v>1334</v>
      </c>
      <c r="I334" s="63" t="n">
        <f aca="false">IF(H334="","",G334-H334)</f>
        <v>-64</v>
      </c>
      <c r="J334" s="52" t="n">
        <f aca="false">IF(OR(D334="",D334+G334=0),"",D334/(D334+G334))</f>
        <v>0.488933601609658</v>
      </c>
      <c r="K334" s="52" t="n">
        <f aca="false">IF(E334="","",E334/(E334+H334))</f>
        <v>0.47210130589632</v>
      </c>
      <c r="L334" s="64" t="n">
        <f aca="false">IF(OR(K334="",J334=""),"",(J334-K334)*100)</f>
        <v>1.68322957133382</v>
      </c>
      <c r="M334" s="21"/>
    </row>
    <row r="335" customFormat="false" ht="15" hidden="false" customHeight="false" outlineLevel="0" collapsed="false">
      <c r="A335" s="21" t="s">
        <v>377</v>
      </c>
      <c r="B335" s="21" t="s">
        <v>508</v>
      </c>
      <c r="C335" s="21" t="s">
        <v>514</v>
      </c>
      <c r="D335" s="37" t="n">
        <v>770</v>
      </c>
      <c r="E335" s="37" t="n">
        <v>755</v>
      </c>
      <c r="F335" s="63" t="n">
        <f aca="false">IF(E335="","",D335-E335)</f>
        <v>15</v>
      </c>
      <c r="G335" s="37" t="n">
        <v>785</v>
      </c>
      <c r="H335" s="37" t="n">
        <v>789</v>
      </c>
      <c r="I335" s="63" t="n">
        <f aca="false">IF(H335="","",G335-H335)</f>
        <v>-4</v>
      </c>
      <c r="J335" s="52" t="n">
        <f aca="false">IF(OR(D335="",D335+G335=0),"",D335/(D335+G335))</f>
        <v>0.495176848874598</v>
      </c>
      <c r="K335" s="52" t="n">
        <f aca="false">IF(E335="","",E335/(E335+H335))</f>
        <v>0.4889896373057</v>
      </c>
      <c r="L335" s="64" t="n">
        <f aca="false">IF(OR(K335="",J335=""),"",(J335-K335)*100)</f>
        <v>0.618721156889857</v>
      </c>
      <c r="M335" s="21"/>
    </row>
    <row r="336" customFormat="false" ht="15" hidden="false" customHeight="false" outlineLevel="0" collapsed="false">
      <c r="A336" s="21" t="s">
        <v>377</v>
      </c>
      <c r="B336" s="21" t="s">
        <v>508</v>
      </c>
      <c r="C336" s="21" t="s">
        <v>515</v>
      </c>
      <c r="D336" s="37" t="n">
        <v>761</v>
      </c>
      <c r="E336" s="37"/>
      <c r="F336" s="63" t="str">
        <f aca="false">IF(E336="","",D336-E336)</f>
        <v/>
      </c>
      <c r="G336" s="37" t="n">
        <v>689</v>
      </c>
      <c r="H336" s="37"/>
      <c r="I336" s="63" t="str">
        <f aca="false">IF(H336="","",G336-H336)</f>
        <v/>
      </c>
      <c r="J336" s="52" t="n">
        <f aca="false">IF(OR(D336="",D336+G336=0),"",D336/(D336+G336))</f>
        <v>0.524827586206897</v>
      </c>
      <c r="K336" s="52" t="str">
        <f aca="false">IF(E336="","",E336/(E336+H336))</f>
        <v/>
      </c>
      <c r="L336" s="64" t="str">
        <f aca="false">IF(OR(K336="",J336=""),"",(J336-K336)*100)</f>
        <v/>
      </c>
      <c r="M336" s="21" t="s">
        <v>685</v>
      </c>
    </row>
    <row r="337" customFormat="false" ht="15" hidden="false" customHeight="false" outlineLevel="0" collapsed="false">
      <c r="A337" s="21" t="s">
        <v>377</v>
      </c>
      <c r="B337" s="21" t="s">
        <v>508</v>
      </c>
      <c r="C337" s="21" t="s">
        <v>516</v>
      </c>
      <c r="D337" s="37" t="n">
        <v>693</v>
      </c>
      <c r="E337" s="37"/>
      <c r="F337" s="63" t="str">
        <f aca="false">IF(E337="","",D337-E337)</f>
        <v/>
      </c>
      <c r="G337" s="37" t="n">
        <v>784</v>
      </c>
      <c r="H337" s="37"/>
      <c r="I337" s="63" t="str">
        <f aca="false">IF(H337="","",G337-H337)</f>
        <v/>
      </c>
      <c r="J337" s="52" t="n">
        <f aca="false">IF(OR(D337="",D337+G337=0),"",D337/(D337+G337))</f>
        <v>0.469194312796209</v>
      </c>
      <c r="K337" s="52" t="str">
        <f aca="false">IF(E337="","",E337/(E337+H337))</f>
        <v/>
      </c>
      <c r="L337" s="64" t="str">
        <f aca="false">IF(OR(K337="",J337=""),"",(J337-K337)*100)</f>
        <v/>
      </c>
      <c r="M337" s="21" t="s">
        <v>685</v>
      </c>
    </row>
    <row r="338" customFormat="false" ht="15" hidden="false" customHeight="false" outlineLevel="0" collapsed="false">
      <c r="A338" s="21" t="s">
        <v>377</v>
      </c>
      <c r="B338" s="21" t="s">
        <v>508</v>
      </c>
      <c r="C338" s="21" t="s">
        <v>517</v>
      </c>
      <c r="D338" s="37" t="n">
        <v>753</v>
      </c>
      <c r="E338" s="37"/>
      <c r="F338" s="63" t="str">
        <f aca="false">IF(E338="","",D338-E338)</f>
        <v/>
      </c>
      <c r="G338" s="37" t="n">
        <v>883</v>
      </c>
      <c r="H338" s="37"/>
      <c r="I338" s="63" t="str">
        <f aca="false">IF(H338="","",G338-H338)</f>
        <v/>
      </c>
      <c r="J338" s="52" t="n">
        <f aca="false">IF(OR(D338="",D338+G338=0),"",D338/(D338+G338))</f>
        <v>0.460268948655257</v>
      </c>
      <c r="K338" s="52" t="str">
        <f aca="false">IF(E338="","",E338/(E338+H338))</f>
        <v/>
      </c>
      <c r="L338" s="64" t="str">
        <f aca="false">IF(OR(K338="",J338=""),"",(J338-K338)*100)</f>
        <v/>
      </c>
      <c r="M338" s="21" t="s">
        <v>685</v>
      </c>
    </row>
    <row r="339" customFormat="false" ht="15" hidden="false" customHeight="false" outlineLevel="0" collapsed="false">
      <c r="A339" s="21" t="s">
        <v>377</v>
      </c>
      <c r="B339" s="21" t="s">
        <v>518</v>
      </c>
      <c r="C339" s="21" t="s">
        <v>519</v>
      </c>
      <c r="D339" s="37" t="n">
        <v>107</v>
      </c>
      <c r="E339" s="37" t="n">
        <v>112</v>
      </c>
      <c r="F339" s="63" t="n">
        <f aca="false">IF(E339="","",D339-E339)</f>
        <v>-5</v>
      </c>
      <c r="G339" s="37" t="n">
        <v>189</v>
      </c>
      <c r="H339" s="37" t="n">
        <v>199</v>
      </c>
      <c r="I339" s="63" t="n">
        <f aca="false">IF(H339="","",G339-H339)</f>
        <v>-10</v>
      </c>
      <c r="J339" s="52" t="n">
        <f aca="false">IF(OR(D339="",D339+G339=0),"",D339/(D339+G339))</f>
        <v>0.361486486486487</v>
      </c>
      <c r="K339" s="52" t="n">
        <f aca="false">IF(E339="","",E339/(E339+H339))</f>
        <v>0.360128617363344</v>
      </c>
      <c r="L339" s="64" t="n">
        <f aca="false">IF(OR(K339="",J339=""),"",(J339-K339)*100)</f>
        <v>0.135786912314245</v>
      </c>
      <c r="M339" s="21"/>
    </row>
    <row r="340" customFormat="false" ht="15" hidden="false" customHeight="false" outlineLevel="0" collapsed="false">
      <c r="A340" s="21" t="s">
        <v>377</v>
      </c>
      <c r="B340" s="21" t="s">
        <v>518</v>
      </c>
      <c r="C340" s="21" t="s">
        <v>520</v>
      </c>
      <c r="D340" s="37" t="n">
        <v>242</v>
      </c>
      <c r="E340" s="37" t="n">
        <v>259</v>
      </c>
      <c r="F340" s="63" t="n">
        <f aca="false">IF(E340="","",D340-E340)</f>
        <v>-17</v>
      </c>
      <c r="G340" s="37" t="n">
        <v>471</v>
      </c>
      <c r="H340" s="37" t="n">
        <v>480</v>
      </c>
      <c r="I340" s="63" t="n">
        <f aca="false">IF(H340="","",G340-H340)</f>
        <v>-9</v>
      </c>
      <c r="J340" s="52" t="n">
        <f aca="false">IF(OR(D340="",D340+G340=0),"",D340/(D340+G340))</f>
        <v>0.339410939691445</v>
      </c>
      <c r="K340" s="52" t="n">
        <f aca="false">IF(E340="","",E340/(E340+H340))</f>
        <v>0.350473612990528</v>
      </c>
      <c r="L340" s="64" t="n">
        <f aca="false">IF(OR(K340="",J340=""),"",(J340-K340)*100)</f>
        <v>-1.10626732990832</v>
      </c>
      <c r="M340" s="21"/>
    </row>
    <row r="341" customFormat="false" ht="15" hidden="false" customHeight="false" outlineLevel="0" collapsed="false">
      <c r="A341" s="21" t="s">
        <v>377</v>
      </c>
      <c r="B341" s="21" t="s">
        <v>518</v>
      </c>
      <c r="C341" s="21" t="s">
        <v>521</v>
      </c>
      <c r="D341" s="37" t="n">
        <v>202</v>
      </c>
      <c r="E341" s="37" t="n">
        <v>204</v>
      </c>
      <c r="F341" s="63" t="n">
        <f aca="false">IF(E341="","",D341-E341)</f>
        <v>-2</v>
      </c>
      <c r="G341" s="37" t="n">
        <v>294</v>
      </c>
      <c r="H341" s="37" t="n">
        <v>301</v>
      </c>
      <c r="I341" s="63" t="n">
        <f aca="false">IF(H341="","",G341-H341)</f>
        <v>-7</v>
      </c>
      <c r="J341" s="52" t="n">
        <f aca="false">IF(OR(D341="",D341+G341=0),"",D341/(D341+G341))</f>
        <v>0.407258064516129</v>
      </c>
      <c r="K341" s="52" t="n">
        <f aca="false">IF(E341="","",E341/(E341+H341))</f>
        <v>0.403960396039604</v>
      </c>
      <c r="L341" s="64" t="n">
        <f aca="false">IF(OR(K341="",J341=""),"",(J341-K341)*100)</f>
        <v>0.329766847652507</v>
      </c>
      <c r="M341" s="21"/>
    </row>
    <row r="342" customFormat="false" ht="15" hidden="false" customHeight="false" outlineLevel="0" collapsed="false">
      <c r="A342" s="21" t="s">
        <v>377</v>
      </c>
      <c r="B342" s="21" t="s">
        <v>518</v>
      </c>
      <c r="C342" s="21" t="s">
        <v>522</v>
      </c>
      <c r="D342" s="37" t="n">
        <v>143</v>
      </c>
      <c r="E342" s="37" t="n">
        <v>128</v>
      </c>
      <c r="F342" s="63" t="n">
        <f aca="false">IF(E342="","",D342-E342)</f>
        <v>15</v>
      </c>
      <c r="G342" s="37" t="n">
        <v>193</v>
      </c>
      <c r="H342" s="37" t="n">
        <v>200</v>
      </c>
      <c r="I342" s="63" t="n">
        <f aca="false">IF(H342="","",G342-H342)</f>
        <v>-7</v>
      </c>
      <c r="J342" s="52" t="n">
        <f aca="false">IF(OR(D342="",D342+G342=0),"",D342/(D342+G342))</f>
        <v>0.425595238095238</v>
      </c>
      <c r="K342" s="52" t="n">
        <f aca="false">IF(E342="","",E342/(E342+H342))</f>
        <v>0.390243902439024</v>
      </c>
      <c r="L342" s="64" t="n">
        <f aca="false">IF(OR(K342="",J342=""),"",(J342-K342)*100)</f>
        <v>3.53513356562137</v>
      </c>
      <c r="M342" s="21"/>
    </row>
    <row r="343" customFormat="false" ht="15" hidden="false" customHeight="false" outlineLevel="0" collapsed="false">
      <c r="A343" s="21" t="s">
        <v>377</v>
      </c>
      <c r="B343" s="21" t="s">
        <v>523</v>
      </c>
      <c r="C343" s="21" t="s">
        <v>524</v>
      </c>
      <c r="D343" s="37" t="n">
        <v>399</v>
      </c>
      <c r="E343" s="37" t="n">
        <v>412</v>
      </c>
      <c r="F343" s="63" t="n">
        <f aca="false">IF(E343="","",D343-E343)</f>
        <v>-13</v>
      </c>
      <c r="G343" s="37" t="n">
        <v>793</v>
      </c>
      <c r="H343" s="37" t="n">
        <v>767</v>
      </c>
      <c r="I343" s="63" t="n">
        <f aca="false">IF(H343="","",G343-H343)</f>
        <v>26</v>
      </c>
      <c r="J343" s="52" t="n">
        <f aca="false">IF(OR(D343="",D343+G343=0),"",D343/(D343+G343))</f>
        <v>0.334731543624161</v>
      </c>
      <c r="K343" s="52" t="n">
        <f aca="false">IF(E343="","",E343/(E343+H343))</f>
        <v>0.349448685326548</v>
      </c>
      <c r="L343" s="64" t="n">
        <f aca="false">IF(OR(K343="",J343=""),"",(J343-K343)*100)</f>
        <v>-1.47171417023869</v>
      </c>
      <c r="M343" s="21"/>
    </row>
    <row r="344" customFormat="false" ht="15" hidden="false" customHeight="false" outlineLevel="0" collapsed="false">
      <c r="A344" s="21" t="s">
        <v>377</v>
      </c>
      <c r="B344" s="21" t="s">
        <v>523</v>
      </c>
      <c r="C344" s="21" t="s">
        <v>525</v>
      </c>
      <c r="D344" s="37" t="n">
        <v>334</v>
      </c>
      <c r="E344" s="37" t="n">
        <v>361</v>
      </c>
      <c r="F344" s="63" t="n">
        <f aca="false">IF(E344="","",D344-E344)</f>
        <v>-27</v>
      </c>
      <c r="G344" s="37" t="n">
        <v>652</v>
      </c>
      <c r="H344" s="37" t="n">
        <v>633</v>
      </c>
      <c r="I344" s="63" t="n">
        <f aca="false">IF(H344="","",G344-H344)</f>
        <v>19</v>
      </c>
      <c r="J344" s="52" t="n">
        <f aca="false">IF(OR(D344="",D344+G344=0),"",D344/(D344+G344))</f>
        <v>0.338742393509128</v>
      </c>
      <c r="K344" s="52" t="n">
        <f aca="false">IF(E344="","",E344/(E344+H344))</f>
        <v>0.36317907444668</v>
      </c>
      <c r="L344" s="64" t="n">
        <f aca="false">IF(OR(K344="",J344=""),"",(J344-K344)*100)</f>
        <v>-2.44366809375523</v>
      </c>
      <c r="M344" s="21"/>
    </row>
    <row r="345" customFormat="false" ht="15" hidden="false" customHeight="false" outlineLevel="0" collapsed="false">
      <c r="A345" s="21" t="s">
        <v>377</v>
      </c>
      <c r="B345" s="21" t="s">
        <v>523</v>
      </c>
      <c r="C345" s="21" t="s">
        <v>526</v>
      </c>
      <c r="D345" s="37" t="n">
        <v>282</v>
      </c>
      <c r="E345" s="37" t="n">
        <v>286</v>
      </c>
      <c r="F345" s="63" t="n">
        <f aca="false">IF(E345="","",D345-E345)</f>
        <v>-4</v>
      </c>
      <c r="G345" s="37" t="n">
        <v>594</v>
      </c>
      <c r="H345" s="37" t="n">
        <v>553</v>
      </c>
      <c r="I345" s="63" t="n">
        <f aca="false">IF(H345="","",G345-H345)</f>
        <v>41</v>
      </c>
      <c r="J345" s="52" t="n">
        <f aca="false">IF(OR(D345="",D345+G345=0),"",D345/(D345+G345))</f>
        <v>0.321917808219178</v>
      </c>
      <c r="K345" s="52" t="n">
        <f aca="false">IF(E345="","",E345/(E345+H345))</f>
        <v>0.34088200238379</v>
      </c>
      <c r="L345" s="64" t="n">
        <f aca="false">IF(OR(K345="",J345=""),"",(J345-K345)*100)</f>
        <v>-1.89641941646121</v>
      </c>
      <c r="M345" s="21"/>
    </row>
    <row r="346" customFormat="false" ht="15" hidden="false" customHeight="false" outlineLevel="0" collapsed="false">
      <c r="A346" s="21" t="s">
        <v>377</v>
      </c>
      <c r="B346" s="21" t="s">
        <v>523</v>
      </c>
      <c r="C346" s="21" t="s">
        <v>527</v>
      </c>
      <c r="D346" s="37" t="n">
        <v>297</v>
      </c>
      <c r="E346" s="37" t="n">
        <v>302</v>
      </c>
      <c r="F346" s="63" t="n">
        <f aca="false">IF(E346="","",D346-E346)</f>
        <v>-5</v>
      </c>
      <c r="G346" s="37" t="n">
        <v>599</v>
      </c>
      <c r="H346" s="37" t="n">
        <v>608</v>
      </c>
      <c r="I346" s="63" t="n">
        <f aca="false">IF(H346="","",G346-H346)</f>
        <v>-9</v>
      </c>
      <c r="J346" s="52" t="n">
        <f aca="false">IF(OR(D346="",D346+G346=0),"",D346/(D346+G346))</f>
        <v>0.331473214285714</v>
      </c>
      <c r="K346" s="52" t="n">
        <f aca="false">IF(E346="","",E346/(E346+H346))</f>
        <v>0.331868131868132</v>
      </c>
      <c r="L346" s="64" t="n">
        <f aca="false">IF(OR(K346="",J346=""),"",(J346-K346)*100)</f>
        <v>-0.0394917582417553</v>
      </c>
      <c r="M346" s="21"/>
    </row>
    <row r="347" customFormat="false" ht="15" hidden="false" customHeight="false" outlineLevel="0" collapsed="false">
      <c r="A347" s="21" t="s">
        <v>377</v>
      </c>
      <c r="B347" s="21" t="s">
        <v>528</v>
      </c>
      <c r="C347" s="21" t="s">
        <v>529</v>
      </c>
      <c r="D347" s="37" t="n">
        <v>78</v>
      </c>
      <c r="E347" s="37" t="n">
        <v>92</v>
      </c>
      <c r="F347" s="63" t="n">
        <f aca="false">IF(E347="","",D347-E347)</f>
        <v>-14</v>
      </c>
      <c r="G347" s="37" t="n">
        <v>171</v>
      </c>
      <c r="H347" s="37" t="n">
        <v>167</v>
      </c>
      <c r="I347" s="63" t="n">
        <f aca="false">IF(H347="","",G347-H347)</f>
        <v>4</v>
      </c>
      <c r="J347" s="52" t="n">
        <f aca="false">IF(OR(D347="",D347+G347=0),"",D347/(D347+G347))</f>
        <v>0.313253012048193</v>
      </c>
      <c r="K347" s="52" t="n">
        <f aca="false">IF(E347="","",E347/(E347+H347))</f>
        <v>0.355212355212355</v>
      </c>
      <c r="L347" s="64" t="n">
        <f aca="false">IF(OR(K347="",J347=""),"",(J347-K347)*100)</f>
        <v>-4.19593431641625</v>
      </c>
      <c r="M347" s="21"/>
    </row>
    <row r="348" customFormat="false" ht="15" hidden="false" customHeight="false" outlineLevel="0" collapsed="false">
      <c r="A348" s="21" t="s">
        <v>377</v>
      </c>
      <c r="B348" s="21" t="s">
        <v>530</v>
      </c>
      <c r="C348" s="21" t="s">
        <v>531</v>
      </c>
      <c r="D348" s="37" t="n">
        <v>354</v>
      </c>
      <c r="E348" s="37" t="n">
        <v>335</v>
      </c>
      <c r="F348" s="63" t="n">
        <f aca="false">IF(E348="","",D348-E348)</f>
        <v>19</v>
      </c>
      <c r="G348" s="37" t="n">
        <v>578</v>
      </c>
      <c r="H348" s="37" t="n">
        <v>581</v>
      </c>
      <c r="I348" s="63" t="n">
        <f aca="false">IF(H348="","",G348-H348)</f>
        <v>-3</v>
      </c>
      <c r="J348" s="52" t="n">
        <f aca="false">IF(OR(D348="",D348+G348=0),"",D348/(D348+G348))</f>
        <v>0.379828326180258</v>
      </c>
      <c r="K348" s="52" t="n">
        <f aca="false">IF(E348="","",E348/(E348+H348))</f>
        <v>0.365720524017467</v>
      </c>
      <c r="L348" s="64" t="n">
        <f aca="false">IF(OR(K348="",J348=""),"",(J348-K348)*100)</f>
        <v>1.41078021627903</v>
      </c>
      <c r="M348" s="21"/>
    </row>
    <row r="349" customFormat="false" ht="15" hidden="false" customHeight="false" outlineLevel="0" collapsed="false">
      <c r="A349" s="21" t="s">
        <v>377</v>
      </c>
      <c r="B349" s="21" t="s">
        <v>532</v>
      </c>
      <c r="C349" s="21" t="s">
        <v>533</v>
      </c>
      <c r="D349" s="37" t="n">
        <v>210</v>
      </c>
      <c r="E349" s="37" t="n">
        <v>210</v>
      </c>
      <c r="F349" s="63" t="n">
        <f aca="false">IF(E349="","",D349-E349)</f>
        <v>0</v>
      </c>
      <c r="G349" s="37" t="n">
        <v>304</v>
      </c>
      <c r="H349" s="37" t="n">
        <v>309</v>
      </c>
      <c r="I349" s="63" t="n">
        <f aca="false">IF(H349="","",G349-H349)</f>
        <v>-5</v>
      </c>
      <c r="J349" s="52" t="n">
        <f aca="false">IF(OR(D349="",D349+G349=0),"",D349/(D349+G349))</f>
        <v>0.408560311284047</v>
      </c>
      <c r="K349" s="52" t="n">
        <f aca="false">IF(E349="","",E349/(E349+H349))</f>
        <v>0.404624277456647</v>
      </c>
      <c r="L349" s="64" t="n">
        <f aca="false">IF(OR(K349="",J349=""),"",(J349-K349)*100)</f>
        <v>0.393603382739927</v>
      </c>
      <c r="M349" s="21"/>
    </row>
    <row r="350" customFormat="false" ht="15" hidden="false" customHeight="false" outlineLevel="0" collapsed="false">
      <c r="A350" s="21" t="s">
        <v>377</v>
      </c>
      <c r="B350" s="21" t="s">
        <v>534</v>
      </c>
      <c r="C350" s="21" t="s">
        <v>535</v>
      </c>
      <c r="D350" s="37" t="n">
        <v>326</v>
      </c>
      <c r="E350" s="37" t="n">
        <v>331</v>
      </c>
      <c r="F350" s="63" t="n">
        <f aca="false">IF(E350="","",D350-E350)</f>
        <v>-5</v>
      </c>
      <c r="G350" s="37" t="n">
        <v>446</v>
      </c>
      <c r="H350" s="37" t="n">
        <v>458</v>
      </c>
      <c r="I350" s="63" t="n">
        <f aca="false">IF(H350="","",G350-H350)</f>
        <v>-12</v>
      </c>
      <c r="J350" s="52" t="n">
        <f aca="false">IF(OR(D350="",D350+G350=0),"",D350/(D350+G350))</f>
        <v>0.422279792746114</v>
      </c>
      <c r="K350" s="52" t="n">
        <f aca="false">IF(E350="","",E350/(E350+H350))</f>
        <v>0.419518377693283</v>
      </c>
      <c r="L350" s="64" t="n">
        <f aca="false">IF(OR(K350="",J350=""),"",(J350-K350)*100)</f>
        <v>0.276141505283134</v>
      </c>
      <c r="M350" s="21"/>
    </row>
    <row r="351" customFormat="false" ht="15" hidden="false" customHeight="false" outlineLevel="0" collapsed="false">
      <c r="A351" s="21" t="s">
        <v>377</v>
      </c>
      <c r="B351" s="21" t="s">
        <v>536</v>
      </c>
      <c r="C351" s="21" t="s">
        <v>537</v>
      </c>
      <c r="D351" s="37" t="n">
        <v>286</v>
      </c>
      <c r="E351" s="37" t="n">
        <v>307</v>
      </c>
      <c r="F351" s="63" t="n">
        <f aca="false">IF(E351="","",D351-E351)</f>
        <v>-21</v>
      </c>
      <c r="G351" s="37" t="n">
        <v>753</v>
      </c>
      <c r="H351" s="37" t="n">
        <v>746</v>
      </c>
      <c r="I351" s="63" t="n">
        <f aca="false">IF(H351="","",G351-H351)</f>
        <v>7</v>
      </c>
      <c r="J351" s="52" t="n">
        <f aca="false">IF(OR(D351="",D351+G351=0),"",D351/(D351+G351))</f>
        <v>0.275264677574591</v>
      </c>
      <c r="K351" s="52" t="n">
        <f aca="false">IF(E351="","",E351/(E351+H351))</f>
        <v>0.291547958214625</v>
      </c>
      <c r="L351" s="64" t="n">
        <f aca="false">IF(OR(K351="",J351=""),"",(J351-K351)*100)</f>
        <v>-1.62832806400339</v>
      </c>
      <c r="M351" s="21"/>
    </row>
    <row r="352" customFormat="false" ht="15" hidden="false" customHeight="false" outlineLevel="0" collapsed="false">
      <c r="A352" s="21" t="s">
        <v>377</v>
      </c>
      <c r="B352" s="21" t="s">
        <v>536</v>
      </c>
      <c r="C352" s="21" t="s">
        <v>538</v>
      </c>
      <c r="D352" s="37" t="n">
        <v>227</v>
      </c>
      <c r="E352" s="37" t="n">
        <v>232</v>
      </c>
      <c r="F352" s="63" t="n">
        <f aca="false">IF(E352="","",D352-E352)</f>
        <v>-5</v>
      </c>
      <c r="G352" s="37" t="n">
        <v>490</v>
      </c>
      <c r="H352" s="37" t="n">
        <v>487</v>
      </c>
      <c r="I352" s="63" t="n">
        <f aca="false">IF(H352="","",G352-H352)</f>
        <v>3</v>
      </c>
      <c r="J352" s="52" t="n">
        <f aca="false">IF(OR(D352="",D352+G352=0),"",D352/(D352+G352))</f>
        <v>0.316596931659693</v>
      </c>
      <c r="K352" s="52" t="n">
        <f aca="false">IF(E352="","",E352/(E352+H352))</f>
        <v>0.322670375521558</v>
      </c>
      <c r="L352" s="64" t="n">
        <f aca="false">IF(OR(K352="",J352=""),"",(J352-K352)*100)</f>
        <v>-0.607344386186454</v>
      </c>
      <c r="M352" s="21"/>
    </row>
    <row r="353" customFormat="false" ht="15" hidden="false" customHeight="false" outlineLevel="0" collapsed="false">
      <c r="A353" s="21" t="s">
        <v>377</v>
      </c>
      <c r="B353" s="21" t="s">
        <v>536</v>
      </c>
      <c r="C353" s="21" t="s">
        <v>539</v>
      </c>
      <c r="D353" s="37" t="n">
        <v>179</v>
      </c>
      <c r="E353" s="37" t="n">
        <v>178</v>
      </c>
      <c r="F353" s="63" t="n">
        <f aca="false">IF(E353="","",D353-E353)</f>
        <v>1</v>
      </c>
      <c r="G353" s="37" t="n">
        <v>439</v>
      </c>
      <c r="H353" s="37" t="n">
        <v>480</v>
      </c>
      <c r="I353" s="63" t="n">
        <f aca="false">IF(H353="","",G353-H353)</f>
        <v>-41</v>
      </c>
      <c r="J353" s="52" t="n">
        <f aca="false">IF(OR(D353="",D353+G353=0),"",D353/(D353+G353))</f>
        <v>0.289644012944984</v>
      </c>
      <c r="K353" s="52" t="n">
        <f aca="false">IF(E353="","",E353/(E353+H353))</f>
        <v>0.270516717325228</v>
      </c>
      <c r="L353" s="64" t="n">
        <f aca="false">IF(OR(K353="",J353=""),"",(J353-K353)*100)</f>
        <v>1.91272956197558</v>
      </c>
      <c r="M353" s="21"/>
    </row>
    <row r="354" customFormat="false" ht="15" hidden="false" customHeight="false" outlineLevel="0" collapsed="false">
      <c r="A354" s="21" t="s">
        <v>377</v>
      </c>
      <c r="B354" s="21" t="s">
        <v>536</v>
      </c>
      <c r="C354" s="21" t="s">
        <v>540</v>
      </c>
      <c r="D354" s="37" t="n">
        <v>182</v>
      </c>
      <c r="E354" s="37" t="n">
        <v>180</v>
      </c>
      <c r="F354" s="63" t="n">
        <f aca="false">IF(E354="","",D354-E354)</f>
        <v>2</v>
      </c>
      <c r="G354" s="37" t="n">
        <v>418</v>
      </c>
      <c r="H354" s="37" t="n">
        <v>430</v>
      </c>
      <c r="I354" s="63" t="n">
        <f aca="false">IF(H354="","",G354-H354)</f>
        <v>-12</v>
      </c>
      <c r="J354" s="52" t="n">
        <f aca="false">IF(OR(D354="",D354+G354=0),"",D354/(D354+G354))</f>
        <v>0.303333333333333</v>
      </c>
      <c r="K354" s="52" t="n">
        <f aca="false">IF(E354="","",E354/(E354+H354))</f>
        <v>0.295081967213115</v>
      </c>
      <c r="L354" s="64" t="n">
        <f aca="false">IF(OR(K354="",J354=""),"",(J354-K354)*100)</f>
        <v>0.82513661202186</v>
      </c>
      <c r="M354" s="21"/>
    </row>
    <row r="355" customFormat="false" ht="15" hidden="false" customHeight="false" outlineLevel="0" collapsed="false">
      <c r="A355" s="21" t="s">
        <v>377</v>
      </c>
      <c r="B355" s="21" t="s">
        <v>536</v>
      </c>
      <c r="C355" s="21" t="s">
        <v>541</v>
      </c>
      <c r="D355" s="37" t="n">
        <v>305</v>
      </c>
      <c r="E355" s="37" t="n">
        <v>345</v>
      </c>
      <c r="F355" s="63" t="n">
        <f aca="false">IF(E355="","",D355-E355)</f>
        <v>-40</v>
      </c>
      <c r="G355" s="37" t="n">
        <v>583</v>
      </c>
      <c r="H355" s="37" t="n">
        <v>573</v>
      </c>
      <c r="I355" s="63" t="n">
        <f aca="false">IF(H355="","",G355-H355)</f>
        <v>10</v>
      </c>
      <c r="J355" s="52" t="n">
        <f aca="false">IF(OR(D355="",D355+G355=0),"",D355/(D355+G355))</f>
        <v>0.343468468468468</v>
      </c>
      <c r="K355" s="52" t="n">
        <f aca="false">IF(E355="","",E355/(E355+H355))</f>
        <v>0.375816993464052</v>
      </c>
      <c r="L355" s="64" t="n">
        <f aca="false">IF(OR(K355="",J355=""),"",(J355-K355)*100)</f>
        <v>-3.23485249955838</v>
      </c>
      <c r="M355" s="21"/>
    </row>
    <row r="356" customFormat="false" ht="15" hidden="false" customHeight="false" outlineLevel="0" collapsed="false">
      <c r="A356" s="21" t="s">
        <v>377</v>
      </c>
      <c r="B356" s="21" t="s">
        <v>542</v>
      </c>
      <c r="C356" s="21" t="s">
        <v>543</v>
      </c>
      <c r="D356" s="37" t="n">
        <v>1074</v>
      </c>
      <c r="E356" s="37" t="n">
        <v>1084</v>
      </c>
      <c r="F356" s="63" t="n">
        <f aca="false">IF(E356="","",D356-E356)</f>
        <v>-10</v>
      </c>
      <c r="G356" s="37" t="n">
        <v>1161</v>
      </c>
      <c r="H356" s="37" t="n">
        <v>1187</v>
      </c>
      <c r="I356" s="63" t="n">
        <f aca="false">IF(H356="","",G356-H356)</f>
        <v>-26</v>
      </c>
      <c r="J356" s="52" t="n">
        <f aca="false">IF(OR(D356="",D356+G356=0),"",D356/(D356+G356))</f>
        <v>0.480536912751678</v>
      </c>
      <c r="K356" s="52" t="n">
        <f aca="false">IF(E356="","",E356/(E356+H356))</f>
        <v>0.477322765301629</v>
      </c>
      <c r="L356" s="64" t="n">
        <f aca="false">IF(OR(K356="",J356=""),"",(J356-K356)*100)</f>
        <v>0.321414745004861</v>
      </c>
      <c r="M356" s="21"/>
    </row>
    <row r="357" customFormat="false" ht="15" hidden="false" customHeight="false" outlineLevel="0" collapsed="false">
      <c r="A357" s="21" t="s">
        <v>377</v>
      </c>
      <c r="B357" s="21" t="s">
        <v>542</v>
      </c>
      <c r="C357" s="21" t="s">
        <v>544</v>
      </c>
      <c r="D357" s="37" t="n">
        <v>359</v>
      </c>
      <c r="E357" s="37"/>
      <c r="F357" s="63" t="str">
        <f aca="false">IF(E357="","",D357-E357)</f>
        <v/>
      </c>
      <c r="G357" s="37" t="n">
        <v>372</v>
      </c>
      <c r="H357" s="37"/>
      <c r="I357" s="63" t="str">
        <f aca="false">IF(H357="","",G357-H357)</f>
        <v/>
      </c>
      <c r="J357" s="52" t="n">
        <f aca="false">IF(OR(D357="",D357+G357=0),"",D357/(D357+G357))</f>
        <v>0.491108071135431</v>
      </c>
      <c r="K357" s="52" t="str">
        <f aca="false">IF(E357="","",E357/(E357+H357))</f>
        <v/>
      </c>
      <c r="L357" s="64" t="str">
        <f aca="false">IF(OR(K357="",J357=""),"",(J357-K357)*100)</f>
        <v/>
      </c>
      <c r="M357" s="21" t="s">
        <v>685</v>
      </c>
    </row>
    <row r="358" customFormat="false" ht="15" hidden="false" customHeight="false" outlineLevel="0" collapsed="false">
      <c r="A358" s="21" t="s">
        <v>377</v>
      </c>
      <c r="B358" s="21" t="s">
        <v>542</v>
      </c>
      <c r="C358" s="21" t="s">
        <v>545</v>
      </c>
      <c r="D358" s="37" t="n">
        <v>867</v>
      </c>
      <c r="E358" s="37" t="n">
        <v>880</v>
      </c>
      <c r="F358" s="63" t="n">
        <f aca="false">IF(E358="","",D358-E358)</f>
        <v>-13</v>
      </c>
      <c r="G358" s="37" t="n">
        <v>967</v>
      </c>
      <c r="H358" s="37" t="n">
        <v>960</v>
      </c>
      <c r="I358" s="63" t="n">
        <f aca="false">IF(H358="","",G358-H358)</f>
        <v>7</v>
      </c>
      <c r="J358" s="52" t="n">
        <f aca="false">IF(OR(D358="",D358+G358=0),"",D358/(D358+G358))</f>
        <v>0.472737186477645</v>
      </c>
      <c r="K358" s="52" t="n">
        <f aca="false">IF(E358="","",E358/(E358+H358))</f>
        <v>0.478260869565217</v>
      </c>
      <c r="L358" s="64" t="n">
        <f aca="false">IF(OR(K358="",J358=""),"",(J358-K358)*100)</f>
        <v>-0.55236830875729</v>
      </c>
      <c r="M358" s="21"/>
    </row>
    <row r="359" customFormat="false" ht="15" hidden="false" customHeight="false" outlineLevel="0" collapsed="false">
      <c r="A359" s="21" t="s">
        <v>377</v>
      </c>
      <c r="B359" s="21" t="s">
        <v>542</v>
      </c>
      <c r="C359" s="21" t="s">
        <v>546</v>
      </c>
      <c r="D359" s="37" t="n">
        <v>272</v>
      </c>
      <c r="E359" s="37"/>
      <c r="F359" s="63" t="str">
        <f aca="false">IF(E359="","",D359-E359)</f>
        <v/>
      </c>
      <c r="G359" s="37" t="n">
        <v>285</v>
      </c>
      <c r="H359" s="37"/>
      <c r="I359" s="63" t="str">
        <f aca="false">IF(H359="","",G359-H359)</f>
        <v/>
      </c>
      <c r="J359" s="52" t="n">
        <f aca="false">IF(OR(D359="",D359+G359=0),"",D359/(D359+G359))</f>
        <v>0.488330341113106</v>
      </c>
      <c r="K359" s="52" t="str">
        <f aca="false">IF(E359="","",E359/(E359+H359))</f>
        <v/>
      </c>
      <c r="L359" s="64" t="str">
        <f aca="false">IF(OR(K359="",J359=""),"",(J359-K359)*100)</f>
        <v/>
      </c>
      <c r="M359" s="21" t="s">
        <v>685</v>
      </c>
    </row>
    <row r="360" customFormat="false" ht="15" hidden="false" customHeight="false" outlineLevel="0" collapsed="false">
      <c r="A360" s="21" t="s">
        <v>377</v>
      </c>
      <c r="B360" s="21" t="s">
        <v>547</v>
      </c>
      <c r="C360" s="21" t="s">
        <v>548</v>
      </c>
      <c r="D360" s="37" t="n">
        <v>426</v>
      </c>
      <c r="E360" s="37" t="n">
        <v>416</v>
      </c>
      <c r="F360" s="63" t="n">
        <f aca="false">IF(E360="","",D360-E360)</f>
        <v>10</v>
      </c>
      <c r="G360" s="37" t="n">
        <v>635</v>
      </c>
      <c r="H360" s="37" t="n">
        <v>658</v>
      </c>
      <c r="I360" s="63" t="n">
        <f aca="false">IF(H360="","",G360-H360)</f>
        <v>-23</v>
      </c>
      <c r="J360" s="52" t="n">
        <f aca="false">IF(OR(D360="",D360+G360=0),"",D360/(D360+G360))</f>
        <v>0.401508011310085</v>
      </c>
      <c r="K360" s="52" t="n">
        <f aca="false">IF(E360="","",E360/(E360+H360))</f>
        <v>0.387337057728119</v>
      </c>
      <c r="L360" s="64" t="n">
        <f aca="false">IF(OR(K360="",J360=""),"",(J360-K360)*100)</f>
        <v>1.41709535819657</v>
      </c>
      <c r="M360" s="21"/>
    </row>
    <row r="361" customFormat="false" ht="15" hidden="false" customHeight="false" outlineLevel="0" collapsed="false">
      <c r="A361" s="21" t="s">
        <v>377</v>
      </c>
      <c r="B361" s="21" t="s">
        <v>352</v>
      </c>
      <c r="C361" s="21" t="s">
        <v>549</v>
      </c>
      <c r="D361" s="37" t="n">
        <v>548</v>
      </c>
      <c r="E361" s="37" t="n">
        <v>541</v>
      </c>
      <c r="F361" s="63" t="n">
        <f aca="false">IF(E361="","",D361-E361)</f>
        <v>7</v>
      </c>
      <c r="G361" s="37" t="n">
        <v>1078</v>
      </c>
      <c r="H361" s="37" t="n">
        <v>1106</v>
      </c>
      <c r="I361" s="63" t="n">
        <f aca="false">IF(H361="","",G361-H361)</f>
        <v>-28</v>
      </c>
      <c r="J361" s="52" t="n">
        <f aca="false">IF(OR(D361="",D361+G361=0),"",D361/(D361+G361))</f>
        <v>0.337023370233702</v>
      </c>
      <c r="K361" s="52" t="n">
        <f aca="false">IF(E361="","",E361/(E361+H361))</f>
        <v>0.328476017000607</v>
      </c>
      <c r="L361" s="64" t="n">
        <f aca="false">IF(OR(K361="",J361=""),"",(J361-K361)*100)</f>
        <v>0.854735323309513</v>
      </c>
      <c r="M361" s="21"/>
    </row>
    <row r="362" customFormat="false" ht="15" hidden="false" customHeight="false" outlineLevel="0" collapsed="false">
      <c r="A362" s="21" t="s">
        <v>377</v>
      </c>
      <c r="B362" s="21" t="s">
        <v>352</v>
      </c>
      <c r="C362" s="21" t="s">
        <v>550</v>
      </c>
      <c r="D362" s="37" t="n">
        <v>983</v>
      </c>
      <c r="E362" s="37" t="n">
        <v>500</v>
      </c>
      <c r="F362" s="63" t="n">
        <f aca="false">IF(E362="","",D362-E362)</f>
        <v>483</v>
      </c>
      <c r="G362" s="37" t="n">
        <v>1940</v>
      </c>
      <c r="H362" s="37" t="n">
        <v>982</v>
      </c>
      <c r="I362" s="63" t="n">
        <f aca="false">IF(H362="","",G362-H362)</f>
        <v>958</v>
      </c>
      <c r="J362" s="52" t="n">
        <f aca="false">IF(OR(D362="",D362+G362=0),"",D362/(D362+G362))</f>
        <v>0.336298323640096</v>
      </c>
      <c r="K362" s="52" t="n">
        <f aca="false">IF(E362="","",E362/(E362+H362))</f>
        <v>0.337381916329285</v>
      </c>
      <c r="L362" s="64" t="n">
        <f aca="false">IF(OR(K362="",J362=""),"",(J362-K362)*100)</f>
        <v>-0.108359268918901</v>
      </c>
      <c r="M362" s="21"/>
    </row>
    <row r="363" customFormat="false" ht="15" hidden="false" customHeight="false" outlineLevel="0" collapsed="false">
      <c r="A363" s="21" t="s">
        <v>377</v>
      </c>
      <c r="B363" s="21" t="s">
        <v>552</v>
      </c>
      <c r="C363" s="21" t="s">
        <v>552</v>
      </c>
      <c r="D363" s="37" t="n">
        <v>289</v>
      </c>
      <c r="E363" s="37" t="n">
        <v>281</v>
      </c>
      <c r="F363" s="63" t="n">
        <f aca="false">IF(E363="","",D363-E363)</f>
        <v>8</v>
      </c>
      <c r="G363" s="37" t="n">
        <v>318</v>
      </c>
      <c r="H363" s="37" t="n">
        <v>310</v>
      </c>
      <c r="I363" s="63" t="n">
        <f aca="false">IF(H363="","",G363-H363)</f>
        <v>8</v>
      </c>
      <c r="J363" s="52" t="n">
        <f aca="false">IF(OR(D363="",D363+G363=0),"",D363/(D363+G363))</f>
        <v>0.476112026359143</v>
      </c>
      <c r="K363" s="52" t="n">
        <f aca="false">IF(E363="","",E363/(E363+H363))</f>
        <v>0.475465313028765</v>
      </c>
      <c r="L363" s="64" t="n">
        <f aca="false">IF(OR(K363="",J363=""),"",(J363-K363)*100)</f>
        <v>0.0646713330378523</v>
      </c>
      <c r="M363" s="21"/>
    </row>
    <row r="364" customFormat="false" ht="15" hidden="false" customHeight="false" outlineLevel="0" collapsed="false">
      <c r="A364" s="21" t="s">
        <v>377</v>
      </c>
      <c r="B364" s="21" t="s">
        <v>553</v>
      </c>
      <c r="C364" s="21" t="s">
        <v>554</v>
      </c>
      <c r="D364" s="37" t="n">
        <v>492</v>
      </c>
      <c r="E364" s="37" t="n">
        <v>514</v>
      </c>
      <c r="F364" s="63" t="n">
        <f aca="false">IF(E364="","",D364-E364)</f>
        <v>-22</v>
      </c>
      <c r="G364" s="37" t="n">
        <v>706</v>
      </c>
      <c r="H364" s="37" t="n">
        <v>713</v>
      </c>
      <c r="I364" s="63" t="n">
        <f aca="false">IF(H364="","",G364-H364)</f>
        <v>-7</v>
      </c>
      <c r="J364" s="52" t="n">
        <f aca="false">IF(OR(D364="",D364+G364=0),"",D364/(D364+G364))</f>
        <v>0.410684474123539</v>
      </c>
      <c r="K364" s="52" t="n">
        <f aca="false">IF(E364="","",E364/(E364+H364))</f>
        <v>0.418907905460473</v>
      </c>
      <c r="L364" s="64" t="n">
        <f aca="false">IF(OR(K364="",J364=""),"",(J364-K364)*100)</f>
        <v>-0.822343133693343</v>
      </c>
      <c r="M364" s="21"/>
    </row>
    <row r="365" customFormat="false" ht="15" hidden="false" customHeight="false" outlineLevel="0" collapsed="false">
      <c r="A365" s="21" t="s">
        <v>377</v>
      </c>
      <c r="B365" s="21" t="s">
        <v>553</v>
      </c>
      <c r="C365" s="21" t="s">
        <v>555</v>
      </c>
      <c r="D365" s="37" t="n">
        <v>402</v>
      </c>
      <c r="E365" s="37" t="n">
        <v>425</v>
      </c>
      <c r="F365" s="63" t="n">
        <f aca="false">IF(E365="","",D365-E365)</f>
        <v>-23</v>
      </c>
      <c r="G365" s="37" t="n">
        <v>683</v>
      </c>
      <c r="H365" s="37" t="n">
        <v>656</v>
      </c>
      <c r="I365" s="63" t="n">
        <f aca="false">IF(H365="","",G365-H365)</f>
        <v>27</v>
      </c>
      <c r="J365" s="52" t="n">
        <f aca="false">IF(OR(D365="",D365+G365=0),"",D365/(D365+G365))</f>
        <v>0.370506912442396</v>
      </c>
      <c r="K365" s="52" t="n">
        <f aca="false">IF(E365="","",E365/(E365+H365))</f>
        <v>0.393154486586494</v>
      </c>
      <c r="L365" s="64" t="n">
        <f aca="false">IF(OR(K365="",J365=""),"",(J365-K365)*100)</f>
        <v>-2.26475741440977</v>
      </c>
      <c r="M365" s="21"/>
    </row>
    <row r="366" customFormat="false" ht="15" hidden="false" customHeight="false" outlineLevel="0" collapsed="false">
      <c r="A366" s="21" t="s">
        <v>377</v>
      </c>
      <c r="B366" s="21" t="s">
        <v>553</v>
      </c>
      <c r="C366" s="21" t="s">
        <v>556</v>
      </c>
      <c r="D366" s="37" t="n">
        <v>585</v>
      </c>
      <c r="E366" s="37" t="n">
        <v>624</v>
      </c>
      <c r="F366" s="63" t="n">
        <f aca="false">IF(E366="","",D366-E366)</f>
        <v>-39</v>
      </c>
      <c r="G366" s="37" t="n">
        <v>635</v>
      </c>
      <c r="H366" s="37" t="n">
        <v>618</v>
      </c>
      <c r="I366" s="63" t="n">
        <f aca="false">IF(H366="","",G366-H366)</f>
        <v>17</v>
      </c>
      <c r="J366" s="52" t="n">
        <f aca="false">IF(OR(D366="",D366+G366=0),"",D366/(D366+G366))</f>
        <v>0.479508196721311</v>
      </c>
      <c r="K366" s="52" t="n">
        <f aca="false">IF(E366="","",E366/(E366+H366))</f>
        <v>0.502415458937198</v>
      </c>
      <c r="L366" s="64" t="n">
        <f aca="false">IF(OR(K366="",J366=""),"",(J366-K366)*100)</f>
        <v>-2.29072622158866</v>
      </c>
      <c r="M366" s="21"/>
    </row>
    <row r="367" customFormat="false" ht="15" hidden="false" customHeight="false" outlineLevel="0" collapsed="false">
      <c r="A367" s="21" t="s">
        <v>377</v>
      </c>
      <c r="B367" s="21" t="s">
        <v>553</v>
      </c>
      <c r="C367" s="21" t="s">
        <v>557</v>
      </c>
      <c r="D367" s="37" t="n">
        <v>293</v>
      </c>
      <c r="E367" s="37" t="n">
        <v>284</v>
      </c>
      <c r="F367" s="63" t="n">
        <f aca="false">IF(E367="","",D367-E367)</f>
        <v>9</v>
      </c>
      <c r="G367" s="37" t="n">
        <v>402</v>
      </c>
      <c r="H367" s="37" t="n">
        <v>414</v>
      </c>
      <c r="I367" s="63" t="n">
        <f aca="false">IF(H367="","",G367-H367)</f>
        <v>-12</v>
      </c>
      <c r="J367" s="52" t="n">
        <f aca="false">IF(OR(D367="",D367+G367=0),"",D367/(D367+G367))</f>
        <v>0.42158273381295</v>
      </c>
      <c r="K367" s="52" t="n">
        <f aca="false">IF(E367="","",E367/(E367+H367))</f>
        <v>0.406876790830946</v>
      </c>
      <c r="L367" s="64" t="n">
        <f aca="false">IF(OR(K367="",J367=""),"",(J367-K367)*100)</f>
        <v>1.47059429820041</v>
      </c>
      <c r="M367" s="21"/>
    </row>
    <row r="368" customFormat="false" ht="15" hidden="false" customHeight="false" outlineLevel="0" collapsed="false">
      <c r="A368" s="21" t="s">
        <v>377</v>
      </c>
      <c r="B368" s="21" t="s">
        <v>558</v>
      </c>
      <c r="C368" s="21" t="s">
        <v>559</v>
      </c>
      <c r="D368" s="37" t="n">
        <v>630</v>
      </c>
      <c r="E368" s="37" t="n">
        <v>648</v>
      </c>
      <c r="F368" s="63" t="n">
        <f aca="false">IF(E368="","",D368-E368)</f>
        <v>-18</v>
      </c>
      <c r="G368" s="37" t="n">
        <v>452</v>
      </c>
      <c r="H368" s="37" t="n">
        <v>462</v>
      </c>
      <c r="I368" s="63" t="n">
        <f aca="false">IF(H368="","",G368-H368)</f>
        <v>-10</v>
      </c>
      <c r="J368" s="52" t="n">
        <f aca="false">IF(OR(D368="",D368+G368=0),"",D368/(D368+G368))</f>
        <v>0.582255083179298</v>
      </c>
      <c r="K368" s="52" t="n">
        <f aca="false">IF(E368="","",E368/(E368+H368))</f>
        <v>0.583783783783784</v>
      </c>
      <c r="L368" s="64" t="n">
        <f aca="false">IF(OR(K368="",J368=""),"",(J368-K368)*100)</f>
        <v>-0.152870060448618</v>
      </c>
      <c r="M368" s="21"/>
    </row>
    <row r="369" customFormat="false" ht="15" hidden="false" customHeight="false" outlineLevel="0" collapsed="false">
      <c r="A369" s="21" t="s">
        <v>377</v>
      </c>
      <c r="B369" s="21" t="s">
        <v>558</v>
      </c>
      <c r="C369" s="21" t="s">
        <v>560</v>
      </c>
      <c r="D369" s="37" t="n">
        <v>496</v>
      </c>
      <c r="E369" s="37" t="n">
        <v>491</v>
      </c>
      <c r="F369" s="63" t="n">
        <f aca="false">IF(E369="","",D369-E369)</f>
        <v>5</v>
      </c>
      <c r="G369" s="37" t="n">
        <v>387</v>
      </c>
      <c r="H369" s="37" t="n">
        <v>402</v>
      </c>
      <c r="I369" s="63" t="n">
        <f aca="false">IF(H369="","",G369-H369)</f>
        <v>-15</v>
      </c>
      <c r="J369" s="52" t="n">
        <f aca="false">IF(OR(D369="",D369+G369=0),"",D369/(D369+G369))</f>
        <v>0.561721404303511</v>
      </c>
      <c r="K369" s="52" t="n">
        <f aca="false">IF(E369="","",E369/(E369+H369))</f>
        <v>0.5498320268757</v>
      </c>
      <c r="L369" s="64" t="n">
        <f aca="false">IF(OR(K369="",J369=""),"",(J369-K369)*100)</f>
        <v>1.18893774278109</v>
      </c>
      <c r="M369" s="21"/>
    </row>
    <row r="370" customFormat="false" ht="15" hidden="false" customHeight="false" outlineLevel="0" collapsed="false">
      <c r="A370" s="21" t="s">
        <v>377</v>
      </c>
      <c r="B370" s="21" t="s">
        <v>558</v>
      </c>
      <c r="C370" s="21" t="s">
        <v>561</v>
      </c>
      <c r="D370" s="37" t="n">
        <v>789</v>
      </c>
      <c r="E370" s="37" t="n">
        <v>758</v>
      </c>
      <c r="F370" s="63" t="n">
        <f aca="false">IF(E370="","",D370-E370)</f>
        <v>31</v>
      </c>
      <c r="G370" s="37" t="n">
        <v>651</v>
      </c>
      <c r="H370" s="37" t="n">
        <v>674</v>
      </c>
      <c r="I370" s="63" t="n">
        <f aca="false">IF(H370="","",G370-H370)</f>
        <v>-23</v>
      </c>
      <c r="J370" s="52" t="n">
        <f aca="false">IF(OR(D370="",D370+G370=0),"",D370/(D370+G370))</f>
        <v>0.547916666666667</v>
      </c>
      <c r="K370" s="52" t="n">
        <f aca="false">IF(E370="","",E370/(E370+H370))</f>
        <v>0.529329608938548</v>
      </c>
      <c r="L370" s="64" t="n">
        <f aca="false">IF(OR(K370="",J370=""),"",(J370-K370)*100)</f>
        <v>1.85870577281192</v>
      </c>
      <c r="M370" s="21"/>
    </row>
    <row r="371" customFormat="false" ht="15" hidden="false" customHeight="false" outlineLevel="0" collapsed="false">
      <c r="A371" s="21" t="s">
        <v>377</v>
      </c>
      <c r="B371" s="21" t="s">
        <v>562</v>
      </c>
      <c r="C371" s="21" t="s">
        <v>562</v>
      </c>
      <c r="D371" s="37" t="n">
        <v>660</v>
      </c>
      <c r="E371" s="37" t="n">
        <v>634</v>
      </c>
      <c r="F371" s="63" t="n">
        <f aca="false">IF(E371="","",D371-E371)</f>
        <v>26</v>
      </c>
      <c r="G371" s="37" t="n">
        <v>866</v>
      </c>
      <c r="H371" s="37" t="n">
        <v>856</v>
      </c>
      <c r="I371" s="63" t="n">
        <f aca="false">IF(H371="","",G371-H371)</f>
        <v>10</v>
      </c>
      <c r="J371" s="52" t="n">
        <f aca="false">IF(OR(D371="",D371+G371=0),"",D371/(D371+G371))</f>
        <v>0.432503276539974</v>
      </c>
      <c r="K371" s="52" t="n">
        <f aca="false">IF(E371="","",E371/(E371+H371))</f>
        <v>0.425503355704698</v>
      </c>
      <c r="L371" s="64" t="n">
        <f aca="false">IF(OR(K371="",J371=""),"",(J371-K371)*100)</f>
        <v>0.699992083527579</v>
      </c>
      <c r="M371" s="21"/>
    </row>
    <row r="373" customFormat="false" ht="15" hidden="false" customHeight="false" outlineLevel="0" collapsed="false">
      <c r="A373" s="28" t="s">
        <v>686</v>
      </c>
      <c r="B373" s="65"/>
      <c r="C373" s="65"/>
      <c r="D373" s="66" t="n">
        <f aca="false">SUMIF(E2:E371,"&lt;&gt;",D2:D371)</f>
        <v>183449</v>
      </c>
      <c r="E373" s="66" t="n">
        <f aca="false">SUM(E2:E371)</f>
        <v>183378</v>
      </c>
      <c r="F373" s="67" t="n">
        <f aca="false">D373-E373</f>
        <v>71</v>
      </c>
      <c r="G373" s="66" t="n">
        <f aca="false">SUMIF(H2:H371,"&lt;&gt;",G2:G371)</f>
        <v>190297</v>
      </c>
      <c r="H373" s="66" t="n">
        <f aca="false">SUM(H2:H371)</f>
        <v>189309</v>
      </c>
      <c r="I373" s="67" t="n">
        <f aca="false">G373-H373</f>
        <v>988</v>
      </c>
      <c r="J373" s="68" t="n">
        <f aca="false">D373/(D373+G373)</f>
        <v>0.490838697939242</v>
      </c>
      <c r="K373" s="68" t="n">
        <f aca="false">E373/(E373+H373)</f>
        <v>0.492042920735094</v>
      </c>
      <c r="L373" s="69" t="n">
        <f aca="false">(J373-K373)*100</f>
        <v>-0.120422279585186</v>
      </c>
    </row>
    <row r="374" customFormat="false" ht="15" hidden="false" customHeight="false" outlineLevel="0" collapsed="false">
      <c r="A374" s="28" t="s">
        <v>687</v>
      </c>
      <c r="B374" s="65"/>
      <c r="C374" s="65"/>
      <c r="D374" s="66" t="n">
        <f aca="false">SUM(D2:D371)</f>
        <v>199946</v>
      </c>
      <c r="E374" s="66"/>
      <c r="F374" s="67"/>
      <c r="G374" s="66" t="n">
        <f aca="false">SUM(G2:G371)</f>
        <v>206678</v>
      </c>
      <c r="H374" s="66"/>
      <c r="I374" s="67"/>
      <c r="J374" s="68" t="n">
        <f aca="false">D374/(D374+G374)</f>
        <v>0.491722082316833</v>
      </c>
      <c r="K374" s="68"/>
      <c r="L374" s="69"/>
    </row>
    <row r="376" customFormat="false" ht="15" hidden="false" customHeight="false" outlineLevel="0" collapsed="false">
      <c r="A376" s="2" t="s">
        <v>688</v>
      </c>
      <c r="F376" s="70" t="n">
        <f aca="false">(SUMIF(F2:F371,"&gt;0")-SUMIF(F2:F371,"&lt;0"))/COUNT(F2:F371)</f>
        <v>28.5526315789474</v>
      </c>
    </row>
    <row r="377" customFormat="false" ht="15" hidden="false" customHeight="false" outlineLevel="0" collapsed="false">
      <c r="A377" s="2" t="s">
        <v>689</v>
      </c>
      <c r="F377" s="70" t="n">
        <f aca="false">(SUMIF(I2:I371,"&gt;0")-SUMIF(I2:I371,"&lt;0"))/COUNT(I2:I371)</f>
        <v>27.5555555555556</v>
      </c>
    </row>
    <row r="378" customFormat="false" ht="15" hidden="false" customHeight="false" outlineLevel="0" collapsed="false">
      <c r="A378" s="2" t="s">
        <v>690</v>
      </c>
      <c r="F378" s="71" t="n">
        <f aca="false">(SUMIF(L2:L371,"&gt;0")-SUMIF(L2:L371,"&lt;0"))/COUNT(L2:L371)</f>
        <v>1.72455498771725</v>
      </c>
    </row>
    <row r="379" customFormat="false" ht="15" hidden="false" customHeight="false" outlineLevel="0" collapsed="false">
      <c r="A379" s="5" t="s">
        <v>691</v>
      </c>
      <c r="F379" s="72" t="n">
        <f aca="false">SQRT(SUMSQ(L2:L371)/COUNT(L2:L371))</f>
        <v>2.25224185896985</v>
      </c>
    </row>
    <row r="380" customFormat="false" ht="15" hidden="false" customHeight="false" outlineLevel="0" collapsed="false">
      <c r="A380" s="5" t="s">
        <v>692</v>
      </c>
      <c r="F380" s="73" t="n">
        <f aca="false">L373</f>
        <v>-0.120422279585186</v>
      </c>
    </row>
    <row r="381" customFormat="false" ht="15" hidden="false" customHeight="false" outlineLevel="0" collapsed="false">
      <c r="A381" s="5" t="s">
        <v>693</v>
      </c>
      <c r="F381" s="72" t="n">
        <f aca="false">SQRT((SUMSQ(L2:L371)-2*L373*SUM(L2:L371)+COUNT(L2:L371)*L373^2)/COUNT(L2:L371))</f>
        <v>2.26968503130403</v>
      </c>
    </row>
    <row r="382" customFormat="false" ht="15" hidden="false" customHeight="false" outlineLevel="0" collapsed="false">
      <c r="A382" s="2" t="s">
        <v>694</v>
      </c>
      <c r="F382" s="74" t="n">
        <f aca="false">(D373+G373)/(E373+H373)-1</f>
        <v>0.00284152653567205</v>
      </c>
    </row>
    <row r="383" customFormat="false" ht="15" hidden="false" customHeight="false" outlineLevel="0" collapsed="false">
      <c r="A383" s="2" t="s">
        <v>695</v>
      </c>
      <c r="F383" s="75" t="n">
        <f aca="false">COUNTIFS(L2:L371,"&gt;=-3",L2:L371,"&lt;=3")/COUNT(L2:L371)</f>
        <v>0.827485380116959</v>
      </c>
    </row>
    <row r="384" customFormat="false" ht="15" hidden="false" customHeight="false" outlineLevel="0" collapsed="false">
      <c r="A384" s="2" t="s">
        <v>696</v>
      </c>
      <c r="F384" s="76" t="n">
        <f aca="false">COUNT(E2:E371)</f>
        <v>342</v>
      </c>
    </row>
    <row r="385" customFormat="false" ht="15" hidden="false" customHeight="false" outlineLevel="0" collapsed="false">
      <c r="A385" s="2" t="s">
        <v>697</v>
      </c>
      <c r="F385" s="76" t="n">
        <f aca="false">COUNTA(A2:A371)</f>
        <v>370</v>
      </c>
    </row>
    <row r="387" customFormat="false" ht="15" hidden="false" customHeight="false" outlineLevel="0" collapsed="false">
      <c r="M387" s="5" t="s">
        <v>103</v>
      </c>
    </row>
    <row r="388" customFormat="false" ht="28.35" hidden="false" customHeight="false" outlineLevel="0" collapsed="false">
      <c r="M388" s="62" t="s">
        <v>698</v>
      </c>
    </row>
    <row r="389" customFormat="false" ht="28.35" hidden="false" customHeight="false" outlineLevel="0" collapsed="false">
      <c r="M389" s="62" t="s">
        <v>699</v>
      </c>
    </row>
    <row r="390" customFormat="false" ht="15" hidden="false" customHeight="false" outlineLevel="0" collapsed="false">
      <c r="M390" s="62" t="s">
        <v>706</v>
      </c>
    </row>
    <row r="391" customFormat="false" ht="55.2" hidden="false" customHeight="false" outlineLevel="0" collapsed="false">
      <c r="M391" s="62" t="s">
        <v>701</v>
      </c>
    </row>
    <row r="392" customFormat="false" ht="68.65" hidden="false" customHeight="false" outlineLevel="0" collapsed="false">
      <c r="M392" s="62" t="s">
        <v>702</v>
      </c>
    </row>
    <row r="393" customFormat="false" ht="41.75" hidden="false" customHeight="false" outlineLevel="0" collapsed="false">
      <c r="M393" s="62" t="s">
        <v>703</v>
      </c>
    </row>
    <row r="394" customFormat="false" ht="28.35" hidden="false" customHeight="false" outlineLevel="0" collapsed="false">
      <c r="M394" s="62" t="s">
        <v>704</v>
      </c>
    </row>
    <row r="395" customFormat="false" ht="28.35" hidden="false" customHeight="false" outlineLevel="0" collapsed="false">
      <c r="M395" s="62" t="s">
        <v>705</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8" t="s">
        <v>75</v>
      </c>
      <c r="B1" s="8" t="s">
        <v>76</v>
      </c>
      <c r="C1" s="8" t="s">
        <v>77</v>
      </c>
      <c r="D1" s="8" t="s">
        <v>675</v>
      </c>
      <c r="E1" s="8" t="s">
        <v>676</v>
      </c>
      <c r="F1" s="8" t="s">
        <v>677</v>
      </c>
      <c r="G1" s="8" t="s">
        <v>678</v>
      </c>
      <c r="H1" s="8" t="s">
        <v>679</v>
      </c>
      <c r="I1" s="8" t="s">
        <v>680</v>
      </c>
      <c r="J1" s="8" t="s">
        <v>681</v>
      </c>
      <c r="K1" s="8" t="s">
        <v>682</v>
      </c>
      <c r="L1" s="8" t="s">
        <v>683</v>
      </c>
      <c r="M1" s="8" t="s">
        <v>684</v>
      </c>
    </row>
    <row r="2" customFormat="false" ht="15" hidden="false" customHeight="false" outlineLevel="0" collapsed="false">
      <c r="A2" s="21" t="s">
        <v>120</v>
      </c>
      <c r="B2" s="21" t="s">
        <v>121</v>
      </c>
      <c r="C2" s="21" t="s">
        <v>121</v>
      </c>
      <c r="D2" s="37" t="n">
        <v>159</v>
      </c>
      <c r="E2" s="37" t="n">
        <v>181</v>
      </c>
      <c r="F2" s="63" t="n">
        <f aca="false">IF(E2="","",D2-E2)</f>
        <v>-22</v>
      </c>
      <c r="G2" s="37" t="n">
        <v>279</v>
      </c>
      <c r="H2" s="37" t="n">
        <v>284</v>
      </c>
      <c r="I2" s="63" t="n">
        <f aca="false">IF(H2="","",G2-H2)</f>
        <v>-5</v>
      </c>
      <c r="J2" s="52" t="n">
        <f aca="false">IF(OR(D2="",D2+G2=0),"",D2/(D2+G2))</f>
        <v>0.363013698630137</v>
      </c>
      <c r="K2" s="52" t="n">
        <f aca="false">IF(E2="","",E2/(E2+H2))</f>
        <v>0.389247311827957</v>
      </c>
      <c r="L2" s="64" t="n">
        <f aca="false">IF(OR(K2="",J2=""),"",(J2-K2)*100)</f>
        <v>-2.623361319782</v>
      </c>
      <c r="M2" s="21"/>
    </row>
    <row r="3" customFormat="false" ht="15" hidden="false" customHeight="false" outlineLevel="0" collapsed="false">
      <c r="A3" s="21" t="s">
        <v>120</v>
      </c>
      <c r="B3" s="21" t="s">
        <v>124</v>
      </c>
      <c r="C3" s="21" t="s">
        <v>124</v>
      </c>
      <c r="D3" s="37" t="n">
        <v>102</v>
      </c>
      <c r="E3" s="37" t="n">
        <v>118</v>
      </c>
      <c r="F3" s="63" t="n">
        <f aca="false">IF(E3="","",D3-E3)</f>
        <v>-16</v>
      </c>
      <c r="G3" s="37" t="n">
        <v>302</v>
      </c>
      <c r="H3" s="37" t="n">
        <v>298</v>
      </c>
      <c r="I3" s="63" t="n">
        <f aca="false">IF(H3="","",G3-H3)</f>
        <v>4</v>
      </c>
      <c r="J3" s="52" t="n">
        <f aca="false">IF(OR(D3="",D3+G3=0),"",D3/(D3+G3))</f>
        <v>0.252475247524753</v>
      </c>
      <c r="K3" s="52" t="n">
        <f aca="false">IF(E3="","",E3/(E3+H3))</f>
        <v>0.283653846153846</v>
      </c>
      <c r="L3" s="64" t="n">
        <f aca="false">IF(OR(K3="",J3=""),"",(J3-K3)*100)</f>
        <v>-3.11785986290937</v>
      </c>
      <c r="M3" s="21"/>
    </row>
    <row r="4" customFormat="false" ht="15" hidden="false" customHeight="false" outlineLevel="0" collapsed="false">
      <c r="A4" s="21" t="s">
        <v>120</v>
      </c>
      <c r="B4" s="21" t="s">
        <v>125</v>
      </c>
      <c r="C4" s="21" t="s">
        <v>125</v>
      </c>
      <c r="D4" s="37" t="n">
        <v>132</v>
      </c>
      <c r="E4" s="37" t="n">
        <v>143</v>
      </c>
      <c r="F4" s="63" t="n">
        <f aca="false">IF(E4="","",D4-E4)</f>
        <v>-11</v>
      </c>
      <c r="G4" s="37" t="n">
        <v>271</v>
      </c>
      <c r="H4" s="37" t="n">
        <v>309</v>
      </c>
      <c r="I4" s="63" t="n">
        <f aca="false">IF(H4="","",G4-H4)</f>
        <v>-38</v>
      </c>
      <c r="J4" s="52" t="n">
        <f aca="false">IF(OR(D4="",D4+G4=0),"",D4/(D4+G4))</f>
        <v>0.327543424317618</v>
      </c>
      <c r="K4" s="52" t="n">
        <f aca="false">IF(E4="","",E4/(E4+H4))</f>
        <v>0.316371681415929</v>
      </c>
      <c r="L4" s="64" t="n">
        <f aca="false">IF(OR(K4="",J4=""),"",(J4-K4)*100)</f>
        <v>1.11717429016887</v>
      </c>
      <c r="M4" s="21"/>
    </row>
    <row r="5" customFormat="false" ht="15" hidden="false" customHeight="false" outlineLevel="0" collapsed="false">
      <c r="A5" s="21" t="s">
        <v>120</v>
      </c>
      <c r="B5" s="21" t="s">
        <v>126</v>
      </c>
      <c r="C5" s="21" t="s">
        <v>127</v>
      </c>
      <c r="D5" s="37" t="n">
        <v>205</v>
      </c>
      <c r="E5" s="37" t="n">
        <v>202</v>
      </c>
      <c r="F5" s="63" t="n">
        <f aca="false">IF(E5="","",D5-E5)</f>
        <v>3</v>
      </c>
      <c r="G5" s="37" t="n">
        <v>587</v>
      </c>
      <c r="H5" s="37" t="n">
        <v>640</v>
      </c>
      <c r="I5" s="63" t="n">
        <f aca="false">IF(H5="","",G5-H5)</f>
        <v>-53</v>
      </c>
      <c r="J5" s="52" t="n">
        <f aca="false">IF(OR(D5="",D5+G5=0),"",D5/(D5+G5))</f>
        <v>0.258838383838384</v>
      </c>
      <c r="K5" s="52" t="n">
        <f aca="false">IF(E5="","",E5/(E5+H5))</f>
        <v>0.239904988123515</v>
      </c>
      <c r="L5" s="64" t="n">
        <f aca="false">IF(OR(K5="",J5=""),"",(J5-K5)*100)</f>
        <v>1.89333957148684</v>
      </c>
      <c r="M5" s="21"/>
    </row>
    <row r="6" customFormat="false" ht="15" hidden="false" customHeight="false" outlineLevel="0" collapsed="false">
      <c r="A6" s="21" t="s">
        <v>120</v>
      </c>
      <c r="B6" s="21" t="s">
        <v>126</v>
      </c>
      <c r="C6" s="21" t="s">
        <v>128</v>
      </c>
      <c r="D6" s="37" t="n">
        <v>213</v>
      </c>
      <c r="E6" s="37" t="n">
        <v>232</v>
      </c>
      <c r="F6" s="63" t="n">
        <f aca="false">IF(E6="","",D6-E6)</f>
        <v>-19</v>
      </c>
      <c r="G6" s="37" t="n">
        <v>570</v>
      </c>
      <c r="H6" s="37" t="n">
        <v>603</v>
      </c>
      <c r="I6" s="63" t="n">
        <f aca="false">IF(H6="","",G6-H6)</f>
        <v>-33</v>
      </c>
      <c r="J6" s="52" t="n">
        <f aca="false">IF(OR(D6="",D6+G6=0),"",D6/(D6+G6))</f>
        <v>0.272030651340996</v>
      </c>
      <c r="K6" s="52" t="n">
        <f aca="false">IF(E6="","",E6/(E6+H6))</f>
        <v>0.277844311377246</v>
      </c>
      <c r="L6" s="64" t="n">
        <f aca="false">IF(OR(K6="",J6=""),"",(J6-K6)*100)</f>
        <v>-0.581366003624934</v>
      </c>
      <c r="M6" s="21"/>
    </row>
    <row r="7" customFormat="false" ht="15" hidden="false" customHeight="false" outlineLevel="0" collapsed="false">
      <c r="A7" s="21" t="s">
        <v>120</v>
      </c>
      <c r="B7" s="21" t="s">
        <v>129</v>
      </c>
      <c r="C7" s="21" t="s">
        <v>129</v>
      </c>
      <c r="D7" s="37" t="n">
        <v>39</v>
      </c>
      <c r="E7" s="37" t="n">
        <v>38</v>
      </c>
      <c r="F7" s="63" t="n">
        <f aca="false">IF(E7="","",D7-E7)</f>
        <v>1</v>
      </c>
      <c r="G7" s="37" t="n">
        <v>73</v>
      </c>
      <c r="H7" s="37" t="n">
        <v>78</v>
      </c>
      <c r="I7" s="63" t="n">
        <f aca="false">IF(H7="","",G7-H7)</f>
        <v>-5</v>
      </c>
      <c r="J7" s="52" t="n">
        <f aca="false">IF(OR(D7="",D7+G7=0),"",D7/(D7+G7))</f>
        <v>0.348214285714286</v>
      </c>
      <c r="K7" s="52" t="n">
        <f aca="false">IF(E7="","",E7/(E7+H7))</f>
        <v>0.327586206896552</v>
      </c>
      <c r="L7" s="64" t="n">
        <f aca="false">IF(OR(K7="",J7=""),"",(J7-K7)*100)</f>
        <v>2.0628078817734</v>
      </c>
      <c r="M7" s="21"/>
    </row>
    <row r="8" customFormat="false" ht="15" hidden="false" customHeight="false" outlineLevel="0" collapsed="false">
      <c r="A8" s="21" t="s">
        <v>120</v>
      </c>
      <c r="B8" s="21" t="s">
        <v>130</v>
      </c>
      <c r="C8" s="21" t="s">
        <v>131</v>
      </c>
      <c r="D8" s="37" t="n">
        <v>278</v>
      </c>
      <c r="E8" s="37" t="n">
        <v>301</v>
      </c>
      <c r="F8" s="63" t="n">
        <f aca="false">IF(E8="","",D8-E8)</f>
        <v>-23</v>
      </c>
      <c r="G8" s="37" t="n">
        <v>731</v>
      </c>
      <c r="H8" s="37" t="n">
        <v>760</v>
      </c>
      <c r="I8" s="63" t="n">
        <f aca="false">IF(H8="","",G8-H8)</f>
        <v>-29</v>
      </c>
      <c r="J8" s="52" t="n">
        <f aca="false">IF(OR(D8="",D8+G8=0),"",D8/(D8+G8))</f>
        <v>0.275520317145689</v>
      </c>
      <c r="K8" s="52" t="n">
        <f aca="false">IF(E8="","",E8/(E8+H8))</f>
        <v>0.283694627709708</v>
      </c>
      <c r="L8" s="64" t="n">
        <f aca="false">IF(OR(K8="",J8=""),"",(J8-K8)*100)</f>
        <v>-0.817431056401902</v>
      </c>
      <c r="M8" s="21"/>
    </row>
    <row r="9" customFormat="false" ht="15" hidden="false" customHeight="false" outlineLevel="0" collapsed="false">
      <c r="A9" s="21" t="s">
        <v>120</v>
      </c>
      <c r="B9" s="21" t="s">
        <v>130</v>
      </c>
      <c r="C9" s="21" t="s">
        <v>133</v>
      </c>
      <c r="D9" s="37" t="n">
        <v>159</v>
      </c>
      <c r="E9" s="37" t="n">
        <v>164</v>
      </c>
      <c r="F9" s="63" t="n">
        <f aca="false">IF(E9="","",D9-E9)</f>
        <v>-5</v>
      </c>
      <c r="G9" s="37" t="n">
        <v>429</v>
      </c>
      <c r="H9" s="37" t="n">
        <v>450</v>
      </c>
      <c r="I9" s="63" t="n">
        <f aca="false">IF(H9="","",G9-H9)</f>
        <v>-21</v>
      </c>
      <c r="J9" s="52" t="n">
        <f aca="false">IF(OR(D9="",D9+G9=0),"",D9/(D9+G9))</f>
        <v>0.270408163265306</v>
      </c>
      <c r="K9" s="52" t="n">
        <f aca="false">IF(E9="","",E9/(E9+H9))</f>
        <v>0.267100977198697</v>
      </c>
      <c r="L9" s="64" t="n">
        <f aca="false">IF(OR(K9="",J9=""),"",(J9-K9)*100)</f>
        <v>0.330718606660907</v>
      </c>
      <c r="M9" s="21"/>
    </row>
    <row r="10" customFormat="false" ht="15" hidden="false" customHeight="false" outlineLevel="0" collapsed="false">
      <c r="A10" s="21" t="s">
        <v>120</v>
      </c>
      <c r="B10" s="21" t="s">
        <v>130</v>
      </c>
      <c r="C10" s="21" t="s">
        <v>134</v>
      </c>
      <c r="D10" s="37" t="n">
        <v>214</v>
      </c>
      <c r="E10" s="37" t="n">
        <v>235</v>
      </c>
      <c r="F10" s="63" t="n">
        <f aca="false">IF(E10="","",D10-E10)</f>
        <v>-21</v>
      </c>
      <c r="G10" s="37" t="n">
        <v>624</v>
      </c>
      <c r="H10" s="37" t="n">
        <v>626</v>
      </c>
      <c r="I10" s="63" t="n">
        <f aca="false">IF(H10="","",G10-H10)</f>
        <v>-2</v>
      </c>
      <c r="J10" s="52" t="n">
        <f aca="false">IF(OR(D10="",D10+G10=0),"",D10/(D10+G10))</f>
        <v>0.255369928400955</v>
      </c>
      <c r="K10" s="52" t="n">
        <f aca="false">IF(E10="","",E10/(E10+H10))</f>
        <v>0.272938443670151</v>
      </c>
      <c r="L10" s="64" t="n">
        <f aca="false">IF(OR(K10="",J10=""),"",(J10-K10)*100)</f>
        <v>-1.75685152691963</v>
      </c>
      <c r="M10" s="21"/>
    </row>
    <row r="11" customFormat="false" ht="15" hidden="false" customHeight="false" outlineLevel="0" collapsed="false">
      <c r="A11" s="21" t="s">
        <v>120</v>
      </c>
      <c r="B11" s="21" t="s">
        <v>135</v>
      </c>
      <c r="C11" s="21" t="s">
        <v>136</v>
      </c>
      <c r="D11" s="37" t="n">
        <v>225</v>
      </c>
      <c r="E11" s="37" t="n">
        <v>229</v>
      </c>
      <c r="F11" s="63" t="n">
        <f aca="false">IF(E11="","",D11-E11)</f>
        <v>-4</v>
      </c>
      <c r="G11" s="37" t="n">
        <v>270</v>
      </c>
      <c r="H11" s="37" t="n">
        <v>297</v>
      </c>
      <c r="I11" s="63" t="n">
        <f aca="false">IF(H11="","",G11-H11)</f>
        <v>-27</v>
      </c>
      <c r="J11" s="52" t="n">
        <f aca="false">IF(OR(D11="",D11+G11=0),"",D11/(D11+G11))</f>
        <v>0.454545454545455</v>
      </c>
      <c r="K11" s="52" t="n">
        <f aca="false">IF(E11="","",E11/(E11+H11))</f>
        <v>0.435361216730038</v>
      </c>
      <c r="L11" s="64" t="n">
        <f aca="false">IF(OR(K11="",J11=""),"",(J11-K11)*100)</f>
        <v>1.91842378154165</v>
      </c>
      <c r="M11" s="21"/>
    </row>
    <row r="12" customFormat="false" ht="15" hidden="false" customHeight="false" outlineLevel="0" collapsed="false">
      <c r="A12" s="21" t="s">
        <v>120</v>
      </c>
      <c r="B12" s="21" t="s">
        <v>135</v>
      </c>
      <c r="C12" s="21" t="s">
        <v>137</v>
      </c>
      <c r="D12" s="37" t="n">
        <v>161</v>
      </c>
      <c r="E12" s="37" t="n">
        <v>163</v>
      </c>
      <c r="F12" s="63" t="n">
        <f aca="false">IF(E12="","",D12-E12)</f>
        <v>-2</v>
      </c>
      <c r="G12" s="37" t="n">
        <v>209</v>
      </c>
      <c r="H12" s="37" t="n">
        <v>226</v>
      </c>
      <c r="I12" s="63" t="n">
        <f aca="false">IF(H12="","",G12-H12)</f>
        <v>-17</v>
      </c>
      <c r="J12" s="52" t="n">
        <f aca="false">IF(OR(D12="",D12+G12=0),"",D12/(D12+G12))</f>
        <v>0.435135135135135</v>
      </c>
      <c r="K12" s="52" t="n">
        <f aca="false">IF(E12="","",E12/(E12+H12))</f>
        <v>0.419023136246787</v>
      </c>
      <c r="L12" s="64" t="n">
        <f aca="false">IF(OR(K12="",J12=""),"",(J12-K12)*100)</f>
        <v>1.61119988883485</v>
      </c>
      <c r="M12" s="21"/>
    </row>
    <row r="13" customFormat="false" ht="15" hidden="false" customHeight="false" outlineLevel="0" collapsed="false">
      <c r="A13" s="21" t="s">
        <v>120</v>
      </c>
      <c r="B13" s="21" t="s">
        <v>135</v>
      </c>
      <c r="C13" s="21" t="s">
        <v>138</v>
      </c>
      <c r="D13" s="37" t="n">
        <v>283</v>
      </c>
      <c r="E13" s="37" t="n">
        <v>286</v>
      </c>
      <c r="F13" s="63" t="n">
        <f aca="false">IF(E13="","",D13-E13)</f>
        <v>-3</v>
      </c>
      <c r="G13" s="37" t="n">
        <v>442</v>
      </c>
      <c r="H13" s="37" t="n">
        <v>464</v>
      </c>
      <c r="I13" s="63" t="n">
        <f aca="false">IF(H13="","",G13-H13)</f>
        <v>-22</v>
      </c>
      <c r="J13" s="52" t="n">
        <f aca="false">IF(OR(D13="",D13+G13=0),"",D13/(D13+G13))</f>
        <v>0.390344827586207</v>
      </c>
      <c r="K13" s="52" t="n">
        <f aca="false">IF(E13="","",E13/(E13+H13))</f>
        <v>0.381333333333333</v>
      </c>
      <c r="L13" s="64" t="n">
        <f aca="false">IF(OR(K13="",J13=""),"",(J13-K13)*100)</f>
        <v>0.901149425287356</v>
      </c>
      <c r="M13" s="21"/>
    </row>
    <row r="14" customFormat="false" ht="15" hidden="false" customHeight="false" outlineLevel="0" collapsed="false">
      <c r="A14" s="21" t="s">
        <v>120</v>
      </c>
      <c r="B14" s="21" t="s">
        <v>135</v>
      </c>
      <c r="C14" s="21" t="s">
        <v>139</v>
      </c>
      <c r="D14" s="37" t="n">
        <v>132</v>
      </c>
      <c r="E14" s="37" t="n">
        <v>138</v>
      </c>
      <c r="F14" s="63" t="n">
        <f aca="false">IF(E14="","",D14-E14)</f>
        <v>-6</v>
      </c>
      <c r="G14" s="37" t="n">
        <v>117</v>
      </c>
      <c r="H14" s="37" t="n">
        <v>134</v>
      </c>
      <c r="I14" s="63" t="n">
        <f aca="false">IF(H14="","",G14-H14)</f>
        <v>-17</v>
      </c>
      <c r="J14" s="52" t="n">
        <f aca="false">IF(OR(D14="",D14+G14=0),"",D14/(D14+G14))</f>
        <v>0.530120481927711</v>
      </c>
      <c r="K14" s="52" t="n">
        <f aca="false">IF(E14="","",E14/(E14+H14))</f>
        <v>0.507352941176471</v>
      </c>
      <c r="L14" s="64" t="n">
        <f aca="false">IF(OR(K14="",J14=""),"",(J14-K14)*100)</f>
        <v>2.27675407512403</v>
      </c>
      <c r="M14" s="21"/>
    </row>
    <row r="15" customFormat="false" ht="15" hidden="false" customHeight="false" outlineLevel="0" collapsed="false">
      <c r="A15" s="21" t="s">
        <v>120</v>
      </c>
      <c r="B15" s="21" t="s">
        <v>135</v>
      </c>
      <c r="C15" s="21" t="s">
        <v>140</v>
      </c>
      <c r="D15" s="37" t="n">
        <v>279</v>
      </c>
      <c r="E15" s="37" t="n">
        <v>275</v>
      </c>
      <c r="F15" s="63" t="n">
        <f aca="false">IF(E15="","",D15-E15)</f>
        <v>4</v>
      </c>
      <c r="G15" s="37" t="n">
        <v>313</v>
      </c>
      <c r="H15" s="37" t="n">
        <v>352</v>
      </c>
      <c r="I15" s="63" t="n">
        <f aca="false">IF(H15="","",G15-H15)</f>
        <v>-39</v>
      </c>
      <c r="J15" s="52" t="n">
        <f aca="false">IF(OR(D15="",D15+G15=0),"",D15/(D15+G15))</f>
        <v>0.471283783783784</v>
      </c>
      <c r="K15" s="52" t="n">
        <f aca="false">IF(E15="","",E15/(E15+H15))</f>
        <v>0.43859649122807</v>
      </c>
      <c r="L15" s="64" t="n">
        <f aca="false">IF(OR(K15="",J15=""),"",(J15-K15)*100)</f>
        <v>3.26872925557136</v>
      </c>
      <c r="M15" s="21"/>
    </row>
    <row r="16" customFormat="false" ht="15" hidden="false" customHeight="false" outlineLevel="0" collapsed="false">
      <c r="A16" s="21" t="s">
        <v>120</v>
      </c>
      <c r="B16" s="21" t="s">
        <v>141</v>
      </c>
      <c r="C16" s="21" t="s">
        <v>142</v>
      </c>
      <c r="D16" s="37" t="n">
        <v>109</v>
      </c>
      <c r="E16" s="37" t="n">
        <v>120</v>
      </c>
      <c r="F16" s="63" t="n">
        <f aca="false">IF(E16="","",D16-E16)</f>
        <v>-11</v>
      </c>
      <c r="G16" s="37" t="n">
        <v>217</v>
      </c>
      <c r="H16" s="37" t="n">
        <v>202</v>
      </c>
      <c r="I16" s="63" t="n">
        <f aca="false">IF(H16="","",G16-H16)</f>
        <v>15</v>
      </c>
      <c r="J16" s="52" t="n">
        <f aca="false">IF(OR(D16="",D16+G16=0),"",D16/(D16+G16))</f>
        <v>0.334355828220859</v>
      </c>
      <c r="K16" s="52" t="n">
        <f aca="false">IF(E16="","",E16/(E16+H16))</f>
        <v>0.372670807453416</v>
      </c>
      <c r="L16" s="64" t="n">
        <f aca="false">IF(OR(K16="",J16=""),"",(J16-K16)*100)</f>
        <v>-3.83149792325572</v>
      </c>
      <c r="M16" s="21"/>
    </row>
    <row r="17" customFormat="false" ht="15" hidden="false" customHeight="false" outlineLevel="0" collapsed="false">
      <c r="A17" s="21" t="s">
        <v>120</v>
      </c>
      <c r="B17" s="21" t="s">
        <v>141</v>
      </c>
      <c r="C17" s="21" t="s">
        <v>143</v>
      </c>
      <c r="D17" s="37" t="n">
        <v>213</v>
      </c>
      <c r="E17" s="37" t="n">
        <v>227</v>
      </c>
      <c r="F17" s="63" t="n">
        <f aca="false">IF(E17="","",D17-E17)</f>
        <v>-14</v>
      </c>
      <c r="G17" s="37" t="n">
        <v>503</v>
      </c>
      <c r="H17" s="37" t="n">
        <v>484</v>
      </c>
      <c r="I17" s="63" t="n">
        <f aca="false">IF(H17="","",G17-H17)</f>
        <v>19</v>
      </c>
      <c r="J17" s="52" t="n">
        <f aca="false">IF(OR(D17="",D17+G17=0),"",D17/(D17+G17))</f>
        <v>0.297486033519553</v>
      </c>
      <c r="K17" s="52" t="n">
        <f aca="false">IF(E17="","",E17/(E17+H17))</f>
        <v>0.319268635724332</v>
      </c>
      <c r="L17" s="64" t="n">
        <f aca="false">IF(OR(K17="",J17=""),"",(J17-K17)*100)</f>
        <v>-2.17826022047789</v>
      </c>
      <c r="M17" s="21"/>
    </row>
    <row r="18" customFormat="false" ht="15" hidden="false" customHeight="false" outlineLevel="0" collapsed="false">
      <c r="A18" s="21" t="s">
        <v>120</v>
      </c>
      <c r="B18" s="21" t="s">
        <v>144</v>
      </c>
      <c r="C18" s="21" t="s">
        <v>145</v>
      </c>
      <c r="D18" s="37" t="n">
        <v>259</v>
      </c>
      <c r="E18" s="37" t="n">
        <v>249</v>
      </c>
      <c r="F18" s="63" t="n">
        <f aca="false">IF(E18="","",D18-E18)</f>
        <v>10</v>
      </c>
      <c r="G18" s="37" t="n">
        <v>394</v>
      </c>
      <c r="H18" s="37" t="n">
        <v>392</v>
      </c>
      <c r="I18" s="63" t="n">
        <f aca="false">IF(H18="","",G18-H18)</f>
        <v>2</v>
      </c>
      <c r="J18" s="52" t="n">
        <f aca="false">IF(OR(D18="",D18+G18=0),"",D18/(D18+G18))</f>
        <v>0.396630934150077</v>
      </c>
      <c r="K18" s="52" t="n">
        <f aca="false">IF(E18="","",E18/(E18+H18))</f>
        <v>0.388455538221529</v>
      </c>
      <c r="L18" s="64" t="n">
        <f aca="false">IF(OR(K18="",J18=""),"",(J18-K18)*100)</f>
        <v>0.817539592854771</v>
      </c>
      <c r="M18" s="21"/>
    </row>
    <row r="19" customFormat="false" ht="15" hidden="false" customHeight="false" outlineLevel="0" collapsed="false">
      <c r="A19" s="21" t="s">
        <v>120</v>
      </c>
      <c r="B19" s="21" t="s">
        <v>144</v>
      </c>
      <c r="C19" s="21" t="s">
        <v>146</v>
      </c>
      <c r="D19" s="37" t="n">
        <v>165</v>
      </c>
      <c r="E19" s="37" t="n">
        <v>152</v>
      </c>
      <c r="F19" s="63" t="n">
        <f aca="false">IF(E19="","",D19-E19)</f>
        <v>13</v>
      </c>
      <c r="G19" s="37" t="n">
        <v>244</v>
      </c>
      <c r="H19" s="37" t="n">
        <v>246</v>
      </c>
      <c r="I19" s="63" t="n">
        <f aca="false">IF(H19="","",G19-H19)</f>
        <v>-2</v>
      </c>
      <c r="J19" s="52" t="n">
        <f aca="false">IF(OR(D19="",D19+G19=0),"",D19/(D19+G19))</f>
        <v>0.403422982885086</v>
      </c>
      <c r="K19" s="52" t="n">
        <f aca="false">IF(E19="","",E19/(E19+H19))</f>
        <v>0.381909547738693</v>
      </c>
      <c r="L19" s="64" t="n">
        <f aca="false">IF(OR(K19="",J19=""),"",(J19-K19)*100)</f>
        <v>2.15134351463921</v>
      </c>
      <c r="M19" s="21"/>
    </row>
    <row r="20" customFormat="false" ht="15" hidden="false" customHeight="false" outlineLevel="0" collapsed="false">
      <c r="A20" s="21" t="s">
        <v>120</v>
      </c>
      <c r="B20" s="21" t="s">
        <v>144</v>
      </c>
      <c r="C20" s="21" t="s">
        <v>147</v>
      </c>
      <c r="D20" s="37" t="n">
        <v>148</v>
      </c>
      <c r="E20" s="37" t="n">
        <v>165</v>
      </c>
      <c r="F20" s="63" t="n">
        <f aca="false">IF(E20="","",D20-E20)</f>
        <v>-17</v>
      </c>
      <c r="G20" s="37" t="n">
        <v>199</v>
      </c>
      <c r="H20" s="37" t="n">
        <v>237</v>
      </c>
      <c r="I20" s="63" t="n">
        <f aca="false">IF(H20="","",G20-H20)</f>
        <v>-38</v>
      </c>
      <c r="J20" s="52" t="n">
        <f aca="false">IF(OR(D20="",D20+G20=0),"",D20/(D20+G20))</f>
        <v>0.426512968299712</v>
      </c>
      <c r="K20" s="52" t="n">
        <f aca="false">IF(E20="","",E20/(E20+H20))</f>
        <v>0.41044776119403</v>
      </c>
      <c r="L20" s="64" t="n">
        <f aca="false">IF(OR(K20="",J20=""),"",(J20-K20)*100)</f>
        <v>1.60652071056819</v>
      </c>
      <c r="M20" s="21"/>
    </row>
    <row r="21" customFormat="false" ht="15" hidden="false" customHeight="false" outlineLevel="0" collapsed="false">
      <c r="A21" s="21" t="s">
        <v>120</v>
      </c>
      <c r="B21" s="21" t="s">
        <v>148</v>
      </c>
      <c r="C21" s="21" t="s">
        <v>148</v>
      </c>
      <c r="D21" s="37" t="n">
        <v>41</v>
      </c>
      <c r="E21" s="37" t="n">
        <v>38</v>
      </c>
      <c r="F21" s="63" t="n">
        <f aca="false">IF(E21="","",D21-E21)</f>
        <v>3</v>
      </c>
      <c r="G21" s="37" t="n">
        <v>98</v>
      </c>
      <c r="H21" s="37" t="n">
        <v>106</v>
      </c>
      <c r="I21" s="63" t="n">
        <f aca="false">IF(H21="","",G21-H21)</f>
        <v>-8</v>
      </c>
      <c r="J21" s="52" t="n">
        <f aca="false">IF(OR(D21="",D21+G21=0),"",D21/(D21+G21))</f>
        <v>0.294964028776978</v>
      </c>
      <c r="K21" s="52" t="n">
        <f aca="false">IF(E21="","",E21/(E21+H21))</f>
        <v>0.263888888888889</v>
      </c>
      <c r="L21" s="64" t="n">
        <f aca="false">IF(OR(K21="",J21=""),"",(J21-K21)*100)</f>
        <v>3.10751398880895</v>
      </c>
      <c r="M21" s="21"/>
    </row>
    <row r="22" customFormat="false" ht="15" hidden="false" customHeight="false" outlineLevel="0" collapsed="false">
      <c r="A22" s="21" t="s">
        <v>120</v>
      </c>
      <c r="B22" s="21" t="s">
        <v>149</v>
      </c>
      <c r="C22" s="21" t="s">
        <v>149</v>
      </c>
      <c r="D22" s="37" t="n">
        <v>53</v>
      </c>
      <c r="E22" s="37" t="n">
        <v>58</v>
      </c>
      <c r="F22" s="63" t="n">
        <f aca="false">IF(E22="","",D22-E22)</f>
        <v>-5</v>
      </c>
      <c r="G22" s="37" t="n">
        <v>211</v>
      </c>
      <c r="H22" s="37" t="n">
        <v>214</v>
      </c>
      <c r="I22" s="63" t="n">
        <f aca="false">IF(H22="","",G22-H22)</f>
        <v>-3</v>
      </c>
      <c r="J22" s="52" t="n">
        <f aca="false">IF(OR(D22="",D22+G22=0),"",D22/(D22+G22))</f>
        <v>0.200757575757576</v>
      </c>
      <c r="K22" s="52" t="n">
        <f aca="false">IF(E22="","",E22/(E22+H22))</f>
        <v>0.213235294117647</v>
      </c>
      <c r="L22" s="64" t="n">
        <f aca="false">IF(OR(K22="",J22=""),"",(J22-K22)*100)</f>
        <v>-1.24777183600713</v>
      </c>
      <c r="M22" s="21"/>
    </row>
    <row r="23" customFormat="false" ht="15" hidden="false" customHeight="false" outlineLevel="0" collapsed="false">
      <c r="A23" s="21" t="s">
        <v>120</v>
      </c>
      <c r="B23" s="21" t="s">
        <v>150</v>
      </c>
      <c r="C23" s="21" t="s">
        <v>151</v>
      </c>
      <c r="D23" s="37" t="n">
        <v>292</v>
      </c>
      <c r="E23" s="37" t="n">
        <v>321</v>
      </c>
      <c r="F23" s="63" t="n">
        <f aca="false">IF(E23="","",D23-E23)</f>
        <v>-29</v>
      </c>
      <c r="G23" s="37" t="n">
        <v>493</v>
      </c>
      <c r="H23" s="37" t="n">
        <v>498</v>
      </c>
      <c r="I23" s="63" t="n">
        <f aca="false">IF(H23="","",G23-H23)</f>
        <v>-5</v>
      </c>
      <c r="J23" s="52" t="n">
        <f aca="false">IF(OR(D23="",D23+G23=0),"",D23/(D23+G23))</f>
        <v>0.371974522292994</v>
      </c>
      <c r="K23" s="52" t="n">
        <f aca="false">IF(E23="","",E23/(E23+H23))</f>
        <v>0.391941391941392</v>
      </c>
      <c r="L23" s="64" t="n">
        <f aca="false">IF(OR(K23="",J23=""),"",(J23-K23)*100)</f>
        <v>-1.99668696483983</v>
      </c>
      <c r="M23" s="21"/>
    </row>
    <row r="24" customFormat="false" ht="15" hidden="false" customHeight="false" outlineLevel="0" collapsed="false">
      <c r="A24" s="21" t="s">
        <v>120</v>
      </c>
      <c r="B24" s="21" t="s">
        <v>150</v>
      </c>
      <c r="C24" s="21" t="s">
        <v>152</v>
      </c>
      <c r="D24" s="37" t="n">
        <v>290</v>
      </c>
      <c r="E24" s="37" t="n">
        <v>288</v>
      </c>
      <c r="F24" s="63" t="n">
        <f aca="false">IF(E24="","",D24-E24)</f>
        <v>2</v>
      </c>
      <c r="G24" s="37" t="n">
        <v>414</v>
      </c>
      <c r="H24" s="37" t="n">
        <v>448</v>
      </c>
      <c r="I24" s="63" t="n">
        <f aca="false">IF(H24="","",G24-H24)</f>
        <v>-34</v>
      </c>
      <c r="J24" s="52" t="n">
        <f aca="false">IF(OR(D24="",D24+G24=0),"",D24/(D24+G24))</f>
        <v>0.411931818181818</v>
      </c>
      <c r="K24" s="52" t="n">
        <f aca="false">IF(E24="","",E24/(E24+H24))</f>
        <v>0.391304347826087</v>
      </c>
      <c r="L24" s="64" t="n">
        <f aca="false">IF(OR(K24="",J24=""),"",(J24-K24)*100)</f>
        <v>2.06274703557312</v>
      </c>
      <c r="M24" s="21"/>
    </row>
    <row r="25" customFormat="false" ht="15" hidden="false" customHeight="false" outlineLevel="0" collapsed="false">
      <c r="A25" s="21" t="s">
        <v>120</v>
      </c>
      <c r="B25" s="21" t="s">
        <v>150</v>
      </c>
      <c r="C25" s="21" t="s">
        <v>153</v>
      </c>
      <c r="D25" s="37" t="n">
        <v>307</v>
      </c>
      <c r="E25" s="37" t="n">
        <v>317</v>
      </c>
      <c r="F25" s="63" t="n">
        <f aca="false">IF(E25="","",D25-E25)</f>
        <v>-10</v>
      </c>
      <c r="G25" s="37" t="n">
        <v>468</v>
      </c>
      <c r="H25" s="37" t="n">
        <v>527</v>
      </c>
      <c r="I25" s="63" t="n">
        <f aca="false">IF(H25="","",G25-H25)</f>
        <v>-59</v>
      </c>
      <c r="J25" s="52" t="n">
        <f aca="false">IF(OR(D25="",D25+G25=0),"",D25/(D25+G25))</f>
        <v>0.396129032258065</v>
      </c>
      <c r="K25" s="52" t="n">
        <f aca="false">IF(E25="","",E25/(E25+H25))</f>
        <v>0.375592417061611</v>
      </c>
      <c r="L25" s="64" t="n">
        <f aca="false">IF(OR(K25="",J25=""),"",(J25-K25)*100)</f>
        <v>2.05366151964531</v>
      </c>
      <c r="M25" s="21"/>
    </row>
    <row r="26" customFormat="false" ht="15" hidden="false" customHeight="false" outlineLevel="0" collapsed="false">
      <c r="A26" s="21" t="s">
        <v>120</v>
      </c>
      <c r="B26" s="21" t="s">
        <v>154</v>
      </c>
      <c r="C26" s="21" t="s">
        <v>155</v>
      </c>
      <c r="D26" s="37" t="n">
        <v>302</v>
      </c>
      <c r="E26" s="37" t="n">
        <v>285</v>
      </c>
      <c r="F26" s="63" t="n">
        <f aca="false">IF(E26="","",D26-E26)</f>
        <v>17</v>
      </c>
      <c r="G26" s="37" t="n">
        <v>703</v>
      </c>
      <c r="H26" s="37" t="n">
        <v>760</v>
      </c>
      <c r="I26" s="63" t="n">
        <f aca="false">IF(H26="","",G26-H26)</f>
        <v>-57</v>
      </c>
      <c r="J26" s="52" t="n">
        <f aca="false">IF(OR(D26="",D26+G26=0),"",D26/(D26+G26))</f>
        <v>0.300497512437811</v>
      </c>
      <c r="K26" s="52" t="n">
        <f aca="false">IF(E26="","",E26/(E26+H26))</f>
        <v>0.272727272727273</v>
      </c>
      <c r="L26" s="64" t="n">
        <f aca="false">IF(OR(K26="",J26=""),"",(J26-K26)*100)</f>
        <v>2.77702397105382</v>
      </c>
      <c r="M26" s="21"/>
    </row>
    <row r="27" customFormat="false" ht="15" hidden="false" customHeight="false" outlineLevel="0" collapsed="false">
      <c r="A27" s="21" t="s">
        <v>120</v>
      </c>
      <c r="B27" s="21" t="s">
        <v>154</v>
      </c>
      <c r="C27" s="21" t="s">
        <v>156</v>
      </c>
      <c r="D27" s="37" t="n">
        <v>205</v>
      </c>
      <c r="E27" s="37" t="n">
        <v>228</v>
      </c>
      <c r="F27" s="63" t="n">
        <f aca="false">IF(E27="","",D27-E27)</f>
        <v>-23</v>
      </c>
      <c r="G27" s="37" t="n">
        <v>470</v>
      </c>
      <c r="H27" s="37" t="n">
        <v>522</v>
      </c>
      <c r="I27" s="63" t="n">
        <f aca="false">IF(H27="","",G27-H27)</f>
        <v>-52</v>
      </c>
      <c r="J27" s="52" t="n">
        <f aca="false">IF(OR(D27="",D27+G27=0),"",D27/(D27+G27))</f>
        <v>0.303703703703704</v>
      </c>
      <c r="K27" s="52" t="n">
        <f aca="false">IF(E27="","",E27/(E27+H27))</f>
        <v>0.304</v>
      </c>
      <c r="L27" s="64" t="n">
        <f aca="false">IF(OR(K27="",J27=""),"",(J27-K27)*100)</f>
        <v>-0.0296296296296295</v>
      </c>
      <c r="M27" s="21"/>
    </row>
    <row r="28" customFormat="false" ht="15" hidden="false" customHeight="false" outlineLevel="0" collapsed="false">
      <c r="A28" s="21" t="s">
        <v>120</v>
      </c>
      <c r="B28" s="21" t="s">
        <v>157</v>
      </c>
      <c r="C28" s="21" t="s">
        <v>158</v>
      </c>
      <c r="D28" s="37" t="n">
        <v>130</v>
      </c>
      <c r="E28" s="37" t="n">
        <v>135</v>
      </c>
      <c r="F28" s="63" t="n">
        <f aca="false">IF(E28="","",D28-E28)</f>
        <v>-5</v>
      </c>
      <c r="G28" s="37" t="n">
        <v>387</v>
      </c>
      <c r="H28" s="37" t="n">
        <v>395</v>
      </c>
      <c r="I28" s="63" t="n">
        <f aca="false">IF(H28="","",G28-H28)</f>
        <v>-8</v>
      </c>
      <c r="J28" s="52" t="n">
        <f aca="false">IF(OR(D28="",D28+G28=0),"",D28/(D28+G28))</f>
        <v>0.251450676982592</v>
      </c>
      <c r="K28" s="52" t="n">
        <f aca="false">IF(E28="","",E28/(E28+H28))</f>
        <v>0.254716981132075</v>
      </c>
      <c r="L28" s="64" t="n">
        <f aca="false">IF(OR(K28="",J28=""),"",(J28-K28)*100)</f>
        <v>-0.326630414948359</v>
      </c>
      <c r="M28" s="21"/>
    </row>
    <row r="29" customFormat="false" ht="15" hidden="false" customHeight="false" outlineLevel="0" collapsed="false">
      <c r="A29" s="21" t="s">
        <v>120</v>
      </c>
      <c r="B29" s="21" t="s">
        <v>157</v>
      </c>
      <c r="C29" s="21" t="s">
        <v>159</v>
      </c>
      <c r="D29" s="37" t="n">
        <v>112</v>
      </c>
      <c r="E29" s="37" t="n">
        <v>124</v>
      </c>
      <c r="F29" s="63" t="n">
        <f aca="false">IF(E29="","",D29-E29)</f>
        <v>-12</v>
      </c>
      <c r="G29" s="37" t="n">
        <v>283</v>
      </c>
      <c r="H29" s="37" t="n">
        <v>298</v>
      </c>
      <c r="I29" s="63" t="n">
        <f aca="false">IF(H29="","",G29-H29)</f>
        <v>-15</v>
      </c>
      <c r="J29" s="52" t="n">
        <f aca="false">IF(OR(D29="",D29+G29=0),"",D29/(D29+G29))</f>
        <v>0.283544303797468</v>
      </c>
      <c r="K29" s="52" t="n">
        <f aca="false">IF(E29="","",E29/(E29+H29))</f>
        <v>0.293838862559242</v>
      </c>
      <c r="L29" s="64" t="n">
        <f aca="false">IF(OR(K29="",J29=""),"",(J29-K29)*100)</f>
        <v>-1.02945587617733</v>
      </c>
      <c r="M29" s="21"/>
    </row>
    <row r="30" customFormat="false" ht="15" hidden="false" customHeight="false" outlineLevel="0" collapsed="false">
      <c r="A30" s="21" t="s">
        <v>120</v>
      </c>
      <c r="B30" s="21" t="s">
        <v>157</v>
      </c>
      <c r="C30" s="21" t="s">
        <v>160</v>
      </c>
      <c r="D30" s="37" t="n">
        <v>364</v>
      </c>
      <c r="E30" s="37" t="n">
        <v>424</v>
      </c>
      <c r="F30" s="63" t="n">
        <f aca="false">IF(E30="","",D30-E30)</f>
        <v>-60</v>
      </c>
      <c r="G30" s="37" t="n">
        <v>913</v>
      </c>
      <c r="H30" s="37" t="n">
        <v>988</v>
      </c>
      <c r="I30" s="63" t="n">
        <f aca="false">IF(H30="","",G30-H30)</f>
        <v>-75</v>
      </c>
      <c r="J30" s="52" t="n">
        <f aca="false">IF(OR(D30="",D30+G30=0),"",D30/(D30+G30))</f>
        <v>0.285043069694597</v>
      </c>
      <c r="K30" s="52" t="n">
        <f aca="false">IF(E30="","",E30/(E30+H30))</f>
        <v>0.30028328611898</v>
      </c>
      <c r="L30" s="64" t="n">
        <f aca="false">IF(OR(K30="",J30=""),"",(J30-K30)*100)</f>
        <v>-1.52402164243835</v>
      </c>
      <c r="M30" s="21"/>
    </row>
    <row r="31" customFormat="false" ht="15" hidden="false" customHeight="false" outlineLevel="0" collapsed="false">
      <c r="A31" s="21" t="s">
        <v>120</v>
      </c>
      <c r="B31" s="21" t="s">
        <v>161</v>
      </c>
      <c r="C31" s="21" t="s">
        <v>162</v>
      </c>
      <c r="D31" s="37" t="n">
        <v>291</v>
      </c>
      <c r="E31" s="37" t="n">
        <v>279</v>
      </c>
      <c r="F31" s="63" t="n">
        <f aca="false">IF(E31="","",D31-E31)</f>
        <v>12</v>
      </c>
      <c r="G31" s="37" t="n">
        <v>413</v>
      </c>
      <c r="H31" s="37" t="n">
        <v>445</v>
      </c>
      <c r="I31" s="63" t="n">
        <f aca="false">IF(H31="","",G31-H31)</f>
        <v>-32</v>
      </c>
      <c r="J31" s="52" t="n">
        <f aca="false">IF(OR(D31="",D31+G31=0),"",D31/(D31+G31))</f>
        <v>0.413352272727273</v>
      </c>
      <c r="K31" s="52" t="n">
        <f aca="false">IF(E31="","",E31/(E31+H31))</f>
        <v>0.385359116022099</v>
      </c>
      <c r="L31" s="64" t="n">
        <f aca="false">IF(OR(K31="",J31=""),"",(J31-K31)*100)</f>
        <v>2.79931567051733</v>
      </c>
      <c r="M31" s="21"/>
    </row>
    <row r="32" customFormat="false" ht="15" hidden="false" customHeight="false" outlineLevel="0" collapsed="false">
      <c r="A32" s="21" t="s">
        <v>120</v>
      </c>
      <c r="B32" s="21" t="s">
        <v>161</v>
      </c>
      <c r="C32" s="21" t="s">
        <v>163</v>
      </c>
      <c r="D32" s="37" t="n">
        <v>277</v>
      </c>
      <c r="E32" s="37" t="n">
        <v>309</v>
      </c>
      <c r="F32" s="63" t="n">
        <f aca="false">IF(E32="","",D32-E32)</f>
        <v>-32</v>
      </c>
      <c r="G32" s="37" t="n">
        <v>476</v>
      </c>
      <c r="H32" s="37" t="n">
        <v>488</v>
      </c>
      <c r="I32" s="63" t="n">
        <f aca="false">IF(H32="","",G32-H32)</f>
        <v>-12</v>
      </c>
      <c r="J32" s="52" t="n">
        <f aca="false">IF(OR(D32="",D32+G32=0),"",D32/(D32+G32))</f>
        <v>0.367861885790173</v>
      </c>
      <c r="K32" s="52" t="n">
        <f aca="false">IF(E32="","",E32/(E32+H32))</f>
        <v>0.387703889585947</v>
      </c>
      <c r="L32" s="64" t="n">
        <f aca="false">IF(OR(K32="",J32=""),"",(J32-K32)*100)</f>
        <v>-1.98420037957747</v>
      </c>
      <c r="M32" s="21"/>
    </row>
    <row r="33" customFormat="false" ht="15" hidden="false" customHeight="false" outlineLevel="0" collapsed="false">
      <c r="A33" s="21" t="s">
        <v>120</v>
      </c>
      <c r="B33" s="21" t="s">
        <v>164</v>
      </c>
      <c r="C33" s="21" t="s">
        <v>164</v>
      </c>
      <c r="D33" s="37" t="n">
        <v>114</v>
      </c>
      <c r="E33" s="37" t="n">
        <v>134</v>
      </c>
      <c r="F33" s="63" t="n">
        <f aca="false">IF(E33="","",D33-E33)</f>
        <v>-20</v>
      </c>
      <c r="G33" s="37" t="n">
        <v>481</v>
      </c>
      <c r="H33" s="37" t="n">
        <v>503</v>
      </c>
      <c r="I33" s="63" t="n">
        <f aca="false">IF(H33="","",G33-H33)</f>
        <v>-22</v>
      </c>
      <c r="J33" s="52" t="n">
        <f aca="false">IF(OR(D33="",D33+G33=0),"",D33/(D33+G33))</f>
        <v>0.191596638655462</v>
      </c>
      <c r="K33" s="52" t="n">
        <f aca="false">IF(E33="","",E33/(E33+H33))</f>
        <v>0.210361067503925</v>
      </c>
      <c r="L33" s="64" t="n">
        <f aca="false">IF(OR(K33="",J33=""),"",(J33-K33)*100)</f>
        <v>-1.87644288484624</v>
      </c>
      <c r="M33" s="21"/>
    </row>
    <row r="34" customFormat="false" ht="15" hidden="false" customHeight="false" outlineLevel="0" collapsed="false">
      <c r="A34" s="21" t="s">
        <v>120</v>
      </c>
      <c r="B34" s="21" t="s">
        <v>165</v>
      </c>
      <c r="C34" s="21" t="s">
        <v>166</v>
      </c>
      <c r="D34" s="37" t="n">
        <v>292</v>
      </c>
      <c r="E34" s="37" t="n">
        <v>281</v>
      </c>
      <c r="F34" s="63" t="n">
        <f aca="false">IF(E34="","",D34-E34)</f>
        <v>11</v>
      </c>
      <c r="G34" s="37" t="n">
        <v>577</v>
      </c>
      <c r="H34" s="37" t="n">
        <v>592</v>
      </c>
      <c r="I34" s="63" t="n">
        <f aca="false">IF(H34="","",G34-H34)</f>
        <v>-15</v>
      </c>
      <c r="J34" s="52" t="n">
        <f aca="false">IF(OR(D34="",D34+G34=0),"",D34/(D34+G34))</f>
        <v>0.336018411967779</v>
      </c>
      <c r="K34" s="52" t="n">
        <f aca="false">IF(E34="","",E34/(E34+H34))</f>
        <v>0.321878579610538</v>
      </c>
      <c r="L34" s="64" t="n">
        <f aca="false">IF(OR(K34="",J34=""),"",(J34-K34)*100)</f>
        <v>1.41398323572406</v>
      </c>
      <c r="M34" s="21"/>
    </row>
    <row r="35" customFormat="false" ht="15" hidden="false" customHeight="false" outlineLevel="0" collapsed="false">
      <c r="A35" s="21" t="s">
        <v>120</v>
      </c>
      <c r="B35" s="21" t="s">
        <v>165</v>
      </c>
      <c r="C35" s="21" t="s">
        <v>167</v>
      </c>
      <c r="D35" s="37" t="n">
        <v>492</v>
      </c>
      <c r="E35" s="37" t="n">
        <v>467</v>
      </c>
      <c r="F35" s="63" t="n">
        <f aca="false">IF(E35="","",D35-E35)</f>
        <v>25</v>
      </c>
      <c r="G35" s="37" t="n">
        <v>784</v>
      </c>
      <c r="H35" s="37" t="n">
        <v>782</v>
      </c>
      <c r="I35" s="63" t="n">
        <f aca="false">IF(H35="","",G35-H35)</f>
        <v>2</v>
      </c>
      <c r="J35" s="52" t="n">
        <f aca="false">IF(OR(D35="",D35+G35=0),"",D35/(D35+G35))</f>
        <v>0.385579937304075</v>
      </c>
      <c r="K35" s="52" t="n">
        <f aca="false">IF(E35="","",E35/(E35+H35))</f>
        <v>0.373899119295436</v>
      </c>
      <c r="L35" s="64" t="n">
        <f aca="false">IF(OR(K35="",J35=""),"",(J35-K35)*100)</f>
        <v>1.16808180086389</v>
      </c>
      <c r="M35" s="21"/>
    </row>
    <row r="36" customFormat="false" ht="15" hidden="false" customHeight="false" outlineLevel="0" collapsed="false">
      <c r="A36" s="21" t="s">
        <v>120</v>
      </c>
      <c r="B36" s="21" t="s">
        <v>165</v>
      </c>
      <c r="C36" s="21" t="s">
        <v>168</v>
      </c>
      <c r="D36" s="37" t="n">
        <v>149</v>
      </c>
      <c r="E36" s="37" t="n">
        <v>136</v>
      </c>
      <c r="F36" s="63" t="n">
        <f aca="false">IF(E36="","",D36-E36)</f>
        <v>13</v>
      </c>
      <c r="G36" s="37" t="n">
        <v>266</v>
      </c>
      <c r="H36" s="37" t="n">
        <v>278</v>
      </c>
      <c r="I36" s="63" t="n">
        <f aca="false">IF(H36="","",G36-H36)</f>
        <v>-12</v>
      </c>
      <c r="J36" s="52" t="n">
        <f aca="false">IF(OR(D36="",D36+G36=0),"",D36/(D36+G36))</f>
        <v>0.359036144578313</v>
      </c>
      <c r="K36" s="52" t="n">
        <f aca="false">IF(E36="","",E36/(E36+H36))</f>
        <v>0.328502415458937</v>
      </c>
      <c r="L36" s="64" t="n">
        <f aca="false">IF(OR(K36="",J36=""),"",(J36-K36)*100)</f>
        <v>3.0533729119376</v>
      </c>
      <c r="M36" s="21"/>
    </row>
    <row r="37" customFormat="false" ht="15" hidden="false" customHeight="false" outlineLevel="0" collapsed="false">
      <c r="A37" s="21" t="s">
        <v>120</v>
      </c>
      <c r="B37" s="21" t="s">
        <v>169</v>
      </c>
      <c r="C37" s="21" t="s">
        <v>169</v>
      </c>
      <c r="D37" s="37" t="n">
        <v>56</v>
      </c>
      <c r="E37" s="37" t="n">
        <v>68</v>
      </c>
      <c r="F37" s="63" t="n">
        <f aca="false">IF(E37="","",D37-E37)</f>
        <v>-12</v>
      </c>
      <c r="G37" s="37" t="n">
        <v>159</v>
      </c>
      <c r="H37" s="37" t="n">
        <v>153</v>
      </c>
      <c r="I37" s="63" t="n">
        <f aca="false">IF(H37="","",G37-H37)</f>
        <v>6</v>
      </c>
      <c r="J37" s="52" t="n">
        <f aca="false">IF(OR(D37="",D37+G37=0),"",D37/(D37+G37))</f>
        <v>0.26046511627907</v>
      </c>
      <c r="K37" s="52" t="n">
        <f aca="false">IF(E37="","",E37/(E37+H37))</f>
        <v>0.307692307692308</v>
      </c>
      <c r="L37" s="64" t="n">
        <f aca="false">IF(OR(K37="",J37=""),"",(J37-K37)*100)</f>
        <v>-4.7227191413238</v>
      </c>
      <c r="M37" s="21"/>
    </row>
    <row r="38" customFormat="false" ht="15" hidden="false" customHeight="false" outlineLevel="0" collapsed="false">
      <c r="A38" s="21" t="s">
        <v>120</v>
      </c>
      <c r="B38" s="21" t="s">
        <v>170</v>
      </c>
      <c r="C38" s="21" t="s">
        <v>171</v>
      </c>
      <c r="D38" s="37" t="n">
        <v>376</v>
      </c>
      <c r="E38" s="37" t="n">
        <v>432</v>
      </c>
      <c r="F38" s="63" t="n">
        <f aca="false">IF(E38="","",D38-E38)</f>
        <v>-56</v>
      </c>
      <c r="G38" s="37" t="n">
        <v>660</v>
      </c>
      <c r="H38" s="37" t="n">
        <v>705</v>
      </c>
      <c r="I38" s="63" t="n">
        <f aca="false">IF(H38="","",G38-H38)</f>
        <v>-45</v>
      </c>
      <c r="J38" s="52" t="n">
        <f aca="false">IF(OR(D38="",D38+G38=0),"",D38/(D38+G38))</f>
        <v>0.362934362934363</v>
      </c>
      <c r="K38" s="52" t="n">
        <f aca="false">IF(E38="","",E38/(E38+H38))</f>
        <v>0.379947229551451</v>
      </c>
      <c r="L38" s="64" t="n">
        <f aca="false">IF(OR(K38="",J38=""),"",(J38-K38)*100)</f>
        <v>-1.70128666170882</v>
      </c>
      <c r="M38" s="21"/>
    </row>
    <row r="39" customFormat="false" ht="15" hidden="false" customHeight="false" outlineLevel="0" collapsed="false">
      <c r="A39" s="21" t="s">
        <v>120</v>
      </c>
      <c r="B39" s="21" t="s">
        <v>170</v>
      </c>
      <c r="C39" s="21" t="s">
        <v>172</v>
      </c>
      <c r="D39" s="37" t="n">
        <v>284</v>
      </c>
      <c r="E39" s="37" t="n">
        <v>296</v>
      </c>
      <c r="F39" s="63" t="n">
        <f aca="false">IF(E39="","",D39-E39)</f>
        <v>-12</v>
      </c>
      <c r="G39" s="37" t="n">
        <v>521</v>
      </c>
      <c r="H39" s="37" t="n">
        <v>529</v>
      </c>
      <c r="I39" s="63" t="n">
        <f aca="false">IF(H39="","",G39-H39)</f>
        <v>-8</v>
      </c>
      <c r="J39" s="52" t="n">
        <f aca="false">IF(OR(D39="",D39+G39=0),"",D39/(D39+G39))</f>
        <v>0.352795031055901</v>
      </c>
      <c r="K39" s="52" t="n">
        <f aca="false">IF(E39="","",E39/(E39+H39))</f>
        <v>0.358787878787879</v>
      </c>
      <c r="L39" s="64" t="n">
        <f aca="false">IF(OR(K39="",J39=""),"",(J39-K39)*100)</f>
        <v>-0.599284773197817</v>
      </c>
      <c r="M39" s="21"/>
    </row>
    <row r="40" customFormat="false" ht="15" hidden="false" customHeight="false" outlineLevel="0" collapsed="false">
      <c r="A40" s="21" t="s">
        <v>120</v>
      </c>
      <c r="B40" s="21" t="s">
        <v>170</v>
      </c>
      <c r="C40" s="21" t="s">
        <v>173</v>
      </c>
      <c r="D40" s="37" t="n">
        <v>416</v>
      </c>
      <c r="E40" s="37" t="n">
        <v>460</v>
      </c>
      <c r="F40" s="63" t="n">
        <f aca="false">IF(E40="","",D40-E40)</f>
        <v>-44</v>
      </c>
      <c r="G40" s="37" t="n">
        <v>744</v>
      </c>
      <c r="H40" s="37" t="n">
        <v>791</v>
      </c>
      <c r="I40" s="63" t="n">
        <f aca="false">IF(H40="","",G40-H40)</f>
        <v>-47</v>
      </c>
      <c r="J40" s="52" t="n">
        <f aca="false">IF(OR(D40="",D40+G40=0),"",D40/(D40+G40))</f>
        <v>0.358620689655172</v>
      </c>
      <c r="K40" s="52" t="n">
        <f aca="false">IF(E40="","",E40/(E40+H40))</f>
        <v>0.367705835331735</v>
      </c>
      <c r="L40" s="64" t="n">
        <f aca="false">IF(OR(K40="",J40=""),"",(J40-K40)*100)</f>
        <v>-0.908514567656221</v>
      </c>
      <c r="M40" s="21"/>
    </row>
    <row r="41" customFormat="false" ht="15" hidden="false" customHeight="false" outlineLevel="0" collapsed="false">
      <c r="A41" s="21" t="s">
        <v>120</v>
      </c>
      <c r="B41" s="21" t="s">
        <v>170</v>
      </c>
      <c r="C41" s="21" t="s">
        <v>174</v>
      </c>
      <c r="D41" s="37" t="n">
        <v>367</v>
      </c>
      <c r="E41" s="37" t="n">
        <v>425</v>
      </c>
      <c r="F41" s="63" t="n">
        <f aca="false">IF(E41="","",D41-E41)</f>
        <v>-58</v>
      </c>
      <c r="G41" s="37" t="n">
        <v>828</v>
      </c>
      <c r="H41" s="37" t="n">
        <v>920</v>
      </c>
      <c r="I41" s="63" t="n">
        <f aca="false">IF(H41="","",G41-H41)</f>
        <v>-92</v>
      </c>
      <c r="J41" s="52" t="n">
        <f aca="false">IF(OR(D41="",D41+G41=0),"",D41/(D41+G41))</f>
        <v>0.307112970711297</v>
      </c>
      <c r="K41" s="52" t="n">
        <f aca="false">IF(E41="","",E41/(E41+H41))</f>
        <v>0.315985130111524</v>
      </c>
      <c r="L41" s="64" t="n">
        <f aca="false">IF(OR(K41="",J41=""),"",(J41-K41)*100)</f>
        <v>-0.887215940022712</v>
      </c>
      <c r="M41" s="21"/>
    </row>
    <row r="42" customFormat="false" ht="15" hidden="false" customHeight="false" outlineLevel="0" collapsed="false">
      <c r="A42" s="21" t="s">
        <v>120</v>
      </c>
      <c r="B42" s="21" t="s">
        <v>170</v>
      </c>
      <c r="C42" s="21" t="s">
        <v>175</v>
      </c>
      <c r="D42" s="37" t="n">
        <v>354</v>
      </c>
      <c r="E42" s="37" t="n">
        <v>397</v>
      </c>
      <c r="F42" s="63" t="n">
        <f aca="false">IF(E42="","",D42-E42)</f>
        <v>-43</v>
      </c>
      <c r="G42" s="37" t="n">
        <v>695</v>
      </c>
      <c r="H42" s="37" t="n">
        <v>692</v>
      </c>
      <c r="I42" s="63" t="n">
        <f aca="false">IF(H42="","",G42-H42)</f>
        <v>3</v>
      </c>
      <c r="J42" s="52" t="n">
        <f aca="false">IF(OR(D42="",D42+G42=0),"",D42/(D42+G42))</f>
        <v>0.337464251668256</v>
      </c>
      <c r="K42" s="52" t="n">
        <f aca="false">IF(E42="","",E42/(E42+H42))</f>
        <v>0.36455463728191</v>
      </c>
      <c r="L42" s="64" t="n">
        <f aca="false">IF(OR(K42="",J42=""),"",(J42-K42)*100)</f>
        <v>-2.70903856136545</v>
      </c>
      <c r="M42" s="21"/>
    </row>
    <row r="43" customFormat="false" ht="15" hidden="false" customHeight="false" outlineLevel="0" collapsed="false">
      <c r="A43" s="21" t="s">
        <v>120</v>
      </c>
      <c r="B43" s="21" t="s">
        <v>176</v>
      </c>
      <c r="C43" s="21" t="s">
        <v>177</v>
      </c>
      <c r="D43" s="37" t="n">
        <v>179</v>
      </c>
      <c r="E43" s="37" t="n">
        <v>175</v>
      </c>
      <c r="F43" s="63" t="n">
        <f aca="false">IF(E43="","",D43-E43)</f>
        <v>4</v>
      </c>
      <c r="G43" s="37" t="n">
        <v>201</v>
      </c>
      <c r="H43" s="37" t="n">
        <v>212</v>
      </c>
      <c r="I43" s="63" t="n">
        <f aca="false">IF(H43="","",G43-H43)</f>
        <v>-11</v>
      </c>
      <c r="J43" s="52" t="n">
        <f aca="false">IF(OR(D43="",D43+G43=0),"",D43/(D43+G43))</f>
        <v>0.471052631578947</v>
      </c>
      <c r="K43" s="52" t="n">
        <f aca="false">IF(E43="","",E43/(E43+H43))</f>
        <v>0.452196382428941</v>
      </c>
      <c r="L43" s="64" t="n">
        <f aca="false">IF(OR(K43="",J43=""),"",(J43-K43)*100)</f>
        <v>1.88562491500068</v>
      </c>
      <c r="M43" s="21"/>
    </row>
    <row r="44" customFormat="false" ht="15" hidden="false" customHeight="false" outlineLevel="0" collapsed="false">
      <c r="A44" s="21" t="s">
        <v>120</v>
      </c>
      <c r="B44" s="21" t="s">
        <v>176</v>
      </c>
      <c r="C44" s="21" t="s">
        <v>178</v>
      </c>
      <c r="D44" s="37" t="n">
        <v>189</v>
      </c>
      <c r="E44" s="37" t="n">
        <v>184</v>
      </c>
      <c r="F44" s="63" t="n">
        <f aca="false">IF(E44="","",D44-E44)</f>
        <v>5</v>
      </c>
      <c r="G44" s="37" t="n">
        <v>202</v>
      </c>
      <c r="H44" s="37" t="n">
        <v>208</v>
      </c>
      <c r="I44" s="63" t="n">
        <f aca="false">IF(H44="","",G44-H44)</f>
        <v>-6</v>
      </c>
      <c r="J44" s="52" t="n">
        <f aca="false">IF(OR(D44="",D44+G44=0),"",D44/(D44+G44))</f>
        <v>0.483375959079284</v>
      </c>
      <c r="K44" s="52" t="n">
        <f aca="false">IF(E44="","",E44/(E44+H44))</f>
        <v>0.469387755102041</v>
      </c>
      <c r="L44" s="64" t="n">
        <f aca="false">IF(OR(K44="",J44=""),"",(J44-K44)*100)</f>
        <v>1.3988203977243</v>
      </c>
      <c r="M44" s="21"/>
    </row>
    <row r="45" customFormat="false" ht="15" hidden="false" customHeight="false" outlineLevel="0" collapsed="false">
      <c r="A45" s="21" t="s">
        <v>120</v>
      </c>
      <c r="B45" s="21" t="s">
        <v>176</v>
      </c>
      <c r="C45" s="21" t="s">
        <v>179</v>
      </c>
      <c r="D45" s="37" t="n">
        <v>120</v>
      </c>
      <c r="E45" s="37" t="n">
        <v>102</v>
      </c>
      <c r="F45" s="63" t="n">
        <f aca="false">IF(E45="","",D45-E45)</f>
        <v>18</v>
      </c>
      <c r="G45" s="37" t="n">
        <v>185</v>
      </c>
      <c r="H45" s="37" t="n">
        <v>192</v>
      </c>
      <c r="I45" s="63" t="n">
        <f aca="false">IF(H45="","",G45-H45)</f>
        <v>-7</v>
      </c>
      <c r="J45" s="52" t="n">
        <f aca="false">IF(OR(D45="",D45+G45=0),"",D45/(D45+G45))</f>
        <v>0.39344262295082</v>
      </c>
      <c r="K45" s="52" t="n">
        <f aca="false">IF(E45="","",E45/(E45+H45))</f>
        <v>0.346938775510204</v>
      </c>
      <c r="L45" s="64" t="n">
        <f aca="false">IF(OR(K45="",J45=""),"",(J45-K45)*100)</f>
        <v>4.65038474406156</v>
      </c>
      <c r="M45" s="21"/>
    </row>
    <row r="46" customFormat="false" ht="15" hidden="false" customHeight="false" outlineLevel="0" collapsed="false">
      <c r="A46" s="21" t="s">
        <v>120</v>
      </c>
      <c r="B46" s="21" t="s">
        <v>176</v>
      </c>
      <c r="C46" s="21" t="s">
        <v>180</v>
      </c>
      <c r="D46" s="37" t="n">
        <v>187</v>
      </c>
      <c r="E46" s="37" t="n">
        <v>194</v>
      </c>
      <c r="F46" s="63" t="n">
        <f aca="false">IF(E46="","",D46-E46)</f>
        <v>-7</v>
      </c>
      <c r="G46" s="37" t="n">
        <v>276</v>
      </c>
      <c r="H46" s="37" t="n">
        <v>296</v>
      </c>
      <c r="I46" s="63" t="n">
        <f aca="false">IF(H46="","",G46-H46)</f>
        <v>-20</v>
      </c>
      <c r="J46" s="52" t="n">
        <f aca="false">IF(OR(D46="",D46+G46=0),"",D46/(D46+G46))</f>
        <v>0.403887688984881</v>
      </c>
      <c r="K46" s="52" t="n">
        <f aca="false">IF(E46="","",E46/(E46+H46))</f>
        <v>0.395918367346939</v>
      </c>
      <c r="L46" s="64" t="n">
        <f aca="false">IF(OR(K46="",J46=""),"",(J46-K46)*100)</f>
        <v>0.796932163794245</v>
      </c>
      <c r="M46" s="21"/>
    </row>
    <row r="47" customFormat="false" ht="15" hidden="false" customHeight="false" outlineLevel="0" collapsed="false">
      <c r="A47" s="21" t="s">
        <v>120</v>
      </c>
      <c r="B47" s="21" t="s">
        <v>181</v>
      </c>
      <c r="C47" s="21" t="s">
        <v>182</v>
      </c>
      <c r="D47" s="37" t="n">
        <v>262</v>
      </c>
      <c r="E47" s="37" t="n">
        <v>298</v>
      </c>
      <c r="F47" s="63" t="n">
        <f aca="false">IF(E47="","",D47-E47)</f>
        <v>-36</v>
      </c>
      <c r="G47" s="37" t="n">
        <v>662</v>
      </c>
      <c r="H47" s="37" t="n">
        <v>649</v>
      </c>
      <c r="I47" s="63" t="n">
        <f aca="false">IF(H47="","",G47-H47)</f>
        <v>13</v>
      </c>
      <c r="J47" s="52" t="n">
        <f aca="false">IF(OR(D47="",D47+G47=0),"",D47/(D47+G47))</f>
        <v>0.283549783549784</v>
      </c>
      <c r="K47" s="52" t="n">
        <f aca="false">IF(E47="","",E47/(E47+H47))</f>
        <v>0.31467793030623</v>
      </c>
      <c r="L47" s="64" t="n">
        <f aca="false">IF(OR(K47="",J47=""),"",(J47-K47)*100)</f>
        <v>-3.11281467564467</v>
      </c>
      <c r="M47" s="21"/>
    </row>
    <row r="48" customFormat="false" ht="15" hidden="false" customHeight="false" outlineLevel="0" collapsed="false">
      <c r="A48" s="21" t="s">
        <v>120</v>
      </c>
      <c r="B48" s="21" t="s">
        <v>181</v>
      </c>
      <c r="C48" s="21" t="s">
        <v>183</v>
      </c>
      <c r="D48" s="37" t="n">
        <v>235</v>
      </c>
      <c r="E48" s="37" t="n">
        <v>253</v>
      </c>
      <c r="F48" s="63" t="n">
        <f aca="false">IF(E48="","",D48-E48)</f>
        <v>-18</v>
      </c>
      <c r="G48" s="37" t="n">
        <v>666</v>
      </c>
      <c r="H48" s="37" t="n">
        <v>710</v>
      </c>
      <c r="I48" s="63" t="n">
        <f aca="false">IF(H48="","",G48-H48)</f>
        <v>-44</v>
      </c>
      <c r="J48" s="52" t="n">
        <f aca="false">IF(OR(D48="",D48+G48=0),"",D48/(D48+G48))</f>
        <v>0.260821309655938</v>
      </c>
      <c r="K48" s="52" t="n">
        <f aca="false">IF(E48="","",E48/(E48+H48))</f>
        <v>0.262720664589823</v>
      </c>
      <c r="L48" s="64" t="n">
        <f aca="false">IF(OR(K48="",J48=""),"",(J48-K48)*100)</f>
        <v>-0.18993549338856</v>
      </c>
      <c r="M48" s="21"/>
    </row>
    <row r="49" customFormat="false" ht="15" hidden="false" customHeight="false" outlineLevel="0" collapsed="false">
      <c r="A49" s="21" t="s">
        <v>120</v>
      </c>
      <c r="B49" s="21" t="s">
        <v>181</v>
      </c>
      <c r="C49" s="21" t="s">
        <v>184</v>
      </c>
      <c r="D49" s="37" t="n">
        <v>231</v>
      </c>
      <c r="E49" s="37" t="n">
        <v>238</v>
      </c>
      <c r="F49" s="63" t="n">
        <f aca="false">IF(E49="","",D49-E49)</f>
        <v>-7</v>
      </c>
      <c r="G49" s="37" t="n">
        <v>587</v>
      </c>
      <c r="H49" s="37" t="n">
        <v>586</v>
      </c>
      <c r="I49" s="63" t="n">
        <f aca="false">IF(H49="","",G49-H49)</f>
        <v>1</v>
      </c>
      <c r="J49" s="52" t="n">
        <f aca="false">IF(OR(D49="",D49+G49=0),"",D49/(D49+G49))</f>
        <v>0.28239608801956</v>
      </c>
      <c r="K49" s="52" t="n">
        <f aca="false">IF(E49="","",E49/(E49+H49))</f>
        <v>0.288834951456311</v>
      </c>
      <c r="L49" s="64" t="n">
        <f aca="false">IF(OR(K49="",J49=""),"",(J49-K49)*100)</f>
        <v>-0.643886343675076</v>
      </c>
      <c r="M49" s="21"/>
    </row>
    <row r="50" customFormat="false" ht="15" hidden="false" customHeight="false" outlineLevel="0" collapsed="false">
      <c r="A50" s="21" t="s">
        <v>120</v>
      </c>
      <c r="B50" s="21" t="s">
        <v>185</v>
      </c>
      <c r="C50" s="21" t="s">
        <v>186</v>
      </c>
      <c r="D50" s="37" t="n">
        <v>205</v>
      </c>
      <c r="E50" s="37" t="n">
        <v>238</v>
      </c>
      <c r="F50" s="63" t="n">
        <f aca="false">IF(E50="","",D50-E50)</f>
        <v>-33</v>
      </c>
      <c r="G50" s="37" t="n">
        <v>588</v>
      </c>
      <c r="H50" s="37" t="n">
        <v>541</v>
      </c>
      <c r="I50" s="63" t="n">
        <f aca="false">IF(H50="","",G50-H50)</f>
        <v>47</v>
      </c>
      <c r="J50" s="52" t="n">
        <f aca="false">IF(OR(D50="",D50+G50=0),"",D50/(D50+G50))</f>
        <v>0.258511979823455</v>
      </c>
      <c r="K50" s="52" t="n">
        <f aca="false">IF(E50="","",E50/(E50+H50))</f>
        <v>0.305519897304236</v>
      </c>
      <c r="L50" s="64" t="n">
        <f aca="false">IF(OR(K50="",J50=""),"",(J50-K50)*100)</f>
        <v>-4.70079174807809</v>
      </c>
      <c r="M50" s="21"/>
    </row>
    <row r="51" customFormat="false" ht="15" hidden="false" customHeight="false" outlineLevel="0" collapsed="false">
      <c r="A51" s="21" t="s">
        <v>120</v>
      </c>
      <c r="B51" s="21" t="s">
        <v>185</v>
      </c>
      <c r="C51" s="21" t="s">
        <v>187</v>
      </c>
      <c r="D51" s="37" t="n">
        <v>101</v>
      </c>
      <c r="E51" s="37" t="n">
        <v>103</v>
      </c>
      <c r="F51" s="63" t="n">
        <f aca="false">IF(E51="","",D51-E51)</f>
        <v>-2</v>
      </c>
      <c r="G51" s="37" t="n">
        <v>295</v>
      </c>
      <c r="H51" s="37" t="n">
        <v>292</v>
      </c>
      <c r="I51" s="63" t="n">
        <f aca="false">IF(H51="","",G51-H51)</f>
        <v>3</v>
      </c>
      <c r="J51" s="52" t="n">
        <f aca="false">IF(OR(D51="",D51+G51=0),"",D51/(D51+G51))</f>
        <v>0.255050505050505</v>
      </c>
      <c r="K51" s="52" t="n">
        <f aca="false">IF(E51="","",E51/(E51+H51))</f>
        <v>0.260759493670886</v>
      </c>
      <c r="L51" s="64" t="n">
        <f aca="false">IF(OR(K51="",J51=""),"",(J51-K51)*100)</f>
        <v>-0.570898862038105</v>
      </c>
      <c r="M51" s="21"/>
    </row>
    <row r="52" customFormat="false" ht="15" hidden="false" customHeight="false" outlineLevel="0" collapsed="false">
      <c r="A52" s="21" t="s">
        <v>120</v>
      </c>
      <c r="B52" s="21" t="s">
        <v>188</v>
      </c>
      <c r="C52" s="21" t="s">
        <v>188</v>
      </c>
      <c r="D52" s="37" t="n">
        <v>57</v>
      </c>
      <c r="E52" s="37" t="n">
        <v>53</v>
      </c>
      <c r="F52" s="63" t="n">
        <f aca="false">IF(E52="","",D52-E52)</f>
        <v>4</v>
      </c>
      <c r="G52" s="37" t="n">
        <v>86</v>
      </c>
      <c r="H52" s="37" t="n">
        <v>99</v>
      </c>
      <c r="I52" s="63" t="n">
        <f aca="false">IF(H52="","",G52-H52)</f>
        <v>-13</v>
      </c>
      <c r="J52" s="52" t="n">
        <f aca="false">IF(OR(D52="",D52+G52=0),"",D52/(D52+G52))</f>
        <v>0.398601398601399</v>
      </c>
      <c r="K52" s="52" t="n">
        <f aca="false">IF(E52="","",E52/(E52+H52))</f>
        <v>0.348684210526316</v>
      </c>
      <c r="L52" s="64" t="n">
        <f aca="false">IF(OR(K52="",J52=""),"",(J52-K52)*100)</f>
        <v>4.99171880750828</v>
      </c>
      <c r="M52" s="21"/>
    </row>
    <row r="53" customFormat="false" ht="15" hidden="false" customHeight="false" outlineLevel="0" collapsed="false">
      <c r="A53" s="21" t="s">
        <v>189</v>
      </c>
      <c r="B53" s="21" t="s">
        <v>190</v>
      </c>
      <c r="C53" s="21" t="s">
        <v>190</v>
      </c>
      <c r="D53" s="37" t="n">
        <v>674</v>
      </c>
      <c r="E53" s="37" t="n">
        <v>601</v>
      </c>
      <c r="F53" s="63" t="n">
        <f aca="false">IF(E53="","",D53-E53)</f>
        <v>73</v>
      </c>
      <c r="G53" s="37" t="n">
        <v>745</v>
      </c>
      <c r="H53" s="37" t="n">
        <v>766</v>
      </c>
      <c r="I53" s="63" t="n">
        <f aca="false">IF(H53="","",G53-H53)</f>
        <v>-21</v>
      </c>
      <c r="J53" s="52" t="n">
        <f aca="false">IF(OR(D53="",D53+G53=0),"",D53/(D53+G53))</f>
        <v>0.474982381959126</v>
      </c>
      <c r="K53" s="52" t="n">
        <f aca="false">IF(E53="","",E53/(E53+H53))</f>
        <v>0.439648866130212</v>
      </c>
      <c r="L53" s="64" t="n">
        <f aca="false">IF(OR(K53="",J53=""),"",(J53-K53)*100)</f>
        <v>3.5333515828914</v>
      </c>
      <c r="M53" s="21"/>
    </row>
    <row r="54" customFormat="false" ht="15" hidden="false" customHeight="false" outlineLevel="0" collapsed="false">
      <c r="A54" s="21" t="s">
        <v>189</v>
      </c>
      <c r="B54" s="21" t="s">
        <v>191</v>
      </c>
      <c r="C54" s="21" t="s">
        <v>192</v>
      </c>
      <c r="D54" s="37" t="n">
        <v>537</v>
      </c>
      <c r="E54" s="37" t="n">
        <v>437</v>
      </c>
      <c r="F54" s="63" t="n">
        <f aca="false">IF(E54="","",D54-E54)</f>
        <v>100</v>
      </c>
      <c r="G54" s="37" t="n">
        <v>177</v>
      </c>
      <c r="H54" s="37" t="n">
        <v>173</v>
      </c>
      <c r="I54" s="63" t="n">
        <f aca="false">IF(H54="","",G54-H54)</f>
        <v>4</v>
      </c>
      <c r="J54" s="52" t="n">
        <f aca="false">IF(OR(D54="",D54+G54=0),"",D54/(D54+G54))</f>
        <v>0.752100840336134</v>
      </c>
      <c r="K54" s="52" t="n">
        <f aca="false">IF(E54="","",E54/(E54+H54))</f>
        <v>0.716393442622951</v>
      </c>
      <c r="L54" s="64" t="n">
        <f aca="false">IF(OR(K54="",J54=""),"",(J54-K54)*100)</f>
        <v>3.57073977131837</v>
      </c>
      <c r="M54" s="21"/>
    </row>
    <row r="55" customFormat="false" ht="15" hidden="false" customHeight="false" outlineLevel="0" collapsed="false">
      <c r="A55" s="21" t="s">
        <v>189</v>
      </c>
      <c r="B55" s="21" t="s">
        <v>191</v>
      </c>
      <c r="C55" s="21" t="s">
        <v>193</v>
      </c>
      <c r="D55" s="37" t="n">
        <v>348</v>
      </c>
      <c r="E55" s="37" t="n">
        <v>328</v>
      </c>
      <c r="F55" s="63" t="n">
        <f aca="false">IF(E55="","",D55-E55)</f>
        <v>20</v>
      </c>
      <c r="G55" s="37" t="n">
        <v>128</v>
      </c>
      <c r="H55" s="37" t="n">
        <v>173</v>
      </c>
      <c r="I55" s="63" t="n">
        <f aca="false">IF(H55="","",G55-H55)</f>
        <v>-45</v>
      </c>
      <c r="J55" s="52" t="n">
        <f aca="false">IF(OR(D55="",D55+G55=0),"",D55/(D55+G55))</f>
        <v>0.73109243697479</v>
      </c>
      <c r="K55" s="52" t="n">
        <f aca="false">IF(E55="","",E55/(E55+H55))</f>
        <v>0.654690618762475</v>
      </c>
      <c r="L55" s="64" t="n">
        <f aca="false">IF(OR(K55="",J55=""),"",(J55-K55)*100)</f>
        <v>7.64018182123149</v>
      </c>
      <c r="M55" s="21"/>
    </row>
    <row r="56" customFormat="false" ht="15" hidden="false" customHeight="false" outlineLevel="0" collapsed="false">
      <c r="A56" s="21" t="s">
        <v>189</v>
      </c>
      <c r="B56" s="21" t="s">
        <v>191</v>
      </c>
      <c r="C56" s="21" t="s">
        <v>194</v>
      </c>
      <c r="D56" s="37" t="n">
        <v>385</v>
      </c>
      <c r="E56" s="37" t="n">
        <v>347</v>
      </c>
      <c r="F56" s="63" t="n">
        <f aca="false">IF(E56="","",D56-E56)</f>
        <v>38</v>
      </c>
      <c r="G56" s="37" t="n">
        <v>128</v>
      </c>
      <c r="H56" s="37" t="n">
        <v>147</v>
      </c>
      <c r="I56" s="63" t="n">
        <f aca="false">IF(H56="","",G56-H56)</f>
        <v>-19</v>
      </c>
      <c r="J56" s="52" t="n">
        <f aca="false">IF(OR(D56="",D56+G56=0),"",D56/(D56+G56))</f>
        <v>0.750487329434698</v>
      </c>
      <c r="K56" s="52" t="n">
        <f aca="false">IF(E56="","",E56/(E56+H56))</f>
        <v>0.702429149797571</v>
      </c>
      <c r="L56" s="64" t="n">
        <f aca="false">IF(OR(K56="",J56=""),"",(J56-K56)*100)</f>
        <v>4.8058179637127</v>
      </c>
      <c r="M56" s="21"/>
    </row>
    <row r="57" customFormat="false" ht="15" hidden="false" customHeight="false" outlineLevel="0" collapsed="false">
      <c r="A57" s="21" t="s">
        <v>189</v>
      </c>
      <c r="B57" s="21" t="s">
        <v>191</v>
      </c>
      <c r="C57" s="21" t="s">
        <v>195</v>
      </c>
      <c r="D57" s="37" t="n">
        <v>343</v>
      </c>
      <c r="E57" s="37" t="n">
        <v>314</v>
      </c>
      <c r="F57" s="63" t="n">
        <f aca="false">IF(E57="","",D57-E57)</f>
        <v>29</v>
      </c>
      <c r="G57" s="37" t="n">
        <v>131</v>
      </c>
      <c r="H57" s="37" t="n">
        <v>149</v>
      </c>
      <c r="I57" s="63" t="n">
        <f aca="false">IF(H57="","",G57-H57)</f>
        <v>-18</v>
      </c>
      <c r="J57" s="52" t="n">
        <f aca="false">IF(OR(D57="",D57+G57=0),"",D57/(D57+G57))</f>
        <v>0.723628691983122</v>
      </c>
      <c r="K57" s="52" t="n">
        <f aca="false">IF(E57="","",E57/(E57+H57))</f>
        <v>0.678185745140389</v>
      </c>
      <c r="L57" s="64" t="n">
        <f aca="false">IF(OR(K57="",J57=""),"",(J57-K57)*100)</f>
        <v>4.54429468427336</v>
      </c>
      <c r="M57" s="21"/>
    </row>
    <row r="58" customFormat="false" ht="15" hidden="false" customHeight="false" outlineLevel="0" collapsed="false">
      <c r="A58" s="21" t="s">
        <v>189</v>
      </c>
      <c r="B58" s="21" t="s">
        <v>191</v>
      </c>
      <c r="C58" s="21" t="s">
        <v>196</v>
      </c>
      <c r="D58" s="37" t="n">
        <v>389</v>
      </c>
      <c r="E58" s="37" t="n">
        <v>364</v>
      </c>
      <c r="F58" s="63" t="n">
        <f aca="false">IF(E58="","",D58-E58)</f>
        <v>25</v>
      </c>
      <c r="G58" s="37" t="n">
        <v>131</v>
      </c>
      <c r="H58" s="37" t="n">
        <v>137</v>
      </c>
      <c r="I58" s="63" t="n">
        <f aca="false">IF(H58="","",G58-H58)</f>
        <v>-6</v>
      </c>
      <c r="J58" s="52" t="n">
        <f aca="false">IF(OR(D58="",D58+G58=0),"",D58/(D58+G58))</f>
        <v>0.748076923076923</v>
      </c>
      <c r="K58" s="52" t="n">
        <f aca="false">IF(E58="","",E58/(E58+H58))</f>
        <v>0.726546906187625</v>
      </c>
      <c r="L58" s="64" t="n">
        <f aca="false">IF(OR(K58="",J58=""),"",(J58-K58)*100)</f>
        <v>2.15300168892983</v>
      </c>
      <c r="M58" s="21"/>
    </row>
    <row r="59" customFormat="false" ht="15" hidden="false" customHeight="false" outlineLevel="0" collapsed="false">
      <c r="A59" s="21" t="s">
        <v>189</v>
      </c>
      <c r="B59" s="21" t="s">
        <v>191</v>
      </c>
      <c r="C59" s="21" t="s">
        <v>197</v>
      </c>
      <c r="D59" s="37" t="n">
        <v>456</v>
      </c>
      <c r="E59" s="37" t="n">
        <v>399</v>
      </c>
      <c r="F59" s="63" t="n">
        <f aca="false">IF(E59="","",D59-E59)</f>
        <v>57</v>
      </c>
      <c r="G59" s="37" t="n">
        <v>181</v>
      </c>
      <c r="H59" s="37" t="n">
        <v>171</v>
      </c>
      <c r="I59" s="63" t="n">
        <f aca="false">IF(H59="","",G59-H59)</f>
        <v>10</v>
      </c>
      <c r="J59" s="52" t="n">
        <f aca="false">IF(OR(D59="",D59+G59=0),"",D59/(D59+G59))</f>
        <v>0.71585557299843</v>
      </c>
      <c r="K59" s="52" t="n">
        <f aca="false">IF(E59="","",E59/(E59+H59))</f>
        <v>0.7</v>
      </c>
      <c r="L59" s="64" t="n">
        <f aca="false">IF(OR(K59="",J59=""),"",(J59-K59)*100)</f>
        <v>1.58555729984302</v>
      </c>
      <c r="M59" s="21"/>
    </row>
    <row r="60" customFormat="false" ht="15" hidden="false" customHeight="false" outlineLevel="0" collapsed="false">
      <c r="A60" s="21" t="s">
        <v>189</v>
      </c>
      <c r="B60" s="21" t="s">
        <v>191</v>
      </c>
      <c r="C60" s="21" t="s">
        <v>198</v>
      </c>
      <c r="D60" s="37" t="n">
        <v>970</v>
      </c>
      <c r="E60" s="37" t="n">
        <v>1034</v>
      </c>
      <c r="F60" s="63" t="n">
        <f aca="false">IF(E60="","",D60-E60)</f>
        <v>-64</v>
      </c>
      <c r="G60" s="37" t="n">
        <v>303</v>
      </c>
      <c r="H60" s="37" t="n">
        <v>285</v>
      </c>
      <c r="I60" s="63" t="n">
        <f aca="false">IF(H60="","",G60-H60)</f>
        <v>18</v>
      </c>
      <c r="J60" s="52" t="n">
        <f aca="false">IF(OR(D60="",D60+G60=0),"",D60/(D60+G60))</f>
        <v>0.761979575805185</v>
      </c>
      <c r="K60" s="52" t="n">
        <f aca="false">IF(E60="","",E60/(E60+H60))</f>
        <v>0.783927217589083</v>
      </c>
      <c r="L60" s="64" t="n">
        <f aca="false">IF(OR(K60="",J60=""),"",(J60-K60)*100)</f>
        <v>-2.19476417838981</v>
      </c>
      <c r="M60" s="21"/>
    </row>
    <row r="61" customFormat="false" ht="15" hidden="false" customHeight="false" outlineLevel="0" collapsed="false">
      <c r="A61" s="21" t="s">
        <v>189</v>
      </c>
      <c r="B61" s="21" t="s">
        <v>191</v>
      </c>
      <c r="C61" s="21" t="s">
        <v>199</v>
      </c>
      <c r="D61" s="37" t="n">
        <v>399</v>
      </c>
      <c r="E61" s="37" t="n">
        <v>377</v>
      </c>
      <c r="F61" s="63" t="n">
        <f aca="false">IF(E61="","",D61-E61)</f>
        <v>22</v>
      </c>
      <c r="G61" s="37" t="n">
        <v>206</v>
      </c>
      <c r="H61" s="37" t="n">
        <v>190</v>
      </c>
      <c r="I61" s="63" t="n">
        <f aca="false">IF(H61="","",G61-H61)</f>
        <v>16</v>
      </c>
      <c r="J61" s="52" t="n">
        <f aca="false">IF(OR(D61="",D61+G61=0),"",D61/(D61+G61))</f>
        <v>0.659504132231405</v>
      </c>
      <c r="K61" s="52" t="n">
        <f aca="false">IF(E61="","",E61/(E61+H61))</f>
        <v>0.664902998236332</v>
      </c>
      <c r="L61" s="64" t="n">
        <f aca="false">IF(OR(K61="",J61=""),"",(J61-K61)*100)</f>
        <v>-0.539886600492667</v>
      </c>
      <c r="M61" s="21"/>
    </row>
    <row r="62" customFormat="false" ht="15" hidden="false" customHeight="false" outlineLevel="0" collapsed="false">
      <c r="A62" s="21" t="s">
        <v>189</v>
      </c>
      <c r="B62" s="21" t="s">
        <v>191</v>
      </c>
      <c r="C62" s="21" t="s">
        <v>200</v>
      </c>
      <c r="D62" s="37" t="n">
        <v>593</v>
      </c>
      <c r="E62" s="37" t="n">
        <v>619</v>
      </c>
      <c r="F62" s="63" t="n">
        <f aca="false">IF(E62="","",D62-E62)</f>
        <v>-26</v>
      </c>
      <c r="G62" s="37" t="n">
        <v>405</v>
      </c>
      <c r="H62" s="37" t="n">
        <v>400</v>
      </c>
      <c r="I62" s="63" t="n">
        <f aca="false">IF(H62="","",G62-H62)</f>
        <v>5</v>
      </c>
      <c r="J62" s="52" t="n">
        <f aca="false">IF(OR(D62="",D62+G62=0),"",D62/(D62+G62))</f>
        <v>0.594188376753507</v>
      </c>
      <c r="K62" s="52" t="n">
        <f aca="false">IF(E62="","",E62/(E62+H62))</f>
        <v>0.607458292443572</v>
      </c>
      <c r="L62" s="64" t="n">
        <f aca="false">IF(OR(K62="",J62=""),"",(J62-K62)*100)</f>
        <v>-1.32699156900651</v>
      </c>
      <c r="M62" s="21"/>
    </row>
    <row r="63" customFormat="false" ht="15" hidden="false" customHeight="false" outlineLevel="0" collapsed="false">
      <c r="A63" s="21" t="s">
        <v>189</v>
      </c>
      <c r="B63" s="21" t="s">
        <v>191</v>
      </c>
      <c r="C63" s="21" t="s">
        <v>201</v>
      </c>
      <c r="D63" s="37" t="n">
        <v>427</v>
      </c>
      <c r="E63" s="37" t="n">
        <v>438</v>
      </c>
      <c r="F63" s="63" t="n">
        <f aca="false">IF(E63="","",D63-E63)</f>
        <v>-11</v>
      </c>
      <c r="G63" s="37" t="n">
        <v>289</v>
      </c>
      <c r="H63" s="37" t="n">
        <v>259</v>
      </c>
      <c r="I63" s="63" t="n">
        <f aca="false">IF(H63="","",G63-H63)</f>
        <v>30</v>
      </c>
      <c r="J63" s="52" t="n">
        <f aca="false">IF(OR(D63="",D63+G63=0),"",D63/(D63+G63))</f>
        <v>0.596368715083799</v>
      </c>
      <c r="K63" s="52" t="n">
        <f aca="false">IF(E63="","",E63/(E63+H63))</f>
        <v>0.628407460545194</v>
      </c>
      <c r="L63" s="64" t="n">
        <f aca="false">IF(OR(K63="",J63=""),"",(J63-K63)*100)</f>
        <v>-3.20387454613948</v>
      </c>
      <c r="M63" s="21"/>
    </row>
    <row r="64" customFormat="false" ht="15" hidden="false" customHeight="false" outlineLevel="0" collapsed="false">
      <c r="A64" s="21" t="s">
        <v>189</v>
      </c>
      <c r="B64" s="21" t="s">
        <v>191</v>
      </c>
      <c r="C64" s="21" t="s">
        <v>202</v>
      </c>
      <c r="D64" s="37" t="n">
        <v>473</v>
      </c>
      <c r="E64" s="37" t="n">
        <v>428</v>
      </c>
      <c r="F64" s="63" t="n">
        <f aca="false">IF(E64="","",D64-E64)</f>
        <v>45</v>
      </c>
      <c r="G64" s="37" t="n">
        <v>187</v>
      </c>
      <c r="H64" s="37" t="n">
        <v>195</v>
      </c>
      <c r="I64" s="63" t="n">
        <f aca="false">IF(H64="","",G64-H64)</f>
        <v>-8</v>
      </c>
      <c r="J64" s="52" t="n">
        <f aca="false">IF(OR(D64="",D64+G64=0),"",D64/(D64+G64))</f>
        <v>0.716666666666667</v>
      </c>
      <c r="K64" s="52" t="n">
        <f aca="false">IF(E64="","",E64/(E64+H64))</f>
        <v>0.686998394863563</v>
      </c>
      <c r="L64" s="64" t="n">
        <f aca="false">IF(OR(K64="",J64=""),"",(J64-K64)*100)</f>
        <v>2.96682718031033</v>
      </c>
      <c r="M64" s="21"/>
    </row>
    <row r="65" customFormat="false" ht="15" hidden="false" customHeight="false" outlineLevel="0" collapsed="false">
      <c r="A65" s="21" t="s">
        <v>189</v>
      </c>
      <c r="B65" s="21" t="s">
        <v>191</v>
      </c>
      <c r="C65" s="21" t="s">
        <v>203</v>
      </c>
      <c r="D65" s="37" t="n">
        <v>548</v>
      </c>
      <c r="E65" s="37" t="n">
        <v>563</v>
      </c>
      <c r="F65" s="63" t="n">
        <f aca="false">IF(E65="","",D65-E65)</f>
        <v>-15</v>
      </c>
      <c r="G65" s="37" t="n">
        <v>299</v>
      </c>
      <c r="H65" s="37" t="n">
        <v>322</v>
      </c>
      <c r="I65" s="63" t="n">
        <f aca="false">IF(H65="","",G65-H65)</f>
        <v>-23</v>
      </c>
      <c r="J65" s="52" t="n">
        <f aca="false">IF(OR(D65="",D65+G65=0),"",D65/(D65+G65))</f>
        <v>0.646989374262102</v>
      </c>
      <c r="K65" s="52" t="n">
        <f aca="false">IF(E65="","",E65/(E65+H65))</f>
        <v>0.636158192090396</v>
      </c>
      <c r="L65" s="64" t="n">
        <f aca="false">IF(OR(K65="",J65=""),"",(J65-K65)*100)</f>
        <v>1.08311821717061</v>
      </c>
      <c r="M65" s="21"/>
    </row>
    <row r="66" customFormat="false" ht="15" hidden="false" customHeight="false" outlineLevel="0" collapsed="false">
      <c r="A66" s="21" t="s">
        <v>189</v>
      </c>
      <c r="B66" s="21" t="s">
        <v>191</v>
      </c>
      <c r="C66" s="21" t="s">
        <v>204</v>
      </c>
      <c r="D66" s="37" t="n">
        <v>462</v>
      </c>
      <c r="E66" s="37" t="n">
        <v>472</v>
      </c>
      <c r="F66" s="63" t="n">
        <f aca="false">IF(E66="","",D66-E66)</f>
        <v>-10</v>
      </c>
      <c r="G66" s="37" t="n">
        <v>306</v>
      </c>
      <c r="H66" s="37" t="n">
        <v>273</v>
      </c>
      <c r="I66" s="63" t="n">
        <f aca="false">IF(H66="","",G66-H66)</f>
        <v>33</v>
      </c>
      <c r="J66" s="52" t="n">
        <f aca="false">IF(OR(D66="",D66+G66=0),"",D66/(D66+G66))</f>
        <v>0.6015625</v>
      </c>
      <c r="K66" s="52" t="n">
        <f aca="false">IF(E66="","",E66/(E66+H66))</f>
        <v>0.633557046979866</v>
      </c>
      <c r="L66" s="64" t="n">
        <f aca="false">IF(OR(K66="",J66=""),"",(J66-K66)*100)</f>
        <v>-3.19945469798658</v>
      </c>
      <c r="M66" s="21"/>
    </row>
    <row r="67" customFormat="false" ht="15" hidden="false" customHeight="false" outlineLevel="0" collapsed="false">
      <c r="A67" s="21" t="s">
        <v>189</v>
      </c>
      <c r="B67" s="21" t="s">
        <v>191</v>
      </c>
      <c r="C67" s="21" t="s">
        <v>205</v>
      </c>
      <c r="D67" s="37" t="n">
        <v>424</v>
      </c>
      <c r="E67" s="37" t="n">
        <v>426</v>
      </c>
      <c r="F67" s="63" t="n">
        <f aca="false">IF(E67="","",D67-E67)</f>
        <v>-2</v>
      </c>
      <c r="G67" s="37" t="n">
        <v>334</v>
      </c>
      <c r="H67" s="37" t="n">
        <v>331</v>
      </c>
      <c r="I67" s="63" t="n">
        <f aca="false">IF(H67="","",G67-H67)</f>
        <v>3</v>
      </c>
      <c r="J67" s="52" t="n">
        <f aca="false">IF(OR(D67="",D67+G67=0),"",D67/(D67+G67))</f>
        <v>0.559366754617414</v>
      </c>
      <c r="K67" s="52" t="n">
        <f aca="false">IF(E67="","",E67/(E67+H67))</f>
        <v>0.562747688243065</v>
      </c>
      <c r="L67" s="64" t="n">
        <f aca="false">IF(OR(K67="",J67=""),"",(J67-K67)*100)</f>
        <v>-0.338093362565051</v>
      </c>
      <c r="M67" s="21"/>
    </row>
    <row r="68" customFormat="false" ht="15" hidden="false" customHeight="false" outlineLevel="0" collapsed="false">
      <c r="A68" s="21" t="s">
        <v>189</v>
      </c>
      <c r="B68" s="21" t="s">
        <v>191</v>
      </c>
      <c r="C68" s="21" t="s">
        <v>206</v>
      </c>
      <c r="D68" s="37" t="n">
        <v>441</v>
      </c>
      <c r="E68" s="37" t="n">
        <v>418</v>
      </c>
      <c r="F68" s="63" t="n">
        <f aca="false">IF(E68="","",D68-E68)</f>
        <v>23</v>
      </c>
      <c r="G68" s="37" t="n">
        <v>276</v>
      </c>
      <c r="H68" s="37" t="n">
        <v>278</v>
      </c>
      <c r="I68" s="63" t="n">
        <f aca="false">IF(H68="","",G68-H68)</f>
        <v>-2</v>
      </c>
      <c r="J68" s="52" t="n">
        <f aca="false">IF(OR(D68="",D68+G68=0),"",D68/(D68+G68))</f>
        <v>0.615062761506276</v>
      </c>
      <c r="K68" s="52" t="n">
        <f aca="false">IF(E68="","",E68/(E68+H68))</f>
        <v>0.600574712643678</v>
      </c>
      <c r="L68" s="64" t="n">
        <f aca="false">IF(OR(K68="",J68=""),"",(J68-K68)*100)</f>
        <v>1.4488048862598</v>
      </c>
      <c r="M68" s="21"/>
    </row>
    <row r="69" customFormat="false" ht="15" hidden="false" customHeight="false" outlineLevel="0" collapsed="false">
      <c r="A69" s="21" t="s">
        <v>189</v>
      </c>
      <c r="B69" s="21" t="s">
        <v>191</v>
      </c>
      <c r="C69" s="21" t="s">
        <v>207</v>
      </c>
      <c r="D69" s="37" t="n">
        <v>460</v>
      </c>
      <c r="E69" s="37" t="n">
        <v>424</v>
      </c>
      <c r="F69" s="63" t="n">
        <f aca="false">IF(E69="","",D69-E69)</f>
        <v>36</v>
      </c>
      <c r="G69" s="37" t="n">
        <v>168</v>
      </c>
      <c r="H69" s="37" t="n">
        <v>188</v>
      </c>
      <c r="I69" s="63" t="n">
        <f aca="false">IF(H69="","",G69-H69)</f>
        <v>-20</v>
      </c>
      <c r="J69" s="52" t="n">
        <f aca="false">IF(OR(D69="",D69+G69=0),"",D69/(D69+G69))</f>
        <v>0.732484076433121</v>
      </c>
      <c r="K69" s="52" t="n">
        <f aca="false">IF(E69="","",E69/(E69+H69))</f>
        <v>0.69281045751634</v>
      </c>
      <c r="L69" s="64" t="n">
        <f aca="false">IF(OR(K69="",J69=""),"",(J69-K69)*100)</f>
        <v>3.96736189167811</v>
      </c>
      <c r="M69" s="21"/>
    </row>
    <row r="70" customFormat="false" ht="15" hidden="false" customHeight="false" outlineLevel="0" collapsed="false">
      <c r="A70" s="21" t="s">
        <v>189</v>
      </c>
      <c r="B70" s="21" t="s">
        <v>191</v>
      </c>
      <c r="C70" s="21" t="s">
        <v>208</v>
      </c>
      <c r="D70" s="37" t="n">
        <v>375</v>
      </c>
      <c r="E70" s="37" t="n">
        <v>330</v>
      </c>
      <c r="F70" s="63" t="n">
        <f aca="false">IF(E70="","",D70-E70)</f>
        <v>45</v>
      </c>
      <c r="G70" s="37" t="n">
        <v>168</v>
      </c>
      <c r="H70" s="37" t="n">
        <v>195</v>
      </c>
      <c r="I70" s="63" t="n">
        <f aca="false">IF(H70="","",G70-H70)</f>
        <v>-27</v>
      </c>
      <c r="J70" s="52" t="n">
        <f aca="false">IF(OR(D70="",D70+G70=0),"",D70/(D70+G70))</f>
        <v>0.69060773480663</v>
      </c>
      <c r="K70" s="52" t="n">
        <f aca="false">IF(E70="","",E70/(E70+H70))</f>
        <v>0.628571428571429</v>
      </c>
      <c r="L70" s="64" t="n">
        <f aca="false">IF(OR(K70="",J70=""),"",(J70-K70)*100)</f>
        <v>6.20363062352013</v>
      </c>
      <c r="M70" s="21"/>
    </row>
    <row r="71" customFormat="false" ht="15" hidden="false" customHeight="false" outlineLevel="0" collapsed="false">
      <c r="A71" s="21" t="s">
        <v>189</v>
      </c>
      <c r="B71" s="21" t="s">
        <v>191</v>
      </c>
      <c r="C71" s="21" t="s">
        <v>209</v>
      </c>
      <c r="D71" s="37" t="n">
        <v>456</v>
      </c>
      <c r="E71" s="37" t="n">
        <v>441</v>
      </c>
      <c r="F71" s="63" t="n">
        <f aca="false">IF(E71="","",D71-E71)</f>
        <v>15</v>
      </c>
      <c r="G71" s="37" t="n">
        <v>234</v>
      </c>
      <c r="H71" s="37" t="n">
        <v>232</v>
      </c>
      <c r="I71" s="63" t="n">
        <f aca="false">IF(H71="","",G71-H71)</f>
        <v>2</v>
      </c>
      <c r="J71" s="52" t="n">
        <f aca="false">IF(OR(D71="",D71+G71=0),"",D71/(D71+G71))</f>
        <v>0.660869565217391</v>
      </c>
      <c r="K71" s="52" t="n">
        <f aca="false">IF(E71="","",E71/(E71+H71))</f>
        <v>0.655274888558692</v>
      </c>
      <c r="L71" s="64" t="n">
        <f aca="false">IF(OR(K71="",J71=""),"",(J71-K71)*100)</f>
        <v>0.559467665869884</v>
      </c>
      <c r="M71" s="21"/>
    </row>
    <row r="72" customFormat="false" ht="15" hidden="false" customHeight="false" outlineLevel="0" collapsed="false">
      <c r="A72" s="21" t="s">
        <v>189</v>
      </c>
      <c r="B72" s="21" t="s">
        <v>191</v>
      </c>
      <c r="C72" s="21" t="s">
        <v>210</v>
      </c>
      <c r="D72" s="37" t="n">
        <v>317</v>
      </c>
      <c r="E72" s="37" t="n">
        <v>313</v>
      </c>
      <c r="F72" s="63" t="n">
        <f aca="false">IF(E72="","",D72-E72)</f>
        <v>4</v>
      </c>
      <c r="G72" s="37" t="n">
        <v>141</v>
      </c>
      <c r="H72" s="37" t="n">
        <v>155</v>
      </c>
      <c r="I72" s="63" t="n">
        <f aca="false">IF(H72="","",G72-H72)</f>
        <v>-14</v>
      </c>
      <c r="J72" s="52" t="n">
        <f aca="false">IF(OR(D72="",D72+G72=0),"",D72/(D72+G72))</f>
        <v>0.692139737991266</v>
      </c>
      <c r="K72" s="52" t="n">
        <f aca="false">IF(E72="","",E72/(E72+H72))</f>
        <v>0.668803418803419</v>
      </c>
      <c r="L72" s="64" t="n">
        <f aca="false">IF(OR(K72="",J72=""),"",(J72-K72)*100)</f>
        <v>2.33363191878476</v>
      </c>
      <c r="M72" s="21"/>
    </row>
    <row r="73" customFormat="false" ht="15" hidden="false" customHeight="false" outlineLevel="0" collapsed="false">
      <c r="A73" s="21" t="s">
        <v>189</v>
      </c>
      <c r="B73" s="21" t="s">
        <v>191</v>
      </c>
      <c r="C73" s="21" t="s">
        <v>211</v>
      </c>
      <c r="D73" s="37" t="n">
        <v>675</v>
      </c>
      <c r="E73" s="37" t="n">
        <v>658</v>
      </c>
      <c r="F73" s="63" t="n">
        <f aca="false">IF(E73="","",D73-E73)</f>
        <v>17</v>
      </c>
      <c r="G73" s="37" t="n">
        <v>395</v>
      </c>
      <c r="H73" s="37" t="n">
        <v>375</v>
      </c>
      <c r="I73" s="63" t="n">
        <f aca="false">IF(H73="","",G73-H73)</f>
        <v>20</v>
      </c>
      <c r="J73" s="52" t="n">
        <f aca="false">IF(OR(D73="",D73+G73=0),"",D73/(D73+G73))</f>
        <v>0.630841121495327</v>
      </c>
      <c r="K73" s="52" t="n">
        <f aca="false">IF(E73="","",E73/(E73+H73))</f>
        <v>0.636979670861568</v>
      </c>
      <c r="L73" s="64" t="n">
        <f aca="false">IF(OR(K73="",J73=""),"",(J73-K73)*100)</f>
        <v>-0.613854936624114</v>
      </c>
      <c r="M73" s="21"/>
    </row>
    <row r="74" customFormat="false" ht="15" hidden="false" customHeight="false" outlineLevel="0" collapsed="false">
      <c r="A74" s="21" t="s">
        <v>189</v>
      </c>
      <c r="B74" s="21" t="s">
        <v>191</v>
      </c>
      <c r="C74" s="21" t="s">
        <v>212</v>
      </c>
      <c r="D74" s="37" t="n">
        <v>790</v>
      </c>
      <c r="E74" s="37" t="n">
        <v>693</v>
      </c>
      <c r="F74" s="63" t="n">
        <f aca="false">IF(E74="","",D74-E74)</f>
        <v>97</v>
      </c>
      <c r="G74" s="37" t="n">
        <v>360</v>
      </c>
      <c r="H74" s="37" t="n">
        <v>389</v>
      </c>
      <c r="I74" s="63" t="n">
        <f aca="false">IF(H74="","",G74-H74)</f>
        <v>-29</v>
      </c>
      <c r="J74" s="52" t="n">
        <f aca="false">IF(OR(D74="",D74+G74=0),"",D74/(D74+G74))</f>
        <v>0.686956521739131</v>
      </c>
      <c r="K74" s="52" t="n">
        <f aca="false">IF(E74="","",E74/(E74+H74))</f>
        <v>0.640480591497227</v>
      </c>
      <c r="L74" s="64" t="n">
        <f aca="false">IF(OR(K74="",J74=""),"",(J74-K74)*100)</f>
        <v>4.64759302419031</v>
      </c>
      <c r="M74" s="21"/>
    </row>
    <row r="75" customFormat="false" ht="15" hidden="false" customHeight="false" outlineLevel="0" collapsed="false">
      <c r="A75" s="21" t="s">
        <v>189</v>
      </c>
      <c r="B75" s="21" t="s">
        <v>191</v>
      </c>
      <c r="C75" s="21" t="s">
        <v>213</v>
      </c>
      <c r="D75" s="37" t="n">
        <v>488</v>
      </c>
      <c r="E75" s="37" t="n">
        <v>446</v>
      </c>
      <c r="F75" s="63" t="n">
        <f aca="false">IF(E75="","",D75-E75)</f>
        <v>42</v>
      </c>
      <c r="G75" s="37" t="n">
        <v>345</v>
      </c>
      <c r="H75" s="37" t="n">
        <v>382</v>
      </c>
      <c r="I75" s="63" t="n">
        <f aca="false">IF(H75="","",G75-H75)</f>
        <v>-37</v>
      </c>
      <c r="J75" s="52" t="n">
        <f aca="false">IF(OR(D75="",D75+G75=0),"",D75/(D75+G75))</f>
        <v>0.585834333733493</v>
      </c>
      <c r="K75" s="52" t="n">
        <f aca="false">IF(E75="","",E75/(E75+H75))</f>
        <v>0.538647342995169</v>
      </c>
      <c r="L75" s="64" t="n">
        <f aca="false">IF(OR(K75="",J75=""),"",(J75-K75)*100)</f>
        <v>4.71869907383243</v>
      </c>
      <c r="M75" s="21"/>
    </row>
    <row r="76" customFormat="false" ht="15" hidden="false" customHeight="false" outlineLevel="0" collapsed="false">
      <c r="A76" s="21" t="s">
        <v>189</v>
      </c>
      <c r="B76" s="21" t="s">
        <v>191</v>
      </c>
      <c r="C76" s="21" t="s">
        <v>214</v>
      </c>
      <c r="D76" s="37" t="n">
        <v>627</v>
      </c>
      <c r="E76" s="37" t="n">
        <v>627</v>
      </c>
      <c r="F76" s="63" t="n">
        <f aca="false">IF(E76="","",D76-E76)</f>
        <v>0</v>
      </c>
      <c r="G76" s="37" t="n">
        <v>383</v>
      </c>
      <c r="H76" s="37" t="n">
        <v>389</v>
      </c>
      <c r="I76" s="63" t="n">
        <f aca="false">IF(H76="","",G76-H76)</f>
        <v>-6</v>
      </c>
      <c r="J76" s="52" t="n">
        <f aca="false">IF(OR(D76="",D76+G76=0),"",D76/(D76+G76))</f>
        <v>0.620792079207921</v>
      </c>
      <c r="K76" s="52" t="n">
        <f aca="false">IF(E76="","",E76/(E76+H76))</f>
        <v>0.617125984251969</v>
      </c>
      <c r="L76" s="64" t="n">
        <f aca="false">IF(OR(K76="",J76=""),"",(J76-K76)*100)</f>
        <v>0.366609495595227</v>
      </c>
      <c r="M76" s="21"/>
    </row>
    <row r="77" customFormat="false" ht="15" hidden="false" customHeight="false" outlineLevel="0" collapsed="false">
      <c r="A77" s="21" t="s">
        <v>189</v>
      </c>
      <c r="B77" s="21" t="s">
        <v>191</v>
      </c>
      <c r="C77" s="21" t="s">
        <v>215</v>
      </c>
      <c r="D77" s="37" t="n">
        <v>638</v>
      </c>
      <c r="E77" s="37" t="n">
        <v>645</v>
      </c>
      <c r="F77" s="63" t="n">
        <f aca="false">IF(E77="","",D77-E77)</f>
        <v>-7</v>
      </c>
      <c r="G77" s="37" t="n">
        <v>393</v>
      </c>
      <c r="H77" s="37" t="n">
        <v>418</v>
      </c>
      <c r="I77" s="63" t="n">
        <f aca="false">IF(H77="","",G77-H77)</f>
        <v>-25</v>
      </c>
      <c r="J77" s="52" t="n">
        <f aca="false">IF(OR(D77="",D77+G77=0),"",D77/(D77+G77))</f>
        <v>0.618816682832202</v>
      </c>
      <c r="K77" s="52" t="n">
        <f aca="false">IF(E77="","",E77/(E77+H77))</f>
        <v>0.606773283160865</v>
      </c>
      <c r="L77" s="64" t="n">
        <f aca="false">IF(OR(K77="",J77=""),"",(J77-K77)*100)</f>
        <v>1.20433996713363</v>
      </c>
      <c r="M77" s="21"/>
    </row>
    <row r="78" customFormat="false" ht="15" hidden="false" customHeight="false" outlineLevel="0" collapsed="false">
      <c r="A78" s="21" t="s">
        <v>189</v>
      </c>
      <c r="B78" s="21" t="s">
        <v>191</v>
      </c>
      <c r="C78" s="21" t="s">
        <v>216</v>
      </c>
      <c r="D78" s="37" t="n">
        <v>496</v>
      </c>
      <c r="E78" s="37" t="n">
        <v>452</v>
      </c>
      <c r="F78" s="63" t="n">
        <f aca="false">IF(E78="","",D78-E78)</f>
        <v>44</v>
      </c>
      <c r="G78" s="37" t="n">
        <v>314</v>
      </c>
      <c r="H78" s="37" t="n">
        <v>341</v>
      </c>
      <c r="I78" s="63" t="n">
        <f aca="false">IF(H78="","",G78-H78)</f>
        <v>-27</v>
      </c>
      <c r="J78" s="52" t="n">
        <f aca="false">IF(OR(D78="",D78+G78=0),"",D78/(D78+G78))</f>
        <v>0.612345679012346</v>
      </c>
      <c r="K78" s="52" t="n">
        <f aca="false">IF(E78="","",E78/(E78+H78))</f>
        <v>0.569987389659521</v>
      </c>
      <c r="L78" s="64" t="n">
        <f aca="false">IF(OR(K78="",J78=""),"",(J78-K78)*100)</f>
        <v>4.23582893528249</v>
      </c>
      <c r="M78" s="21"/>
    </row>
    <row r="79" customFormat="false" ht="15" hidden="false" customHeight="false" outlineLevel="0" collapsed="false">
      <c r="A79" s="21" t="s">
        <v>189</v>
      </c>
      <c r="B79" s="21" t="s">
        <v>191</v>
      </c>
      <c r="C79" s="21" t="s">
        <v>217</v>
      </c>
      <c r="D79" s="37" t="n">
        <v>562</v>
      </c>
      <c r="E79" s="37" t="n">
        <v>541</v>
      </c>
      <c r="F79" s="63" t="n">
        <f aca="false">IF(E79="","",D79-E79)</f>
        <v>21</v>
      </c>
      <c r="G79" s="37" t="n">
        <v>347</v>
      </c>
      <c r="H79" s="37" t="n">
        <v>325</v>
      </c>
      <c r="I79" s="63" t="n">
        <f aca="false">IF(H79="","",G79-H79)</f>
        <v>22</v>
      </c>
      <c r="J79" s="52" t="n">
        <f aca="false">IF(OR(D79="",D79+G79=0),"",D79/(D79+G79))</f>
        <v>0.618261826182618</v>
      </c>
      <c r="K79" s="52" t="n">
        <f aca="false">IF(E79="","",E79/(E79+H79))</f>
        <v>0.624711316397229</v>
      </c>
      <c r="L79" s="64" t="n">
        <f aca="false">IF(OR(K79="",J79=""),"",(J79-K79)*100)</f>
        <v>-0.644949021461039</v>
      </c>
      <c r="M79" s="21"/>
    </row>
    <row r="80" customFormat="false" ht="15" hidden="false" customHeight="false" outlineLevel="0" collapsed="false">
      <c r="A80" s="21" t="s">
        <v>189</v>
      </c>
      <c r="B80" s="21" t="s">
        <v>191</v>
      </c>
      <c r="C80" s="21" t="s">
        <v>218</v>
      </c>
      <c r="D80" s="37" t="n">
        <v>797</v>
      </c>
      <c r="E80" s="37" t="n">
        <v>783</v>
      </c>
      <c r="F80" s="63" t="n">
        <f aca="false">IF(E80="","",D80-E80)</f>
        <v>14</v>
      </c>
      <c r="G80" s="37" t="n">
        <v>536</v>
      </c>
      <c r="H80" s="37" t="n">
        <v>562</v>
      </c>
      <c r="I80" s="63" t="n">
        <f aca="false">IF(H80="","",G80-H80)</f>
        <v>-26</v>
      </c>
      <c r="J80" s="52" t="n">
        <f aca="false">IF(OR(D80="",D80+G80=0),"",D80/(D80+G80))</f>
        <v>0.597899474868717</v>
      </c>
      <c r="K80" s="52" t="n">
        <f aca="false">IF(E80="","",E80/(E80+H80))</f>
        <v>0.582156133828996</v>
      </c>
      <c r="L80" s="64" t="n">
        <f aca="false">IF(OR(K80="",J80=""),"",(J80-K80)*100)</f>
        <v>1.57433410397209</v>
      </c>
      <c r="M80" s="21"/>
    </row>
    <row r="81" customFormat="false" ht="15" hidden="false" customHeight="false" outlineLevel="0" collapsed="false">
      <c r="A81" s="21" t="s">
        <v>189</v>
      </c>
      <c r="B81" s="21" t="s">
        <v>191</v>
      </c>
      <c r="C81" s="21" t="s">
        <v>219</v>
      </c>
      <c r="D81" s="37" t="n">
        <v>474</v>
      </c>
      <c r="E81" s="37" t="n">
        <v>454</v>
      </c>
      <c r="F81" s="63" t="n">
        <f aca="false">IF(E81="","",D81-E81)</f>
        <v>20</v>
      </c>
      <c r="G81" s="37" t="n">
        <v>225</v>
      </c>
      <c r="H81" s="37" t="n">
        <v>218</v>
      </c>
      <c r="I81" s="63" t="n">
        <f aca="false">IF(H81="","",G81-H81)</f>
        <v>7</v>
      </c>
      <c r="J81" s="52" t="n">
        <f aca="false">IF(OR(D81="",D81+G81=0),"",D81/(D81+G81))</f>
        <v>0.678111587982833</v>
      </c>
      <c r="K81" s="52" t="n">
        <f aca="false">IF(E81="","",E81/(E81+H81))</f>
        <v>0.675595238095238</v>
      </c>
      <c r="L81" s="64" t="n">
        <f aca="false">IF(OR(K81="",J81=""),"",(J81-K81)*100)</f>
        <v>0.251634988759453</v>
      </c>
      <c r="M81" s="21"/>
    </row>
    <row r="82" customFormat="false" ht="15" hidden="false" customHeight="false" outlineLevel="0" collapsed="false">
      <c r="A82" s="21" t="s">
        <v>189</v>
      </c>
      <c r="B82" s="21" t="s">
        <v>191</v>
      </c>
      <c r="C82" s="21" t="s">
        <v>220</v>
      </c>
      <c r="D82" s="37" t="n">
        <v>482</v>
      </c>
      <c r="E82" s="37" t="n">
        <v>502</v>
      </c>
      <c r="F82" s="63" t="n">
        <f aca="false">IF(E82="","",D82-E82)</f>
        <v>-20</v>
      </c>
      <c r="G82" s="37" t="n">
        <v>289</v>
      </c>
      <c r="H82" s="37" t="n">
        <v>274</v>
      </c>
      <c r="I82" s="63" t="n">
        <f aca="false">IF(H82="","",G82-H82)</f>
        <v>15</v>
      </c>
      <c r="J82" s="52" t="n">
        <f aca="false">IF(OR(D82="",D82+G82=0),"",D82/(D82+G82))</f>
        <v>0.625162127107652</v>
      </c>
      <c r="K82" s="52" t="n">
        <f aca="false">IF(E82="","",E82/(E82+H82))</f>
        <v>0.646907216494845</v>
      </c>
      <c r="L82" s="64" t="n">
        <f aca="false">IF(OR(K82="",J82=""),"",(J82-K82)*100)</f>
        <v>-2.1745089387193</v>
      </c>
      <c r="M82" s="21"/>
    </row>
    <row r="83" customFormat="false" ht="15" hidden="false" customHeight="false" outlineLevel="0" collapsed="false">
      <c r="A83" s="21" t="s">
        <v>189</v>
      </c>
      <c r="B83" s="21" t="s">
        <v>191</v>
      </c>
      <c r="C83" s="21" t="s">
        <v>221</v>
      </c>
      <c r="D83" s="37" t="n">
        <v>491</v>
      </c>
      <c r="E83" s="37" t="n">
        <v>502</v>
      </c>
      <c r="F83" s="63" t="n">
        <f aca="false">IF(E83="","",D83-E83)</f>
        <v>-11</v>
      </c>
      <c r="G83" s="37" t="n">
        <v>312</v>
      </c>
      <c r="H83" s="37" t="n">
        <v>283</v>
      </c>
      <c r="I83" s="63" t="n">
        <f aca="false">IF(H83="","",G83-H83)</f>
        <v>29</v>
      </c>
      <c r="J83" s="52" t="n">
        <f aca="false">IF(OR(D83="",D83+G83=0),"",D83/(D83+G83))</f>
        <v>0.61145703611457</v>
      </c>
      <c r="K83" s="52" t="n">
        <f aca="false">IF(E83="","",E83/(E83+H83))</f>
        <v>0.639490445859873</v>
      </c>
      <c r="L83" s="64" t="n">
        <f aca="false">IF(OR(K83="",J83=""),"",(J83-K83)*100)</f>
        <v>-2.80334097453022</v>
      </c>
      <c r="M83" s="21"/>
    </row>
    <row r="84" customFormat="false" ht="15" hidden="false" customHeight="false" outlineLevel="0" collapsed="false">
      <c r="A84" s="21" t="s">
        <v>189</v>
      </c>
      <c r="B84" s="21" t="s">
        <v>191</v>
      </c>
      <c r="C84" s="21" t="s">
        <v>222</v>
      </c>
      <c r="D84" s="37" t="n">
        <v>347</v>
      </c>
      <c r="E84" s="37"/>
      <c r="F84" s="63" t="str">
        <f aca="false">IF(E84="","",D84-E84)</f>
        <v/>
      </c>
      <c r="G84" s="37" t="n">
        <v>256</v>
      </c>
      <c r="H84" s="37"/>
      <c r="I84" s="63" t="str">
        <f aca="false">IF(H84="","",G84-H84)</f>
        <v/>
      </c>
      <c r="J84" s="52" t="n">
        <f aca="false">IF(OR(D84="",D84+G84=0),"",D84/(D84+G84))</f>
        <v>0.575456053067993</v>
      </c>
      <c r="K84" s="52" t="str">
        <f aca="false">IF(E84="","",E84/(E84+H84))</f>
        <v/>
      </c>
      <c r="L84" s="64" t="str">
        <f aca="false">IF(OR(K84="",J84=""),"",(J84-K84)*100)</f>
        <v/>
      </c>
      <c r="M84" s="21" t="s">
        <v>685</v>
      </c>
    </row>
    <row r="85" customFormat="false" ht="15" hidden="false" customHeight="false" outlineLevel="0" collapsed="false">
      <c r="A85" s="21" t="s">
        <v>189</v>
      </c>
      <c r="B85" s="21" t="s">
        <v>191</v>
      </c>
      <c r="C85" s="21" t="s">
        <v>224</v>
      </c>
      <c r="D85" s="37" t="n">
        <v>941</v>
      </c>
      <c r="E85" s="37"/>
      <c r="F85" s="63" t="str">
        <f aca="false">IF(E85="","",D85-E85)</f>
        <v/>
      </c>
      <c r="G85" s="37" t="n">
        <v>718</v>
      </c>
      <c r="H85" s="37"/>
      <c r="I85" s="63" t="str">
        <f aca="false">IF(H85="","",G85-H85)</f>
        <v/>
      </c>
      <c r="J85" s="52" t="n">
        <f aca="false">IF(OR(D85="",D85+G85=0),"",D85/(D85+G85))</f>
        <v>0.567209162145871</v>
      </c>
      <c r="K85" s="52" t="str">
        <f aca="false">IF(E85="","",E85/(E85+H85))</f>
        <v/>
      </c>
      <c r="L85" s="64" t="str">
        <f aca="false">IF(OR(K85="",J85=""),"",(J85-K85)*100)</f>
        <v/>
      </c>
      <c r="M85" s="21" t="s">
        <v>685</v>
      </c>
    </row>
    <row r="86" customFormat="false" ht="15" hidden="false" customHeight="false" outlineLevel="0" collapsed="false">
      <c r="A86" s="21" t="s">
        <v>189</v>
      </c>
      <c r="B86" s="21" t="s">
        <v>191</v>
      </c>
      <c r="C86" s="21" t="s">
        <v>226</v>
      </c>
      <c r="D86" s="37" t="n">
        <v>502</v>
      </c>
      <c r="E86" s="37" t="n">
        <v>488</v>
      </c>
      <c r="F86" s="63" t="n">
        <f aca="false">IF(E86="","",D86-E86)</f>
        <v>14</v>
      </c>
      <c r="G86" s="37" t="n">
        <v>248</v>
      </c>
      <c r="H86" s="37" t="n">
        <v>252</v>
      </c>
      <c r="I86" s="63" t="n">
        <f aca="false">IF(H86="","",G86-H86)</f>
        <v>-4</v>
      </c>
      <c r="J86" s="52" t="n">
        <f aca="false">IF(OR(D86="",D86+G86=0),"",D86/(D86+G86))</f>
        <v>0.669333333333333</v>
      </c>
      <c r="K86" s="52" t="n">
        <f aca="false">IF(E86="","",E86/(E86+H86))</f>
        <v>0.65945945945946</v>
      </c>
      <c r="L86" s="64" t="n">
        <f aca="false">IF(OR(K86="",J86=""),"",(J86-K86)*100)</f>
        <v>0.987387387387384</v>
      </c>
      <c r="M86" s="21"/>
    </row>
    <row r="87" customFormat="false" ht="15" hidden="false" customHeight="false" outlineLevel="0" collapsed="false">
      <c r="A87" s="21" t="s">
        <v>189</v>
      </c>
      <c r="B87" s="21" t="s">
        <v>191</v>
      </c>
      <c r="C87" s="21" t="s">
        <v>227</v>
      </c>
      <c r="D87" s="37" t="n">
        <v>619</v>
      </c>
      <c r="E87" s="37" t="n">
        <v>601</v>
      </c>
      <c r="F87" s="63" t="n">
        <f aca="false">IF(E87="","",D87-E87)</f>
        <v>18</v>
      </c>
      <c r="G87" s="37" t="n">
        <v>411</v>
      </c>
      <c r="H87" s="37" t="n">
        <v>394</v>
      </c>
      <c r="I87" s="63" t="n">
        <f aca="false">IF(H87="","",G87-H87)</f>
        <v>17</v>
      </c>
      <c r="J87" s="52" t="n">
        <f aca="false">IF(OR(D87="",D87+G87=0),"",D87/(D87+G87))</f>
        <v>0.600970873786408</v>
      </c>
      <c r="K87" s="52" t="n">
        <f aca="false">IF(E87="","",E87/(E87+H87))</f>
        <v>0.604020100502513</v>
      </c>
      <c r="L87" s="64" t="n">
        <f aca="false">IF(OR(K87="",J87=""),"",(J87-K87)*100)</f>
        <v>-0.304922671610475</v>
      </c>
      <c r="M87" s="21"/>
    </row>
    <row r="88" customFormat="false" ht="15" hidden="false" customHeight="false" outlineLevel="0" collapsed="false">
      <c r="A88" s="21" t="s">
        <v>189</v>
      </c>
      <c r="B88" s="21" t="s">
        <v>191</v>
      </c>
      <c r="C88" s="21" t="s">
        <v>228</v>
      </c>
      <c r="D88" s="37" t="n">
        <v>17</v>
      </c>
      <c r="E88" s="37"/>
      <c r="F88" s="63" t="str">
        <f aca="false">IF(E88="","",D88-E88)</f>
        <v/>
      </c>
      <c r="G88" s="37" t="n">
        <v>16</v>
      </c>
      <c r="H88" s="37"/>
      <c r="I88" s="63" t="str">
        <f aca="false">IF(H88="","",G88-H88)</f>
        <v/>
      </c>
      <c r="J88" s="52" t="n">
        <f aca="false">IF(OR(D88="",D88+G88=0),"",D88/(D88+G88))</f>
        <v>0.515151515151515</v>
      </c>
      <c r="K88" s="52" t="str">
        <f aca="false">IF(E88="","",E88/(E88+H88))</f>
        <v/>
      </c>
      <c r="L88" s="64" t="str">
        <f aca="false">IF(OR(K88="",J88=""),"",(J88-K88)*100)</f>
        <v/>
      </c>
      <c r="M88" s="21" t="s">
        <v>685</v>
      </c>
    </row>
    <row r="89" customFormat="false" ht="15" hidden="false" customHeight="false" outlineLevel="0" collapsed="false">
      <c r="A89" s="21" t="s">
        <v>189</v>
      </c>
      <c r="B89" s="21" t="s">
        <v>191</v>
      </c>
      <c r="C89" s="21" t="s">
        <v>229</v>
      </c>
      <c r="D89" s="37" t="n">
        <v>342</v>
      </c>
      <c r="E89" s="37" t="n">
        <v>330</v>
      </c>
      <c r="F89" s="63" t="n">
        <f aca="false">IF(E89="","",D89-E89)</f>
        <v>12</v>
      </c>
      <c r="G89" s="37" t="n">
        <v>261</v>
      </c>
      <c r="H89" s="37" t="n">
        <v>270</v>
      </c>
      <c r="I89" s="63" t="n">
        <f aca="false">IF(H89="","",G89-H89)</f>
        <v>-9</v>
      </c>
      <c r="J89" s="52" t="n">
        <f aca="false">IF(OR(D89="",D89+G89=0),"",D89/(D89+G89))</f>
        <v>0.567164179104478</v>
      </c>
      <c r="K89" s="52" t="n">
        <f aca="false">IF(E89="","",E89/(E89+H89))</f>
        <v>0.55</v>
      </c>
      <c r="L89" s="64" t="n">
        <f aca="false">IF(OR(K89="",J89=""),"",(J89-K89)*100)</f>
        <v>1.71641791044775</v>
      </c>
      <c r="M89" s="21"/>
    </row>
    <row r="90" customFormat="false" ht="15" hidden="false" customHeight="false" outlineLevel="0" collapsed="false">
      <c r="A90" s="21" t="s">
        <v>189</v>
      </c>
      <c r="B90" s="21" t="s">
        <v>191</v>
      </c>
      <c r="C90" s="21" t="s">
        <v>230</v>
      </c>
      <c r="D90" s="37" t="n">
        <v>639</v>
      </c>
      <c r="E90" s="37" t="n">
        <v>591</v>
      </c>
      <c r="F90" s="63" t="n">
        <f aca="false">IF(E90="","",D90-E90)</f>
        <v>48</v>
      </c>
      <c r="G90" s="37" t="n">
        <v>292</v>
      </c>
      <c r="H90" s="37" t="n">
        <v>333</v>
      </c>
      <c r="I90" s="63" t="n">
        <f aca="false">IF(H90="","",G90-H90)</f>
        <v>-41</v>
      </c>
      <c r="J90" s="52" t="n">
        <f aca="false">IF(OR(D90="",D90+G90=0),"",D90/(D90+G90))</f>
        <v>0.686358754027927</v>
      </c>
      <c r="K90" s="52" t="n">
        <f aca="false">IF(E90="","",E90/(E90+H90))</f>
        <v>0.63961038961039</v>
      </c>
      <c r="L90" s="64" t="n">
        <f aca="false">IF(OR(K90="",J90=""),"",(J90-K90)*100)</f>
        <v>4.67483644175374</v>
      </c>
      <c r="M90" s="21"/>
    </row>
    <row r="91" customFormat="false" ht="15" hidden="false" customHeight="false" outlineLevel="0" collapsed="false">
      <c r="A91" s="21" t="s">
        <v>189</v>
      </c>
      <c r="B91" s="21" t="s">
        <v>191</v>
      </c>
      <c r="C91" s="21" t="s">
        <v>231</v>
      </c>
      <c r="D91" s="37" t="n">
        <v>341</v>
      </c>
      <c r="E91" s="37" t="n">
        <v>347</v>
      </c>
      <c r="F91" s="63" t="n">
        <f aca="false">IF(E91="","",D91-E91)</f>
        <v>-6</v>
      </c>
      <c r="G91" s="37" t="n">
        <v>251</v>
      </c>
      <c r="H91" s="37" t="n">
        <v>243</v>
      </c>
      <c r="I91" s="63" t="n">
        <f aca="false">IF(H91="","",G91-H91)</f>
        <v>8</v>
      </c>
      <c r="J91" s="52" t="n">
        <f aca="false">IF(OR(D91="",D91+G91=0),"",D91/(D91+G91))</f>
        <v>0.576013513513514</v>
      </c>
      <c r="K91" s="52" t="n">
        <f aca="false">IF(E91="","",E91/(E91+H91))</f>
        <v>0.588135593220339</v>
      </c>
      <c r="L91" s="64" t="n">
        <f aca="false">IF(OR(K91="",J91=""),"",(J91-K91)*100)</f>
        <v>-1.21220797068256</v>
      </c>
      <c r="M91" s="21"/>
    </row>
    <row r="92" customFormat="false" ht="15" hidden="false" customHeight="false" outlineLevel="0" collapsed="false">
      <c r="A92" s="21" t="s">
        <v>189</v>
      </c>
      <c r="B92" s="21" t="s">
        <v>191</v>
      </c>
      <c r="C92" s="21" t="s">
        <v>232</v>
      </c>
      <c r="D92" s="37" t="n">
        <v>484</v>
      </c>
      <c r="E92" s="37" t="n">
        <v>440</v>
      </c>
      <c r="F92" s="63" t="n">
        <f aca="false">IF(E92="","",D92-E92)</f>
        <v>44</v>
      </c>
      <c r="G92" s="37" t="n">
        <v>232</v>
      </c>
      <c r="H92" s="37" t="n">
        <v>259</v>
      </c>
      <c r="I92" s="63" t="n">
        <f aca="false">IF(H92="","",G92-H92)</f>
        <v>-27</v>
      </c>
      <c r="J92" s="52" t="n">
        <f aca="false">IF(OR(D92="",D92+G92=0),"",D92/(D92+G92))</f>
        <v>0.675977653631285</v>
      </c>
      <c r="K92" s="52" t="n">
        <f aca="false">IF(E92="","",E92/(E92+H92))</f>
        <v>0.629470672389127</v>
      </c>
      <c r="L92" s="64" t="n">
        <f aca="false">IF(OR(K92="",J92=""),"",(J92-K92)*100)</f>
        <v>4.65069812421576</v>
      </c>
      <c r="M92" s="21"/>
    </row>
    <row r="93" customFormat="false" ht="15" hidden="false" customHeight="false" outlineLevel="0" collapsed="false">
      <c r="A93" s="21" t="s">
        <v>189</v>
      </c>
      <c r="B93" s="21" t="s">
        <v>191</v>
      </c>
      <c r="C93" s="21" t="s">
        <v>233</v>
      </c>
      <c r="D93" s="37" t="n">
        <v>558</v>
      </c>
      <c r="E93" s="37" t="n">
        <v>553</v>
      </c>
      <c r="F93" s="63" t="n">
        <f aca="false">IF(E93="","",D93-E93)</f>
        <v>5</v>
      </c>
      <c r="G93" s="37" t="n">
        <v>415</v>
      </c>
      <c r="H93" s="37" t="n">
        <v>367</v>
      </c>
      <c r="I93" s="63" t="n">
        <f aca="false">IF(H93="","",G93-H93)</f>
        <v>48</v>
      </c>
      <c r="J93" s="52" t="n">
        <f aca="false">IF(OR(D93="",D93+G93=0),"",D93/(D93+G93))</f>
        <v>0.573484069886948</v>
      </c>
      <c r="K93" s="52" t="n">
        <f aca="false">IF(E93="","",E93/(E93+H93))</f>
        <v>0.601086956521739</v>
      </c>
      <c r="L93" s="64" t="n">
        <f aca="false">IF(OR(K93="",J93=""),"",(J93-K93)*100)</f>
        <v>-2.76028866347916</v>
      </c>
      <c r="M93" s="21"/>
    </row>
    <row r="94" customFormat="false" ht="15" hidden="false" customHeight="false" outlineLevel="0" collapsed="false">
      <c r="A94" s="21" t="s">
        <v>189</v>
      </c>
      <c r="B94" s="21" t="s">
        <v>191</v>
      </c>
      <c r="C94" s="21" t="s">
        <v>234</v>
      </c>
      <c r="D94" s="37" t="n">
        <v>1</v>
      </c>
      <c r="E94" s="37"/>
      <c r="F94" s="63" t="str">
        <f aca="false">IF(E94="","",D94-E94)</f>
        <v/>
      </c>
      <c r="G94" s="37" t="n">
        <v>2</v>
      </c>
      <c r="H94" s="37"/>
      <c r="I94" s="63" t="str">
        <f aca="false">IF(H94="","",G94-H94)</f>
        <v/>
      </c>
      <c r="J94" s="52" t="n">
        <f aca="false">IF(OR(D94="",D94+G94=0),"",D94/(D94+G94))</f>
        <v>0.333333333333333</v>
      </c>
      <c r="K94" s="52" t="str">
        <f aca="false">IF(E94="","",E94/(E94+H94))</f>
        <v/>
      </c>
      <c r="L94" s="64" t="str">
        <f aca="false">IF(OR(K94="",J94=""),"",(J94-K94)*100)</f>
        <v/>
      </c>
      <c r="M94" s="21" t="s">
        <v>685</v>
      </c>
    </row>
    <row r="95" customFormat="false" ht="15" hidden="false" customHeight="false" outlineLevel="0" collapsed="false">
      <c r="A95" s="21" t="s">
        <v>189</v>
      </c>
      <c r="B95" s="21" t="s">
        <v>191</v>
      </c>
      <c r="C95" s="21" t="s">
        <v>235</v>
      </c>
      <c r="D95" s="37" t="n">
        <v>852</v>
      </c>
      <c r="E95" s="37" t="n">
        <v>821</v>
      </c>
      <c r="F95" s="63" t="n">
        <f aca="false">IF(E95="","",D95-E95)</f>
        <v>31</v>
      </c>
      <c r="G95" s="37" t="n">
        <v>526</v>
      </c>
      <c r="H95" s="37" t="n">
        <v>504</v>
      </c>
      <c r="I95" s="63" t="n">
        <f aca="false">IF(H95="","",G95-H95)</f>
        <v>22</v>
      </c>
      <c r="J95" s="52" t="n">
        <f aca="false">IF(OR(D95="",D95+G95=0),"",D95/(D95+G95))</f>
        <v>0.618287373004354</v>
      </c>
      <c r="K95" s="52" t="n">
        <f aca="false">IF(E95="","",E95/(E95+H95))</f>
        <v>0.619622641509434</v>
      </c>
      <c r="L95" s="64" t="n">
        <f aca="false">IF(OR(K95="",J95=""),"",(J95-K95)*100)</f>
        <v>-0.133526850507981</v>
      </c>
      <c r="M95" s="21"/>
    </row>
    <row r="96" customFormat="false" ht="15" hidden="false" customHeight="false" outlineLevel="0" collapsed="false">
      <c r="A96" s="21" t="s">
        <v>189</v>
      </c>
      <c r="B96" s="21" t="s">
        <v>191</v>
      </c>
      <c r="C96" s="21" t="s">
        <v>236</v>
      </c>
      <c r="D96" s="37" t="n">
        <v>511</v>
      </c>
      <c r="E96" s="37" t="n">
        <v>487</v>
      </c>
      <c r="F96" s="63" t="n">
        <f aca="false">IF(E96="","",D96-E96)</f>
        <v>24</v>
      </c>
      <c r="G96" s="37" t="n">
        <v>159</v>
      </c>
      <c r="H96" s="37" t="n">
        <v>191</v>
      </c>
      <c r="I96" s="63" t="n">
        <f aca="false">IF(H96="","",G96-H96)</f>
        <v>-32</v>
      </c>
      <c r="J96" s="52" t="n">
        <f aca="false">IF(OR(D96="",D96+G96=0),"",D96/(D96+G96))</f>
        <v>0.762686567164179</v>
      </c>
      <c r="K96" s="52" t="n">
        <f aca="false">IF(E96="","",E96/(E96+H96))</f>
        <v>0.718289085545723</v>
      </c>
      <c r="L96" s="64" t="n">
        <f aca="false">IF(OR(K96="",J96=""),"",(J96-K96)*100)</f>
        <v>4.43974816184565</v>
      </c>
      <c r="M96" s="21"/>
    </row>
    <row r="97" customFormat="false" ht="15" hidden="false" customHeight="false" outlineLevel="0" collapsed="false">
      <c r="A97" s="21" t="s">
        <v>189</v>
      </c>
      <c r="B97" s="21" t="s">
        <v>191</v>
      </c>
      <c r="C97" s="21" t="s">
        <v>237</v>
      </c>
      <c r="D97" s="37" t="n">
        <v>471</v>
      </c>
      <c r="E97" s="37" t="n">
        <v>418</v>
      </c>
      <c r="F97" s="63" t="n">
        <f aca="false">IF(E97="","",D97-E97)</f>
        <v>53</v>
      </c>
      <c r="G97" s="37" t="n">
        <v>161</v>
      </c>
      <c r="H97" s="37" t="n">
        <v>181</v>
      </c>
      <c r="I97" s="63" t="n">
        <f aca="false">IF(H97="","",G97-H97)</f>
        <v>-20</v>
      </c>
      <c r="J97" s="52" t="n">
        <f aca="false">IF(OR(D97="",D97+G97=0),"",D97/(D97+G97))</f>
        <v>0.745253164556962</v>
      </c>
      <c r="K97" s="52" t="n">
        <f aca="false">IF(E97="","",E97/(E97+H97))</f>
        <v>0.697829716193656</v>
      </c>
      <c r="L97" s="64" t="n">
        <f aca="false">IF(OR(K97="",J97=""),"",(J97-K97)*100)</f>
        <v>4.74234483633059</v>
      </c>
      <c r="M97" s="21"/>
    </row>
    <row r="98" customFormat="false" ht="15" hidden="false" customHeight="false" outlineLevel="0" collapsed="false">
      <c r="A98" s="21" t="s">
        <v>189</v>
      </c>
      <c r="B98" s="21" t="s">
        <v>191</v>
      </c>
      <c r="C98" s="21" t="s">
        <v>238</v>
      </c>
      <c r="D98" s="37" t="n">
        <v>655</v>
      </c>
      <c r="E98" s="37" t="n">
        <v>677</v>
      </c>
      <c r="F98" s="63" t="n">
        <f aca="false">IF(E98="","",D98-E98)</f>
        <v>-22</v>
      </c>
      <c r="G98" s="37" t="n">
        <v>211</v>
      </c>
      <c r="H98" s="37" t="n">
        <v>264</v>
      </c>
      <c r="I98" s="63" t="n">
        <f aca="false">IF(H98="","",G98-H98)</f>
        <v>-53</v>
      </c>
      <c r="J98" s="52" t="n">
        <f aca="false">IF(OR(D98="",D98+G98=0),"",D98/(D98+G98))</f>
        <v>0.75635103926097</v>
      </c>
      <c r="K98" s="52" t="n">
        <f aca="false">IF(E98="","",E98/(E98+H98))</f>
        <v>0.719447396386823</v>
      </c>
      <c r="L98" s="64" t="n">
        <f aca="false">IF(OR(K98="",J98=""),"",(J98-K98)*100)</f>
        <v>3.69036428741475</v>
      </c>
      <c r="M98" s="21"/>
    </row>
    <row r="99" customFormat="false" ht="15" hidden="false" customHeight="false" outlineLevel="0" collapsed="false">
      <c r="A99" s="21" t="s">
        <v>189</v>
      </c>
      <c r="B99" s="21" t="s">
        <v>191</v>
      </c>
      <c r="C99" s="21" t="s">
        <v>239</v>
      </c>
      <c r="D99" s="37" t="n">
        <v>298</v>
      </c>
      <c r="E99" s="37" t="n">
        <v>283</v>
      </c>
      <c r="F99" s="63" t="n">
        <f aca="false">IF(E99="","",D99-E99)</f>
        <v>15</v>
      </c>
      <c r="G99" s="37" t="n">
        <v>114</v>
      </c>
      <c r="H99" s="37" t="n">
        <v>138</v>
      </c>
      <c r="I99" s="63" t="n">
        <f aca="false">IF(H99="","",G99-H99)</f>
        <v>-24</v>
      </c>
      <c r="J99" s="52" t="n">
        <f aca="false">IF(OR(D99="",D99+G99=0),"",D99/(D99+G99))</f>
        <v>0.723300970873786</v>
      </c>
      <c r="K99" s="52" t="n">
        <f aca="false">IF(E99="","",E99/(E99+H99))</f>
        <v>0.672209026128266</v>
      </c>
      <c r="L99" s="64" t="n">
        <f aca="false">IF(OR(K99="",J99=""),"",(J99-K99)*100)</f>
        <v>5.10919447455204</v>
      </c>
      <c r="M99" s="21"/>
    </row>
    <row r="100" customFormat="false" ht="15" hidden="false" customHeight="false" outlineLevel="0" collapsed="false">
      <c r="A100" s="21" t="s">
        <v>189</v>
      </c>
      <c r="B100" s="21" t="s">
        <v>191</v>
      </c>
      <c r="C100" s="21" t="s">
        <v>240</v>
      </c>
      <c r="D100" s="37" t="n">
        <v>465</v>
      </c>
      <c r="E100" s="37" t="n">
        <v>447</v>
      </c>
      <c r="F100" s="63" t="n">
        <f aca="false">IF(E100="","",D100-E100)</f>
        <v>18</v>
      </c>
      <c r="G100" s="37" t="n">
        <v>145</v>
      </c>
      <c r="H100" s="37" t="n">
        <v>152</v>
      </c>
      <c r="I100" s="63" t="n">
        <f aca="false">IF(H100="","",G100-H100)</f>
        <v>-7</v>
      </c>
      <c r="J100" s="52" t="n">
        <f aca="false">IF(OR(D100="",D100+G100=0),"",D100/(D100+G100))</f>
        <v>0.762295081967213</v>
      </c>
      <c r="K100" s="52" t="n">
        <f aca="false">IF(E100="","",E100/(E100+H100))</f>
        <v>0.746243739565943</v>
      </c>
      <c r="L100" s="64" t="n">
        <f aca="false">IF(OR(K100="",J100=""),"",(J100-K100)*100)</f>
        <v>1.60513424012698</v>
      </c>
      <c r="M100" s="21"/>
    </row>
    <row r="101" customFormat="false" ht="15" hidden="false" customHeight="false" outlineLevel="0" collapsed="false">
      <c r="A101" s="21" t="s">
        <v>189</v>
      </c>
      <c r="B101" s="21" t="s">
        <v>191</v>
      </c>
      <c r="C101" s="21" t="s">
        <v>241</v>
      </c>
      <c r="D101" s="37" t="n">
        <v>240</v>
      </c>
      <c r="E101" s="37" t="n">
        <v>179</v>
      </c>
      <c r="F101" s="63" t="n">
        <f aca="false">IF(E101="","",D101-E101)</f>
        <v>61</v>
      </c>
      <c r="G101" s="37" t="n">
        <v>85</v>
      </c>
      <c r="H101" s="37" t="n">
        <v>112</v>
      </c>
      <c r="I101" s="63" t="n">
        <f aca="false">IF(H101="","",G101-H101)</f>
        <v>-27</v>
      </c>
      <c r="J101" s="52" t="n">
        <f aca="false">IF(OR(D101="",D101+G101=0),"",D101/(D101+G101))</f>
        <v>0.738461538461539</v>
      </c>
      <c r="K101" s="52" t="n">
        <f aca="false">IF(E101="","",E101/(E101+H101))</f>
        <v>0.615120274914089</v>
      </c>
      <c r="L101" s="64" t="n">
        <f aca="false">IF(OR(K101="",J101=""),"",(J101-K101)*100)</f>
        <v>12.3341263547449</v>
      </c>
      <c r="M101" s="21"/>
    </row>
    <row r="102" customFormat="false" ht="15" hidden="false" customHeight="false" outlineLevel="0" collapsed="false">
      <c r="A102" s="21" t="s">
        <v>189</v>
      </c>
      <c r="B102" s="21" t="s">
        <v>191</v>
      </c>
      <c r="C102" s="21" t="s">
        <v>242</v>
      </c>
      <c r="D102" s="37" t="n">
        <v>394</v>
      </c>
      <c r="E102" s="37" t="n">
        <v>357</v>
      </c>
      <c r="F102" s="63" t="n">
        <f aca="false">IF(E102="","",D102-E102)</f>
        <v>37</v>
      </c>
      <c r="G102" s="37" t="n">
        <v>174</v>
      </c>
      <c r="H102" s="37" t="n">
        <v>225</v>
      </c>
      <c r="I102" s="63" t="n">
        <f aca="false">IF(H102="","",G102-H102)</f>
        <v>-51</v>
      </c>
      <c r="J102" s="52" t="n">
        <f aca="false">IF(OR(D102="",D102+G102=0),"",D102/(D102+G102))</f>
        <v>0.693661971830986</v>
      </c>
      <c r="K102" s="52" t="n">
        <f aca="false">IF(E102="","",E102/(E102+H102))</f>
        <v>0.61340206185567</v>
      </c>
      <c r="L102" s="64" t="n">
        <f aca="false">IF(OR(K102="",J102=""),"",(J102-K102)*100)</f>
        <v>8.02599099753157</v>
      </c>
      <c r="M102" s="21"/>
    </row>
    <row r="103" customFormat="false" ht="15" hidden="false" customHeight="false" outlineLevel="0" collapsed="false">
      <c r="A103" s="21" t="s">
        <v>189</v>
      </c>
      <c r="B103" s="21" t="s">
        <v>191</v>
      </c>
      <c r="C103" s="21" t="s">
        <v>243</v>
      </c>
      <c r="D103" s="37" t="n">
        <v>583</v>
      </c>
      <c r="E103" s="37" t="n">
        <v>520</v>
      </c>
      <c r="F103" s="63" t="n">
        <f aca="false">IF(E103="","",D103-E103)</f>
        <v>63</v>
      </c>
      <c r="G103" s="37" t="n">
        <v>200</v>
      </c>
      <c r="H103" s="37" t="n">
        <v>193</v>
      </c>
      <c r="I103" s="63" t="n">
        <f aca="false">IF(H103="","",G103-H103)</f>
        <v>7</v>
      </c>
      <c r="J103" s="52" t="n">
        <f aca="false">IF(OR(D103="",D103+G103=0),"",D103/(D103+G103))</f>
        <v>0.744572158365262</v>
      </c>
      <c r="K103" s="52" t="n">
        <f aca="false">IF(E103="","",E103/(E103+H103))</f>
        <v>0.729312762973352</v>
      </c>
      <c r="L103" s="64" t="n">
        <f aca="false">IF(OR(K103="",J103=""),"",(J103-K103)*100)</f>
        <v>1.52593953919098</v>
      </c>
      <c r="M103" s="21"/>
    </row>
    <row r="104" customFormat="false" ht="15" hidden="false" customHeight="false" outlineLevel="0" collapsed="false">
      <c r="A104" s="21" t="s">
        <v>189</v>
      </c>
      <c r="B104" s="21" t="s">
        <v>191</v>
      </c>
      <c r="C104" s="21" t="s">
        <v>244</v>
      </c>
      <c r="D104" s="37" t="n">
        <v>230</v>
      </c>
      <c r="E104" s="37" t="n">
        <v>218</v>
      </c>
      <c r="F104" s="63" t="n">
        <f aca="false">IF(E104="","",D104-E104)</f>
        <v>12</v>
      </c>
      <c r="G104" s="37" t="n">
        <v>76</v>
      </c>
      <c r="H104" s="37" t="n">
        <v>86</v>
      </c>
      <c r="I104" s="63" t="n">
        <f aca="false">IF(H104="","",G104-H104)</f>
        <v>-10</v>
      </c>
      <c r="J104" s="52" t="n">
        <f aca="false">IF(OR(D104="",D104+G104=0),"",D104/(D104+G104))</f>
        <v>0.751633986928105</v>
      </c>
      <c r="K104" s="52" t="n">
        <f aca="false">IF(E104="","",E104/(E104+H104))</f>
        <v>0.717105263157895</v>
      </c>
      <c r="L104" s="64" t="n">
        <f aca="false">IF(OR(K104="",J104=""),"",(J104-K104)*100)</f>
        <v>3.45287237702099</v>
      </c>
      <c r="M104" s="21"/>
    </row>
    <row r="105" customFormat="false" ht="15" hidden="false" customHeight="false" outlineLevel="0" collapsed="false">
      <c r="A105" s="21" t="s">
        <v>189</v>
      </c>
      <c r="B105" s="21" t="s">
        <v>191</v>
      </c>
      <c r="C105" s="21" t="s">
        <v>245</v>
      </c>
      <c r="D105" s="37" t="n">
        <v>259</v>
      </c>
      <c r="E105" s="37" t="n">
        <v>262</v>
      </c>
      <c r="F105" s="63" t="n">
        <f aca="false">IF(E105="","",D105-E105)</f>
        <v>-3</v>
      </c>
      <c r="G105" s="37" t="n">
        <v>81</v>
      </c>
      <c r="H105" s="37" t="n">
        <v>109</v>
      </c>
      <c r="I105" s="63" t="n">
        <f aca="false">IF(H105="","",G105-H105)</f>
        <v>-28</v>
      </c>
      <c r="J105" s="52" t="n">
        <f aca="false">IF(OR(D105="",D105+G105=0),"",D105/(D105+G105))</f>
        <v>0.761764705882353</v>
      </c>
      <c r="K105" s="52" t="n">
        <f aca="false">IF(E105="","",E105/(E105+H105))</f>
        <v>0.706199460916442</v>
      </c>
      <c r="L105" s="64" t="n">
        <f aca="false">IF(OR(K105="",J105=""),"",(J105-K105)*100)</f>
        <v>5.55652449659109</v>
      </c>
      <c r="M105" s="21"/>
    </row>
    <row r="106" customFormat="false" ht="15" hidden="false" customHeight="false" outlineLevel="0" collapsed="false">
      <c r="A106" s="21" t="s">
        <v>189</v>
      </c>
      <c r="B106" s="21" t="s">
        <v>191</v>
      </c>
      <c r="C106" s="21" t="s">
        <v>246</v>
      </c>
      <c r="D106" s="37" t="n">
        <v>440</v>
      </c>
      <c r="E106" s="37" t="n">
        <v>424</v>
      </c>
      <c r="F106" s="63" t="n">
        <f aca="false">IF(E106="","",D106-E106)</f>
        <v>16</v>
      </c>
      <c r="G106" s="37" t="n">
        <v>145</v>
      </c>
      <c r="H106" s="37" t="n">
        <v>151</v>
      </c>
      <c r="I106" s="63" t="n">
        <f aca="false">IF(H106="","",G106-H106)</f>
        <v>-6</v>
      </c>
      <c r="J106" s="52" t="n">
        <f aca="false">IF(OR(D106="",D106+G106=0),"",D106/(D106+G106))</f>
        <v>0.752136752136752</v>
      </c>
      <c r="K106" s="52" t="n">
        <f aca="false">IF(E106="","",E106/(E106+H106))</f>
        <v>0.737391304347826</v>
      </c>
      <c r="L106" s="64" t="n">
        <f aca="false">IF(OR(K106="",J106=""),"",(J106-K106)*100)</f>
        <v>1.47454477889261</v>
      </c>
      <c r="M106" s="21"/>
    </row>
    <row r="107" customFormat="false" ht="15" hidden="false" customHeight="false" outlineLevel="0" collapsed="false">
      <c r="A107" s="21" t="s">
        <v>189</v>
      </c>
      <c r="B107" s="21" t="s">
        <v>191</v>
      </c>
      <c r="C107" s="21" t="s">
        <v>247</v>
      </c>
      <c r="D107" s="37" t="n">
        <v>533</v>
      </c>
      <c r="E107" s="37" t="n">
        <v>565</v>
      </c>
      <c r="F107" s="63" t="n">
        <f aca="false">IF(E107="","",D107-E107)</f>
        <v>-32</v>
      </c>
      <c r="G107" s="37" t="n">
        <v>273</v>
      </c>
      <c r="H107" s="37" t="n">
        <v>277</v>
      </c>
      <c r="I107" s="63" t="n">
        <f aca="false">IF(H107="","",G107-H107)</f>
        <v>-4</v>
      </c>
      <c r="J107" s="52" t="n">
        <f aca="false">IF(OR(D107="",D107+G107=0),"",D107/(D107+G107))</f>
        <v>0.661290322580645</v>
      </c>
      <c r="K107" s="52" t="n">
        <f aca="false">IF(E107="","",E107/(E107+H107))</f>
        <v>0.671021377672209</v>
      </c>
      <c r="L107" s="64" t="n">
        <f aca="false">IF(OR(K107="",J107=""),"",(J107-K107)*100)</f>
        <v>-0.973105509156391</v>
      </c>
      <c r="M107" s="21"/>
    </row>
    <row r="108" customFormat="false" ht="15" hidden="false" customHeight="false" outlineLevel="0" collapsed="false">
      <c r="A108" s="21" t="s">
        <v>189</v>
      </c>
      <c r="B108" s="21" t="s">
        <v>191</v>
      </c>
      <c r="C108" s="21" t="s">
        <v>248</v>
      </c>
      <c r="D108" s="37" t="n">
        <v>252</v>
      </c>
      <c r="E108" s="37" t="n">
        <v>260</v>
      </c>
      <c r="F108" s="63" t="n">
        <f aca="false">IF(E108="","",D108-E108)</f>
        <v>-8</v>
      </c>
      <c r="G108" s="37" t="n">
        <v>108</v>
      </c>
      <c r="H108" s="37" t="n">
        <v>121</v>
      </c>
      <c r="I108" s="63" t="n">
        <f aca="false">IF(H108="","",G108-H108)</f>
        <v>-13</v>
      </c>
      <c r="J108" s="52" t="n">
        <f aca="false">IF(OR(D108="",D108+G108=0),"",D108/(D108+G108))</f>
        <v>0.7</v>
      </c>
      <c r="K108" s="52" t="n">
        <f aca="false">IF(E108="","",E108/(E108+H108))</f>
        <v>0.68241469816273</v>
      </c>
      <c r="L108" s="64" t="n">
        <f aca="false">IF(OR(K108="",J108=""),"",(J108-K108)*100)</f>
        <v>1.75853018372703</v>
      </c>
      <c r="M108" s="21"/>
    </row>
    <row r="109" customFormat="false" ht="15" hidden="false" customHeight="false" outlineLevel="0" collapsed="false">
      <c r="A109" s="21" t="s">
        <v>189</v>
      </c>
      <c r="B109" s="21" t="s">
        <v>191</v>
      </c>
      <c r="C109" s="21" t="s">
        <v>249</v>
      </c>
      <c r="D109" s="37" t="n">
        <v>351</v>
      </c>
      <c r="E109" s="37" t="n">
        <v>317</v>
      </c>
      <c r="F109" s="63" t="n">
        <f aca="false">IF(E109="","",D109-E109)</f>
        <v>34</v>
      </c>
      <c r="G109" s="37" t="n">
        <v>125</v>
      </c>
      <c r="H109" s="37" t="n">
        <v>152</v>
      </c>
      <c r="I109" s="63" t="n">
        <f aca="false">IF(H109="","",G109-H109)</f>
        <v>-27</v>
      </c>
      <c r="J109" s="52" t="n">
        <f aca="false">IF(OR(D109="",D109+G109=0),"",D109/(D109+G109))</f>
        <v>0.737394957983193</v>
      </c>
      <c r="K109" s="52" t="n">
        <f aca="false">IF(E109="","",E109/(E109+H109))</f>
        <v>0.67590618336887</v>
      </c>
      <c r="L109" s="64" t="n">
        <f aca="false">IF(OR(K109="",J109=""),"",(J109-K109)*100)</f>
        <v>6.14887746143233</v>
      </c>
      <c r="M109" s="21"/>
    </row>
    <row r="110" customFormat="false" ht="15" hidden="false" customHeight="false" outlineLevel="0" collapsed="false">
      <c r="A110" s="21" t="s">
        <v>189</v>
      </c>
      <c r="B110" s="21" t="s">
        <v>191</v>
      </c>
      <c r="C110" s="21" t="s">
        <v>250</v>
      </c>
      <c r="D110" s="37" t="n">
        <v>424</v>
      </c>
      <c r="E110" s="37" t="n">
        <v>424</v>
      </c>
      <c r="F110" s="63" t="n">
        <f aca="false">IF(E110="","",D110-E110)</f>
        <v>0</v>
      </c>
      <c r="G110" s="37" t="n">
        <v>262</v>
      </c>
      <c r="H110" s="37" t="n">
        <v>264</v>
      </c>
      <c r="I110" s="63" t="n">
        <f aca="false">IF(H110="","",G110-H110)</f>
        <v>-2</v>
      </c>
      <c r="J110" s="52" t="n">
        <f aca="false">IF(OR(D110="",D110+G110=0),"",D110/(D110+G110))</f>
        <v>0.618075801749271</v>
      </c>
      <c r="K110" s="52" t="n">
        <f aca="false">IF(E110="","",E110/(E110+H110))</f>
        <v>0.616279069767442</v>
      </c>
      <c r="L110" s="64" t="n">
        <f aca="false">IF(OR(K110="",J110=""),"",(J110-K110)*100)</f>
        <v>0.179673198182928</v>
      </c>
      <c r="M110" s="21"/>
    </row>
    <row r="111" customFormat="false" ht="15" hidden="false" customHeight="false" outlineLevel="0" collapsed="false">
      <c r="A111" s="21" t="s">
        <v>189</v>
      </c>
      <c r="B111" s="21" t="s">
        <v>191</v>
      </c>
      <c r="C111" s="21" t="s">
        <v>251</v>
      </c>
      <c r="D111" s="37" t="n">
        <v>484</v>
      </c>
      <c r="E111" s="37" t="n">
        <v>469</v>
      </c>
      <c r="F111" s="63" t="n">
        <f aca="false">IF(E111="","",D111-E111)</f>
        <v>15</v>
      </c>
      <c r="G111" s="37" t="n">
        <v>163</v>
      </c>
      <c r="H111" s="37" t="n">
        <v>215</v>
      </c>
      <c r="I111" s="63" t="n">
        <f aca="false">IF(H111="","",G111-H111)</f>
        <v>-52</v>
      </c>
      <c r="J111" s="52" t="n">
        <f aca="false">IF(OR(D111="",D111+G111=0),"",D111/(D111+G111))</f>
        <v>0.74806800618238</v>
      </c>
      <c r="K111" s="52" t="n">
        <f aca="false">IF(E111="","",E111/(E111+H111))</f>
        <v>0.685672514619883</v>
      </c>
      <c r="L111" s="64" t="n">
        <f aca="false">IF(OR(K111="",J111=""),"",(J111-K111)*100)</f>
        <v>6.23954915624972</v>
      </c>
      <c r="M111" s="21"/>
    </row>
    <row r="112" customFormat="false" ht="15" hidden="false" customHeight="false" outlineLevel="0" collapsed="false">
      <c r="A112" s="21" t="s">
        <v>189</v>
      </c>
      <c r="B112" s="21" t="s">
        <v>252</v>
      </c>
      <c r="C112" s="21" t="s">
        <v>253</v>
      </c>
      <c r="D112" s="37" t="n">
        <v>627</v>
      </c>
      <c r="E112" s="37" t="n">
        <v>598</v>
      </c>
      <c r="F112" s="63" t="n">
        <f aca="false">IF(E112="","",D112-E112)</f>
        <v>29</v>
      </c>
      <c r="G112" s="37" t="n">
        <v>252</v>
      </c>
      <c r="H112" s="37" t="n">
        <v>253</v>
      </c>
      <c r="I112" s="63" t="n">
        <f aca="false">IF(H112="","",G112-H112)</f>
        <v>-1</v>
      </c>
      <c r="J112" s="52" t="n">
        <f aca="false">IF(OR(D112="",D112+G112=0),"",D112/(D112+G112))</f>
        <v>0.713310580204778</v>
      </c>
      <c r="K112" s="52" t="n">
        <f aca="false">IF(E112="","",E112/(E112+H112))</f>
        <v>0.702702702702703</v>
      </c>
      <c r="L112" s="64" t="n">
        <f aca="false">IF(OR(K112="",J112=""),"",(J112-K112)*100)</f>
        <v>1.06078775020754</v>
      </c>
      <c r="M112" s="21"/>
    </row>
    <row r="113" customFormat="false" ht="15" hidden="false" customHeight="false" outlineLevel="0" collapsed="false">
      <c r="A113" s="21" t="s">
        <v>189</v>
      </c>
      <c r="B113" s="21" t="s">
        <v>252</v>
      </c>
      <c r="C113" s="21" t="s">
        <v>254</v>
      </c>
      <c r="D113" s="37" t="n">
        <v>439</v>
      </c>
      <c r="E113" s="37" t="n">
        <v>420</v>
      </c>
      <c r="F113" s="63" t="n">
        <f aca="false">IF(E113="","",D113-E113)</f>
        <v>19</v>
      </c>
      <c r="G113" s="37" t="n">
        <v>211</v>
      </c>
      <c r="H113" s="37" t="n">
        <v>214</v>
      </c>
      <c r="I113" s="63" t="n">
        <f aca="false">IF(H113="","",G113-H113)</f>
        <v>-3</v>
      </c>
      <c r="J113" s="52" t="n">
        <f aca="false">IF(OR(D113="",D113+G113=0),"",D113/(D113+G113))</f>
        <v>0.675384615384615</v>
      </c>
      <c r="K113" s="52" t="n">
        <f aca="false">IF(E113="","",E113/(E113+H113))</f>
        <v>0.662460567823344</v>
      </c>
      <c r="L113" s="64" t="n">
        <f aca="false">IF(OR(K113="",J113=""),"",(J113-K113)*100)</f>
        <v>1.29240475612715</v>
      </c>
      <c r="M113" s="21"/>
    </row>
    <row r="114" customFormat="false" ht="15" hidden="false" customHeight="false" outlineLevel="0" collapsed="false">
      <c r="A114" s="21" t="s">
        <v>189</v>
      </c>
      <c r="B114" s="21" t="s">
        <v>252</v>
      </c>
      <c r="C114" s="21" t="s">
        <v>255</v>
      </c>
      <c r="D114" s="37" t="n">
        <v>456</v>
      </c>
      <c r="E114" s="37" t="n">
        <v>438</v>
      </c>
      <c r="F114" s="63" t="n">
        <f aca="false">IF(E114="","",D114-E114)</f>
        <v>18</v>
      </c>
      <c r="G114" s="37" t="n">
        <v>177</v>
      </c>
      <c r="H114" s="37" t="n">
        <v>176</v>
      </c>
      <c r="I114" s="63" t="n">
        <f aca="false">IF(H114="","",G114-H114)</f>
        <v>1</v>
      </c>
      <c r="J114" s="52" t="n">
        <f aca="false">IF(OR(D114="",D114+G114=0),"",D114/(D114+G114))</f>
        <v>0.720379146919431</v>
      </c>
      <c r="K114" s="52" t="n">
        <f aca="false">IF(E114="","",E114/(E114+H114))</f>
        <v>0.713355048859935</v>
      </c>
      <c r="L114" s="64" t="n">
        <f aca="false">IF(OR(K114="",J114=""),"",(J114-K114)*100)</f>
        <v>0.702409805949644</v>
      </c>
      <c r="M114" s="21"/>
    </row>
    <row r="115" customFormat="false" ht="15" hidden="false" customHeight="false" outlineLevel="0" collapsed="false">
      <c r="A115" s="21" t="s">
        <v>189</v>
      </c>
      <c r="B115" s="21" t="s">
        <v>252</v>
      </c>
      <c r="C115" s="21" t="s">
        <v>256</v>
      </c>
      <c r="D115" s="37" t="n">
        <v>477</v>
      </c>
      <c r="E115" s="37" t="n">
        <v>463</v>
      </c>
      <c r="F115" s="63" t="n">
        <f aca="false">IF(E115="","",D115-E115)</f>
        <v>14</v>
      </c>
      <c r="G115" s="37" t="n">
        <v>211</v>
      </c>
      <c r="H115" s="37" t="n">
        <v>219</v>
      </c>
      <c r="I115" s="63" t="n">
        <f aca="false">IF(H115="","",G115-H115)</f>
        <v>-8</v>
      </c>
      <c r="J115" s="52" t="n">
        <f aca="false">IF(OR(D115="",D115+G115=0),"",D115/(D115+G115))</f>
        <v>0.693313953488372</v>
      </c>
      <c r="K115" s="52" t="n">
        <f aca="false">IF(E115="","",E115/(E115+H115))</f>
        <v>0.678885630498534</v>
      </c>
      <c r="L115" s="64" t="n">
        <f aca="false">IF(OR(K115="",J115=""),"",(J115-K115)*100)</f>
        <v>1.44283229898384</v>
      </c>
      <c r="M115" s="21"/>
    </row>
    <row r="116" customFormat="false" ht="15" hidden="false" customHeight="false" outlineLevel="0" collapsed="false">
      <c r="A116" s="21" t="s">
        <v>189</v>
      </c>
      <c r="B116" s="21" t="s">
        <v>252</v>
      </c>
      <c r="C116" s="21" t="s">
        <v>257</v>
      </c>
      <c r="D116" s="37" t="n">
        <v>796</v>
      </c>
      <c r="E116" s="37" t="n">
        <v>782</v>
      </c>
      <c r="F116" s="63" t="n">
        <f aca="false">IF(E116="","",D116-E116)</f>
        <v>14</v>
      </c>
      <c r="G116" s="37" t="n">
        <v>467</v>
      </c>
      <c r="H116" s="37" t="n">
        <v>404</v>
      </c>
      <c r="I116" s="63" t="n">
        <f aca="false">IF(H116="","",G116-H116)</f>
        <v>63</v>
      </c>
      <c r="J116" s="52" t="n">
        <f aca="false">IF(OR(D116="",D116+G116=0),"",D116/(D116+G116))</f>
        <v>0.630245447347585</v>
      </c>
      <c r="K116" s="52" t="n">
        <f aca="false">IF(E116="","",E116/(E116+H116))</f>
        <v>0.659359190556492</v>
      </c>
      <c r="L116" s="64" t="n">
        <f aca="false">IF(OR(K116="",J116=""),"",(J116-K116)*100)</f>
        <v>-2.91137432089073</v>
      </c>
      <c r="M116" s="21"/>
    </row>
    <row r="117" customFormat="false" ht="15" hidden="false" customHeight="false" outlineLevel="0" collapsed="false">
      <c r="A117" s="21" t="s">
        <v>189</v>
      </c>
      <c r="B117" s="21" t="s">
        <v>252</v>
      </c>
      <c r="C117" s="21" t="s">
        <v>258</v>
      </c>
      <c r="D117" s="37" t="n">
        <v>520</v>
      </c>
      <c r="E117" s="37" t="n">
        <v>503</v>
      </c>
      <c r="F117" s="63" t="n">
        <f aca="false">IF(E117="","",D117-E117)</f>
        <v>17</v>
      </c>
      <c r="G117" s="37" t="n">
        <v>323</v>
      </c>
      <c r="H117" s="37" t="n">
        <v>318</v>
      </c>
      <c r="I117" s="63" t="n">
        <f aca="false">IF(H117="","",G117-H117)</f>
        <v>5</v>
      </c>
      <c r="J117" s="52" t="n">
        <f aca="false">IF(OR(D117="",D117+G117=0),"",D117/(D117+G117))</f>
        <v>0.616844602609727</v>
      </c>
      <c r="K117" s="52" t="n">
        <f aca="false">IF(E117="","",E117/(E117+H117))</f>
        <v>0.612667478684531</v>
      </c>
      <c r="L117" s="64" t="n">
        <f aca="false">IF(OR(K117="",J117=""),"",(J117-K117)*100)</f>
        <v>0.417712392519609</v>
      </c>
      <c r="M117" s="21"/>
    </row>
    <row r="118" customFormat="false" ht="15" hidden="false" customHeight="false" outlineLevel="0" collapsed="false">
      <c r="A118" s="21" t="s">
        <v>189</v>
      </c>
      <c r="B118" s="21" t="s">
        <v>252</v>
      </c>
      <c r="C118" s="21" t="s">
        <v>259</v>
      </c>
      <c r="D118" s="37" t="n">
        <v>596</v>
      </c>
      <c r="E118" s="37" t="n">
        <v>597</v>
      </c>
      <c r="F118" s="63" t="n">
        <f aca="false">IF(E118="","",D118-E118)</f>
        <v>-1</v>
      </c>
      <c r="G118" s="37" t="n">
        <v>437</v>
      </c>
      <c r="H118" s="37" t="n">
        <v>396</v>
      </c>
      <c r="I118" s="63" t="n">
        <f aca="false">IF(H118="","",G118-H118)</f>
        <v>41</v>
      </c>
      <c r="J118" s="52" t="n">
        <f aca="false">IF(OR(D118="",D118+G118=0),"",D118/(D118+G118))</f>
        <v>0.576960309777348</v>
      </c>
      <c r="K118" s="52" t="n">
        <f aca="false">IF(E118="","",E118/(E118+H118))</f>
        <v>0.601208459214502</v>
      </c>
      <c r="L118" s="64" t="n">
        <f aca="false">IF(OR(K118="",J118=""),"",(J118-K118)*100)</f>
        <v>-2.42481494371539</v>
      </c>
      <c r="M118" s="21"/>
    </row>
    <row r="119" customFormat="false" ht="15" hidden="false" customHeight="false" outlineLevel="0" collapsed="false">
      <c r="A119" s="21" t="s">
        <v>189</v>
      </c>
      <c r="B119" s="21" t="s">
        <v>252</v>
      </c>
      <c r="C119" s="21" t="s">
        <v>260</v>
      </c>
      <c r="D119" s="37" t="n">
        <v>657</v>
      </c>
      <c r="E119" s="37" t="n">
        <v>678</v>
      </c>
      <c r="F119" s="63" t="n">
        <f aca="false">IF(E119="","",D119-E119)</f>
        <v>-21</v>
      </c>
      <c r="G119" s="37" t="n">
        <v>450</v>
      </c>
      <c r="H119" s="37" t="n">
        <v>451</v>
      </c>
      <c r="I119" s="63" t="n">
        <f aca="false">IF(H119="","",G119-H119)</f>
        <v>-1</v>
      </c>
      <c r="J119" s="52" t="n">
        <f aca="false">IF(OR(D119="",D119+G119=0),"",D119/(D119+G119))</f>
        <v>0.59349593495935</v>
      </c>
      <c r="K119" s="52" t="n">
        <f aca="false">IF(E119="","",E119/(E119+H119))</f>
        <v>0.600531443755536</v>
      </c>
      <c r="L119" s="64" t="n">
        <f aca="false">IF(OR(K119="",J119=""),"",(J119-K119)*100)</f>
        <v>-0.703550879618631</v>
      </c>
      <c r="M119" s="21"/>
    </row>
    <row r="120" customFormat="false" ht="15" hidden="false" customHeight="false" outlineLevel="0" collapsed="false">
      <c r="A120" s="21" t="s">
        <v>189</v>
      </c>
      <c r="B120" s="21" t="s">
        <v>252</v>
      </c>
      <c r="C120" s="21" t="s">
        <v>261</v>
      </c>
      <c r="D120" s="37" t="n">
        <v>518</v>
      </c>
      <c r="E120" s="37" t="n">
        <v>524</v>
      </c>
      <c r="F120" s="63" t="n">
        <f aca="false">IF(E120="","",D120-E120)</f>
        <v>-6</v>
      </c>
      <c r="G120" s="37" t="n">
        <v>347</v>
      </c>
      <c r="H120" s="37" t="n">
        <v>327</v>
      </c>
      <c r="I120" s="63" t="n">
        <f aca="false">IF(H120="","",G120-H120)</f>
        <v>20</v>
      </c>
      <c r="J120" s="52" t="n">
        <f aca="false">IF(OR(D120="",D120+G120=0),"",D120/(D120+G120))</f>
        <v>0.598843930635838</v>
      </c>
      <c r="K120" s="52" t="n">
        <f aca="false">IF(E120="","",E120/(E120+H120))</f>
        <v>0.615746180963572</v>
      </c>
      <c r="L120" s="64" t="n">
        <f aca="false">IF(OR(K120="",J120=""),"",(J120-K120)*100)</f>
        <v>-1.69022503277341</v>
      </c>
      <c r="M120" s="21"/>
    </row>
    <row r="121" customFormat="false" ht="15" hidden="false" customHeight="false" outlineLevel="0" collapsed="false">
      <c r="A121" s="21" t="s">
        <v>189</v>
      </c>
      <c r="B121" s="21" t="s">
        <v>252</v>
      </c>
      <c r="C121" s="21" t="s">
        <v>262</v>
      </c>
      <c r="D121" s="37" t="n">
        <v>410</v>
      </c>
      <c r="E121" s="37" t="n">
        <v>437</v>
      </c>
      <c r="F121" s="63" t="n">
        <f aca="false">IF(E121="","",D121-E121)</f>
        <v>-27</v>
      </c>
      <c r="G121" s="37" t="n">
        <v>335</v>
      </c>
      <c r="H121" s="37" t="n">
        <v>344</v>
      </c>
      <c r="I121" s="63" t="n">
        <f aca="false">IF(H121="","",G121-H121)</f>
        <v>-9</v>
      </c>
      <c r="J121" s="52" t="n">
        <f aca="false">IF(OR(D121="",D121+G121=0),"",D121/(D121+G121))</f>
        <v>0.550335570469799</v>
      </c>
      <c r="K121" s="52" t="n">
        <f aca="false">IF(E121="","",E121/(E121+H121))</f>
        <v>0.559539052496799</v>
      </c>
      <c r="L121" s="64" t="n">
        <f aca="false">IF(OR(K121="",J121=""),"",(J121-K121)*100)</f>
        <v>-0.920348202700039</v>
      </c>
      <c r="M121" s="21"/>
    </row>
    <row r="122" customFormat="false" ht="15" hidden="false" customHeight="false" outlineLevel="0" collapsed="false">
      <c r="A122" s="21" t="s">
        <v>189</v>
      </c>
      <c r="B122" s="21" t="s">
        <v>252</v>
      </c>
      <c r="C122" s="21" t="s">
        <v>263</v>
      </c>
      <c r="D122" s="37" t="n">
        <v>578</v>
      </c>
      <c r="E122" s="37" t="n">
        <v>581</v>
      </c>
      <c r="F122" s="63" t="n">
        <f aca="false">IF(E122="","",D122-E122)</f>
        <v>-3</v>
      </c>
      <c r="G122" s="37" t="n">
        <v>356</v>
      </c>
      <c r="H122" s="37" t="n">
        <v>342</v>
      </c>
      <c r="I122" s="63" t="n">
        <f aca="false">IF(H122="","",G122-H122)</f>
        <v>14</v>
      </c>
      <c r="J122" s="52" t="n">
        <f aca="false">IF(OR(D122="",D122+G122=0),"",D122/(D122+G122))</f>
        <v>0.618843683083512</v>
      </c>
      <c r="K122" s="52" t="n">
        <f aca="false">IF(E122="","",E122/(E122+H122))</f>
        <v>0.629469122426869</v>
      </c>
      <c r="L122" s="64" t="n">
        <f aca="false">IF(OR(K122="",J122=""),"",(J122-K122)*100)</f>
        <v>-1.06254393433571</v>
      </c>
      <c r="M122" s="21"/>
    </row>
    <row r="123" customFormat="false" ht="15" hidden="false" customHeight="false" outlineLevel="0" collapsed="false">
      <c r="A123" s="21" t="s">
        <v>189</v>
      </c>
      <c r="B123" s="21" t="s">
        <v>252</v>
      </c>
      <c r="C123" s="21" t="s">
        <v>264</v>
      </c>
      <c r="D123" s="37" t="n">
        <v>594</v>
      </c>
      <c r="E123" s="37" t="n">
        <v>591</v>
      </c>
      <c r="F123" s="63" t="n">
        <f aca="false">IF(E123="","",D123-E123)</f>
        <v>3</v>
      </c>
      <c r="G123" s="37" t="n">
        <v>415</v>
      </c>
      <c r="H123" s="37" t="n">
        <v>390</v>
      </c>
      <c r="I123" s="63" t="n">
        <f aca="false">IF(H123="","",G123-H123)</f>
        <v>25</v>
      </c>
      <c r="J123" s="52" t="n">
        <f aca="false">IF(OR(D123="",D123+G123=0),"",D123/(D123+G123))</f>
        <v>0.588701684836472</v>
      </c>
      <c r="K123" s="52" t="n">
        <f aca="false">IF(E123="","",E123/(E123+H123))</f>
        <v>0.602446483180428</v>
      </c>
      <c r="L123" s="64" t="n">
        <f aca="false">IF(OR(K123="",J123=""),"",(J123-K123)*100)</f>
        <v>-1.37447983439564</v>
      </c>
      <c r="M123" s="21"/>
    </row>
    <row r="124" customFormat="false" ht="15" hidden="false" customHeight="false" outlineLevel="0" collapsed="false">
      <c r="A124" s="21" t="s">
        <v>189</v>
      </c>
      <c r="B124" s="21" t="s">
        <v>265</v>
      </c>
      <c r="C124" s="21" t="s">
        <v>266</v>
      </c>
      <c r="D124" s="37" t="n">
        <v>533</v>
      </c>
      <c r="E124" s="37" t="n">
        <v>557</v>
      </c>
      <c r="F124" s="63" t="n">
        <f aca="false">IF(E124="","",D124-E124)</f>
        <v>-24</v>
      </c>
      <c r="G124" s="37" t="n">
        <v>428</v>
      </c>
      <c r="H124" s="37" t="n">
        <v>454</v>
      </c>
      <c r="I124" s="63" t="n">
        <f aca="false">IF(H124="","",G124-H124)</f>
        <v>-26</v>
      </c>
      <c r="J124" s="52" t="n">
        <f aca="false">IF(OR(D124="",D124+G124=0),"",D124/(D124+G124))</f>
        <v>0.554630593132154</v>
      </c>
      <c r="K124" s="52" t="n">
        <f aca="false">IF(E124="","",E124/(E124+H124))</f>
        <v>0.550939663699308</v>
      </c>
      <c r="L124" s="64" t="n">
        <f aca="false">IF(OR(K124="",J124=""),"",(J124-K124)*100)</f>
        <v>0.369092943284644</v>
      </c>
      <c r="M124" s="21"/>
    </row>
    <row r="125" customFormat="false" ht="15" hidden="false" customHeight="false" outlineLevel="0" collapsed="false">
      <c r="A125" s="21" t="s">
        <v>189</v>
      </c>
      <c r="B125" s="21" t="s">
        <v>265</v>
      </c>
      <c r="C125" s="21" t="s">
        <v>267</v>
      </c>
      <c r="D125" s="37" t="n">
        <v>511</v>
      </c>
      <c r="E125" s="37" t="n">
        <v>467</v>
      </c>
      <c r="F125" s="63" t="n">
        <f aca="false">IF(E125="","",D125-E125)</f>
        <v>44</v>
      </c>
      <c r="G125" s="37" t="n">
        <v>540</v>
      </c>
      <c r="H125" s="37" t="n">
        <v>513</v>
      </c>
      <c r="I125" s="63" t="n">
        <f aca="false">IF(H125="","",G125-H125)</f>
        <v>27</v>
      </c>
      <c r="J125" s="52" t="n">
        <f aca="false">IF(OR(D125="",D125+G125=0),"",D125/(D125+G125))</f>
        <v>0.486203615604187</v>
      </c>
      <c r="K125" s="52" t="n">
        <f aca="false">IF(E125="","",E125/(E125+H125))</f>
        <v>0.476530612244898</v>
      </c>
      <c r="L125" s="64" t="n">
        <f aca="false">IF(OR(K125="",J125=""),"",(J125-K125)*100)</f>
        <v>0.967300335928856</v>
      </c>
      <c r="M125" s="21"/>
    </row>
    <row r="126" customFormat="false" ht="15" hidden="false" customHeight="false" outlineLevel="0" collapsed="false">
      <c r="A126" s="21" t="s">
        <v>189</v>
      </c>
      <c r="B126" s="21" t="s">
        <v>265</v>
      </c>
      <c r="C126" s="21" t="s">
        <v>268</v>
      </c>
      <c r="D126" s="37" t="n">
        <v>535</v>
      </c>
      <c r="E126" s="37" t="n">
        <v>536</v>
      </c>
      <c r="F126" s="63" t="n">
        <f aca="false">IF(E126="","",D126-E126)</f>
        <v>-1</v>
      </c>
      <c r="G126" s="37" t="n">
        <v>544</v>
      </c>
      <c r="H126" s="37" t="n">
        <v>524</v>
      </c>
      <c r="I126" s="63" t="n">
        <f aca="false">IF(H126="","",G126-H126)</f>
        <v>20</v>
      </c>
      <c r="J126" s="52" t="n">
        <f aca="false">IF(OR(D126="",D126+G126=0),"",D126/(D126+G126))</f>
        <v>0.495829471733086</v>
      </c>
      <c r="K126" s="52" t="n">
        <f aca="false">IF(E126="","",E126/(E126+H126))</f>
        <v>0.505660377358491</v>
      </c>
      <c r="L126" s="64" t="n">
        <f aca="false">IF(OR(K126="",J126=""),"",(J126-K126)*100)</f>
        <v>-0.98309056254044</v>
      </c>
      <c r="M126" s="21"/>
    </row>
    <row r="127" customFormat="false" ht="15" hidden="false" customHeight="false" outlineLevel="0" collapsed="false">
      <c r="A127" s="21" t="s">
        <v>189</v>
      </c>
      <c r="B127" s="21" t="s">
        <v>269</v>
      </c>
      <c r="C127" s="21" t="s">
        <v>269</v>
      </c>
      <c r="D127" s="37" t="n">
        <v>764</v>
      </c>
      <c r="E127" s="37" t="n">
        <v>735</v>
      </c>
      <c r="F127" s="63" t="n">
        <f aca="false">IF(E127="","",D127-E127)</f>
        <v>29</v>
      </c>
      <c r="G127" s="37" t="n">
        <v>808</v>
      </c>
      <c r="H127" s="37" t="n">
        <v>804</v>
      </c>
      <c r="I127" s="63" t="n">
        <f aca="false">IF(H127="","",G127-H127)</f>
        <v>4</v>
      </c>
      <c r="J127" s="52" t="n">
        <f aca="false">IF(OR(D127="",D127+G127=0),"",D127/(D127+G127))</f>
        <v>0.486005089058524</v>
      </c>
      <c r="K127" s="52" t="n">
        <f aca="false">IF(E127="","",E127/(E127+H127))</f>
        <v>0.477582846003899</v>
      </c>
      <c r="L127" s="64" t="n">
        <f aca="false">IF(OR(K127="",J127=""),"",(J127-K127)*100)</f>
        <v>0.842224305462558</v>
      </c>
      <c r="M127" s="21"/>
    </row>
    <row r="128" customFormat="false" ht="15" hidden="false" customHeight="false" outlineLevel="0" collapsed="false">
      <c r="A128" s="21" t="s">
        <v>189</v>
      </c>
      <c r="B128" s="21" t="s">
        <v>270</v>
      </c>
      <c r="C128" s="21" t="s">
        <v>271</v>
      </c>
      <c r="D128" s="37" t="n">
        <v>400</v>
      </c>
      <c r="E128" s="37" t="n">
        <v>372</v>
      </c>
      <c r="F128" s="63" t="n">
        <f aca="false">IF(E128="","",D128-E128)</f>
        <v>28</v>
      </c>
      <c r="G128" s="37" t="n">
        <v>407</v>
      </c>
      <c r="H128" s="37" t="n">
        <v>383</v>
      </c>
      <c r="I128" s="63" t="n">
        <f aca="false">IF(H128="","",G128-H128)</f>
        <v>24</v>
      </c>
      <c r="J128" s="52" t="n">
        <f aca="false">IF(OR(D128="",D128+G128=0),"",D128/(D128+G128))</f>
        <v>0.495662949194548</v>
      </c>
      <c r="K128" s="52" t="n">
        <f aca="false">IF(E128="","",E128/(E128+H128))</f>
        <v>0.492715231788079</v>
      </c>
      <c r="L128" s="64" t="n">
        <f aca="false">IF(OR(K128="",J128=""),"",(J128-K128)*100)</f>
        <v>0.294771740646826</v>
      </c>
      <c r="M128" s="21"/>
    </row>
    <row r="129" customFormat="false" ht="15" hidden="false" customHeight="false" outlineLevel="0" collapsed="false">
      <c r="A129" s="21" t="s">
        <v>189</v>
      </c>
      <c r="B129" s="21" t="s">
        <v>270</v>
      </c>
      <c r="C129" s="21" t="s">
        <v>272</v>
      </c>
      <c r="D129" s="37" t="n">
        <v>527</v>
      </c>
      <c r="E129" s="37" t="n">
        <v>527</v>
      </c>
      <c r="F129" s="63" t="n">
        <f aca="false">IF(E129="","",D129-E129)</f>
        <v>0</v>
      </c>
      <c r="G129" s="37" t="n">
        <v>504</v>
      </c>
      <c r="H129" s="37" t="n">
        <v>515</v>
      </c>
      <c r="I129" s="63" t="n">
        <f aca="false">IF(H129="","",G129-H129)</f>
        <v>-11</v>
      </c>
      <c r="J129" s="52" t="n">
        <f aca="false">IF(OR(D129="",D129+G129=0),"",D129/(D129+G129))</f>
        <v>0.511154219204656</v>
      </c>
      <c r="K129" s="52" t="n">
        <f aca="false">IF(E129="","",E129/(E129+H129))</f>
        <v>0.505758157389635</v>
      </c>
      <c r="L129" s="64" t="n">
        <f aca="false">IF(OR(K129="",J129=""),"",(J129-K129)*100)</f>
        <v>0.539606181502028</v>
      </c>
      <c r="M129" s="21"/>
    </row>
    <row r="130" customFormat="false" ht="15" hidden="false" customHeight="false" outlineLevel="0" collapsed="false">
      <c r="A130" s="21" t="s">
        <v>189</v>
      </c>
      <c r="B130" s="21" t="s">
        <v>273</v>
      </c>
      <c r="C130" s="21" t="s">
        <v>274</v>
      </c>
      <c r="D130" s="37" t="n">
        <v>557</v>
      </c>
      <c r="E130" s="37" t="n">
        <v>562</v>
      </c>
      <c r="F130" s="63" t="n">
        <f aca="false">IF(E130="","",D130-E130)</f>
        <v>-5</v>
      </c>
      <c r="G130" s="37" t="n">
        <v>493</v>
      </c>
      <c r="H130" s="37" t="n">
        <v>497</v>
      </c>
      <c r="I130" s="63" t="n">
        <f aca="false">IF(H130="","",G130-H130)</f>
        <v>-4</v>
      </c>
      <c r="J130" s="52" t="n">
        <f aca="false">IF(OR(D130="",D130+G130=0),"",D130/(D130+G130))</f>
        <v>0.53047619047619</v>
      </c>
      <c r="K130" s="52" t="n">
        <f aca="false">IF(E130="","",E130/(E130+H130))</f>
        <v>0.530689329556185</v>
      </c>
      <c r="L130" s="64" t="n">
        <f aca="false">IF(OR(K130="",J130=""),"",(J130-K130)*100)</f>
        <v>-0.0213139079994651</v>
      </c>
      <c r="M130" s="21"/>
    </row>
    <row r="131" customFormat="false" ht="15" hidden="false" customHeight="false" outlineLevel="0" collapsed="false">
      <c r="A131" s="21" t="s">
        <v>189</v>
      </c>
      <c r="B131" s="21" t="s">
        <v>273</v>
      </c>
      <c r="C131" s="21" t="s">
        <v>275</v>
      </c>
      <c r="D131" s="37" t="n">
        <v>567</v>
      </c>
      <c r="E131" s="37" t="n">
        <v>566</v>
      </c>
      <c r="F131" s="63" t="n">
        <f aca="false">IF(E131="","",D131-E131)</f>
        <v>1</v>
      </c>
      <c r="G131" s="37" t="n">
        <v>512</v>
      </c>
      <c r="H131" s="37" t="n">
        <v>509</v>
      </c>
      <c r="I131" s="63" t="n">
        <f aca="false">IF(H131="","",G131-H131)</f>
        <v>3</v>
      </c>
      <c r="J131" s="52" t="n">
        <f aca="false">IF(OR(D131="",D131+G131=0),"",D131/(D131+G131))</f>
        <v>0.52548656163114</v>
      </c>
      <c r="K131" s="52" t="n">
        <f aca="false">IF(E131="","",E131/(E131+H131))</f>
        <v>0.526511627906977</v>
      </c>
      <c r="L131" s="64" t="n">
        <f aca="false">IF(OR(K131="",J131=""),"",(J131-K131)*100)</f>
        <v>-0.102506627583676</v>
      </c>
      <c r="M131" s="21"/>
    </row>
    <row r="132" customFormat="false" ht="15" hidden="false" customHeight="false" outlineLevel="0" collapsed="false">
      <c r="A132" s="21" t="s">
        <v>189</v>
      </c>
      <c r="B132" s="21" t="s">
        <v>273</v>
      </c>
      <c r="C132" s="21" t="s">
        <v>276</v>
      </c>
      <c r="D132" s="37" t="n">
        <v>797</v>
      </c>
      <c r="E132" s="37" t="n">
        <v>826</v>
      </c>
      <c r="F132" s="63" t="n">
        <f aca="false">IF(E132="","",D132-E132)</f>
        <v>-29</v>
      </c>
      <c r="G132" s="37" t="n">
        <v>801</v>
      </c>
      <c r="H132" s="37" t="n">
        <v>801</v>
      </c>
      <c r="I132" s="63" t="n">
        <f aca="false">IF(H132="","",G132-H132)</f>
        <v>0</v>
      </c>
      <c r="J132" s="52" t="n">
        <f aca="false">IF(OR(D132="",D132+G132=0),"",D132/(D132+G132))</f>
        <v>0.498748435544431</v>
      </c>
      <c r="K132" s="52" t="n">
        <f aca="false">IF(E132="","",E132/(E132+H132))</f>
        <v>0.507682851874616</v>
      </c>
      <c r="L132" s="64" t="n">
        <f aca="false">IF(OR(K132="",J132=""),"",(J132-K132)*100)</f>
        <v>-0.893441633018527</v>
      </c>
      <c r="M132" s="21"/>
    </row>
    <row r="133" customFormat="false" ht="15" hidden="false" customHeight="false" outlineLevel="0" collapsed="false">
      <c r="A133" s="21" t="s">
        <v>189</v>
      </c>
      <c r="B133" s="21" t="s">
        <v>273</v>
      </c>
      <c r="C133" s="21" t="s">
        <v>277</v>
      </c>
      <c r="D133" s="37" t="n">
        <v>681</v>
      </c>
      <c r="E133" s="37" t="n">
        <v>686</v>
      </c>
      <c r="F133" s="63" t="n">
        <f aca="false">IF(E133="","",D133-E133)</f>
        <v>-5</v>
      </c>
      <c r="G133" s="37" t="n">
        <v>575</v>
      </c>
      <c r="H133" s="37" t="n">
        <v>580</v>
      </c>
      <c r="I133" s="63" t="n">
        <f aca="false">IF(H133="","",G133-H133)</f>
        <v>-5</v>
      </c>
      <c r="J133" s="52" t="n">
        <f aca="false">IF(OR(D133="",D133+G133=0),"",D133/(D133+G133))</f>
        <v>0.542197452229299</v>
      </c>
      <c r="K133" s="52" t="n">
        <f aca="false">IF(E133="","",E133/(E133+H133))</f>
        <v>0.541864139020537</v>
      </c>
      <c r="L133" s="64" t="n">
        <f aca="false">IF(OR(K133="",J133=""),"",(J133-K133)*100)</f>
        <v>0.0333313208762287</v>
      </c>
      <c r="M133" s="21"/>
    </row>
    <row r="134" customFormat="false" ht="15" hidden="false" customHeight="false" outlineLevel="0" collapsed="false">
      <c r="A134" s="21" t="s">
        <v>189</v>
      </c>
      <c r="B134" s="21" t="s">
        <v>273</v>
      </c>
      <c r="C134" s="21" t="s">
        <v>278</v>
      </c>
      <c r="D134" s="37" t="n">
        <v>339</v>
      </c>
      <c r="E134" s="37" t="n">
        <v>332</v>
      </c>
      <c r="F134" s="63" t="n">
        <f aca="false">IF(E134="","",D134-E134)</f>
        <v>7</v>
      </c>
      <c r="G134" s="37" t="n">
        <v>341</v>
      </c>
      <c r="H134" s="37" t="n">
        <v>340</v>
      </c>
      <c r="I134" s="63" t="n">
        <f aca="false">IF(H134="","",G134-H134)</f>
        <v>1</v>
      </c>
      <c r="J134" s="52" t="n">
        <f aca="false">IF(OR(D134="",D134+G134=0),"",D134/(D134+G134))</f>
        <v>0.498529411764706</v>
      </c>
      <c r="K134" s="52" t="n">
        <f aca="false">IF(E134="","",E134/(E134+H134))</f>
        <v>0.494047619047619</v>
      </c>
      <c r="L134" s="64" t="n">
        <f aca="false">IF(OR(K134="",J134=""),"",(J134-K134)*100)</f>
        <v>0.448179271708682</v>
      </c>
      <c r="M134" s="21"/>
    </row>
    <row r="135" customFormat="false" ht="15" hidden="false" customHeight="false" outlineLevel="0" collapsed="false">
      <c r="A135" s="21" t="s">
        <v>189</v>
      </c>
      <c r="B135" s="21" t="s">
        <v>273</v>
      </c>
      <c r="C135" s="21" t="s">
        <v>279</v>
      </c>
      <c r="D135" s="37" t="n">
        <v>673</v>
      </c>
      <c r="E135" s="37" t="n">
        <v>691</v>
      </c>
      <c r="F135" s="63" t="n">
        <f aca="false">IF(E135="","",D135-E135)</f>
        <v>-18</v>
      </c>
      <c r="G135" s="37" t="n">
        <v>526</v>
      </c>
      <c r="H135" s="37" t="n">
        <v>509</v>
      </c>
      <c r="I135" s="63" t="n">
        <f aca="false">IF(H135="","",G135-H135)</f>
        <v>17</v>
      </c>
      <c r="J135" s="52" t="n">
        <f aca="false">IF(OR(D135="",D135+G135=0),"",D135/(D135+G135))</f>
        <v>0.561301084236864</v>
      </c>
      <c r="K135" s="52" t="n">
        <f aca="false">IF(E135="","",E135/(E135+H135))</f>
        <v>0.575833333333333</v>
      </c>
      <c r="L135" s="64" t="n">
        <f aca="false">IF(OR(K135="",J135=""),"",(J135-K135)*100)</f>
        <v>-1.45322490964692</v>
      </c>
      <c r="M135" s="21"/>
    </row>
    <row r="136" customFormat="false" ht="15" hidden="false" customHeight="false" outlineLevel="0" collapsed="false">
      <c r="A136" s="21" t="s">
        <v>189</v>
      </c>
      <c r="B136" s="21" t="s">
        <v>280</v>
      </c>
      <c r="C136" s="21" t="s">
        <v>281</v>
      </c>
      <c r="D136" s="37" t="n">
        <v>648</v>
      </c>
      <c r="E136" s="37" t="n">
        <v>579</v>
      </c>
      <c r="F136" s="63" t="n">
        <f aca="false">IF(E136="","",D136-E136)</f>
        <v>69</v>
      </c>
      <c r="G136" s="37" t="n">
        <v>294</v>
      </c>
      <c r="H136" s="37" t="n">
        <v>292</v>
      </c>
      <c r="I136" s="63" t="n">
        <f aca="false">IF(H136="","",G136-H136)</f>
        <v>2</v>
      </c>
      <c r="J136" s="52" t="n">
        <f aca="false">IF(OR(D136="",D136+G136=0),"",D136/(D136+G136))</f>
        <v>0.687898089171975</v>
      </c>
      <c r="K136" s="52" t="n">
        <f aca="false">IF(E136="","",E136/(E136+H136))</f>
        <v>0.664753157290471</v>
      </c>
      <c r="L136" s="64" t="n">
        <f aca="false">IF(OR(K136="",J136=""),"",(J136-K136)*100)</f>
        <v>2.31449318815038</v>
      </c>
      <c r="M136" s="21"/>
    </row>
    <row r="137" customFormat="false" ht="15" hidden="false" customHeight="false" outlineLevel="0" collapsed="false">
      <c r="A137" s="21" t="s">
        <v>189</v>
      </c>
      <c r="B137" s="21" t="s">
        <v>280</v>
      </c>
      <c r="C137" s="21" t="s">
        <v>282</v>
      </c>
      <c r="D137" s="37" t="n">
        <v>450</v>
      </c>
      <c r="E137" s="37" t="n">
        <v>440</v>
      </c>
      <c r="F137" s="63" t="n">
        <f aca="false">IF(E137="","",D137-E137)</f>
        <v>10</v>
      </c>
      <c r="G137" s="37" t="n">
        <v>267</v>
      </c>
      <c r="H137" s="37" t="n">
        <v>262</v>
      </c>
      <c r="I137" s="63" t="n">
        <f aca="false">IF(H137="","",G137-H137)</f>
        <v>5</v>
      </c>
      <c r="J137" s="52" t="n">
        <f aca="false">IF(OR(D137="",D137+G137=0),"",D137/(D137+G137))</f>
        <v>0.627615062761506</v>
      </c>
      <c r="K137" s="52" t="n">
        <f aca="false">IF(E137="","",E137/(E137+H137))</f>
        <v>0.626780626780627</v>
      </c>
      <c r="L137" s="64" t="n">
        <f aca="false">IF(OR(K137="",J137=""),"",(J137-K137)*100)</f>
        <v>0.0834435980879511</v>
      </c>
      <c r="M137" s="21"/>
    </row>
    <row r="138" customFormat="false" ht="15" hidden="false" customHeight="false" outlineLevel="0" collapsed="false">
      <c r="A138" s="21" t="s">
        <v>189</v>
      </c>
      <c r="B138" s="21" t="s">
        <v>280</v>
      </c>
      <c r="C138" s="21" t="s">
        <v>283</v>
      </c>
      <c r="D138" s="37" t="n">
        <v>453</v>
      </c>
      <c r="E138" s="37" t="n">
        <v>414</v>
      </c>
      <c r="F138" s="63" t="n">
        <f aca="false">IF(E138="","",D138-E138)</f>
        <v>39</v>
      </c>
      <c r="G138" s="37" t="n">
        <v>228</v>
      </c>
      <c r="H138" s="37" t="n">
        <v>239</v>
      </c>
      <c r="I138" s="63" t="n">
        <f aca="false">IF(H138="","",G138-H138)</f>
        <v>-11</v>
      </c>
      <c r="J138" s="52" t="n">
        <f aca="false">IF(OR(D138="",D138+G138=0),"",D138/(D138+G138))</f>
        <v>0.665198237885463</v>
      </c>
      <c r="K138" s="52" t="n">
        <f aca="false">IF(E138="","",E138/(E138+H138))</f>
        <v>0.633996937212864</v>
      </c>
      <c r="L138" s="64" t="n">
        <f aca="false">IF(OR(K138="",J138=""),"",(J138-K138)*100)</f>
        <v>3.12013006725989</v>
      </c>
      <c r="M138" s="21"/>
    </row>
    <row r="139" customFormat="false" ht="15" hidden="false" customHeight="false" outlineLevel="0" collapsed="false">
      <c r="A139" s="21" t="s">
        <v>189</v>
      </c>
      <c r="B139" s="21" t="s">
        <v>284</v>
      </c>
      <c r="C139" s="21" t="s">
        <v>284</v>
      </c>
      <c r="D139" s="37" t="n">
        <v>395</v>
      </c>
      <c r="E139" s="37" t="n">
        <v>379</v>
      </c>
      <c r="F139" s="63" t="n">
        <f aca="false">IF(E139="","",D139-E139)</f>
        <v>16</v>
      </c>
      <c r="G139" s="37" t="n">
        <v>346</v>
      </c>
      <c r="H139" s="37" t="n">
        <v>330</v>
      </c>
      <c r="I139" s="63" t="n">
        <f aca="false">IF(H139="","",G139-H139)</f>
        <v>16</v>
      </c>
      <c r="J139" s="52" t="n">
        <f aca="false">IF(OR(D139="",D139+G139=0),"",D139/(D139+G139))</f>
        <v>0.53306342780027</v>
      </c>
      <c r="K139" s="52" t="n">
        <f aca="false">IF(E139="","",E139/(E139+H139))</f>
        <v>0.534555712270804</v>
      </c>
      <c r="L139" s="64" t="n">
        <f aca="false">IF(OR(K139="",J139=""),"",(J139-K139)*100)</f>
        <v>-0.149228447053396</v>
      </c>
      <c r="M139" s="21"/>
    </row>
    <row r="140" customFormat="false" ht="15" hidden="false" customHeight="false" outlineLevel="0" collapsed="false">
      <c r="A140" s="21" t="s">
        <v>189</v>
      </c>
      <c r="B140" s="21" t="s">
        <v>285</v>
      </c>
      <c r="C140" s="21" t="s">
        <v>285</v>
      </c>
      <c r="D140" s="37" t="n">
        <v>633</v>
      </c>
      <c r="E140" s="37" t="n">
        <v>654</v>
      </c>
      <c r="F140" s="63" t="n">
        <f aca="false">IF(E140="","",D140-E140)</f>
        <v>-21</v>
      </c>
      <c r="G140" s="37" t="n">
        <v>1425</v>
      </c>
      <c r="H140" s="37" t="n">
        <v>1439</v>
      </c>
      <c r="I140" s="63" t="n">
        <f aca="false">IF(H140="","",G140-H140)</f>
        <v>-14</v>
      </c>
      <c r="J140" s="52" t="n">
        <f aca="false">IF(OR(D140="",D140+G140=0),"",D140/(D140+G140))</f>
        <v>0.307580174927114</v>
      </c>
      <c r="K140" s="52" t="n">
        <f aca="false">IF(E140="","",E140/(E140+H140))</f>
        <v>0.312470138557095</v>
      </c>
      <c r="L140" s="64" t="n">
        <f aca="false">IF(OR(K140="",J140=""),"",(J140-K140)*100)</f>
        <v>-0.48899636299814</v>
      </c>
      <c r="M140" s="21"/>
    </row>
    <row r="141" customFormat="false" ht="15" hidden="false" customHeight="false" outlineLevel="0" collapsed="false">
      <c r="A141" s="21" t="s">
        <v>189</v>
      </c>
      <c r="B141" s="21" t="s">
        <v>286</v>
      </c>
      <c r="C141" s="21" t="s">
        <v>287</v>
      </c>
      <c r="D141" s="37" t="n">
        <v>947</v>
      </c>
      <c r="E141" s="37" t="n">
        <v>928</v>
      </c>
      <c r="F141" s="63" t="n">
        <f aca="false">IF(E141="","",D141-E141)</f>
        <v>19</v>
      </c>
      <c r="G141" s="37" t="n">
        <v>989</v>
      </c>
      <c r="H141" s="37" t="n">
        <v>988</v>
      </c>
      <c r="I141" s="63" t="n">
        <f aca="false">IF(H141="","",G141-H141)</f>
        <v>1</v>
      </c>
      <c r="J141" s="52" t="n">
        <f aca="false">IF(OR(D141="",D141+G141=0),"",D141/(D141+G141))</f>
        <v>0.489152892561983</v>
      </c>
      <c r="K141" s="52" t="n">
        <f aca="false">IF(E141="","",E141/(E141+H141))</f>
        <v>0.484342379958246</v>
      </c>
      <c r="L141" s="64" t="n">
        <f aca="false">IF(OR(K141="",J141=""),"",(J141-K141)*100)</f>
        <v>0.481051260373711</v>
      </c>
      <c r="M141" s="21"/>
    </row>
    <row r="142" customFormat="false" ht="15" hidden="false" customHeight="false" outlineLevel="0" collapsed="false">
      <c r="A142" s="21" t="s">
        <v>189</v>
      </c>
      <c r="B142" s="21" t="s">
        <v>286</v>
      </c>
      <c r="C142" s="21" t="s">
        <v>288</v>
      </c>
      <c r="D142" s="37" t="n">
        <v>1123</v>
      </c>
      <c r="E142" s="37" t="n">
        <v>1082</v>
      </c>
      <c r="F142" s="63" t="n">
        <f aca="false">IF(E142="","",D142-E142)</f>
        <v>41</v>
      </c>
      <c r="G142" s="37" t="n">
        <v>1132</v>
      </c>
      <c r="H142" s="37" t="n">
        <v>1101</v>
      </c>
      <c r="I142" s="63" t="n">
        <f aca="false">IF(H142="","",G142-H142)</f>
        <v>31</v>
      </c>
      <c r="J142" s="52" t="n">
        <f aca="false">IF(OR(D142="",D142+G142=0),"",D142/(D142+G142))</f>
        <v>0.4980044345898</v>
      </c>
      <c r="K142" s="52" t="n">
        <f aca="false">IF(E142="","",E142/(E142+H142))</f>
        <v>0.495648190563445</v>
      </c>
      <c r="L142" s="64" t="n">
        <f aca="false">IF(OR(K142="",J142=""),"",(J142-K142)*100)</f>
        <v>0.235624402635565</v>
      </c>
      <c r="M142" s="21"/>
    </row>
    <row r="143" customFormat="false" ht="15" hidden="false" customHeight="false" outlineLevel="0" collapsed="false">
      <c r="A143" s="21" t="s">
        <v>189</v>
      </c>
      <c r="B143" s="21" t="s">
        <v>286</v>
      </c>
      <c r="C143" s="21" t="s">
        <v>289</v>
      </c>
      <c r="D143" s="37" t="n">
        <v>1828</v>
      </c>
      <c r="E143" s="37" t="n">
        <v>1799</v>
      </c>
      <c r="F143" s="63" t="n">
        <f aca="false">IF(E143="","",D143-E143)</f>
        <v>29</v>
      </c>
      <c r="G143" s="37" t="n">
        <v>1887</v>
      </c>
      <c r="H143" s="37" t="n">
        <v>1810</v>
      </c>
      <c r="I143" s="63" t="n">
        <f aca="false">IF(H143="","",G143-H143)</f>
        <v>77</v>
      </c>
      <c r="J143" s="52" t="n">
        <f aca="false">IF(OR(D143="",D143+G143=0),"",D143/(D143+G143))</f>
        <v>0.492059219380888</v>
      </c>
      <c r="K143" s="52" t="n">
        <f aca="false">IF(E143="","",E143/(E143+H143))</f>
        <v>0.498476032141868</v>
      </c>
      <c r="L143" s="64" t="n">
        <f aca="false">IF(OR(K143="",J143=""),"",(J143-K143)*100)</f>
        <v>-0.641681276097922</v>
      </c>
      <c r="M143" s="21"/>
    </row>
    <row r="144" customFormat="false" ht="15" hidden="false" customHeight="false" outlineLevel="0" collapsed="false">
      <c r="A144" s="21" t="s">
        <v>189</v>
      </c>
      <c r="B144" s="21" t="s">
        <v>286</v>
      </c>
      <c r="C144" s="21" t="s">
        <v>290</v>
      </c>
      <c r="D144" s="37" t="n">
        <v>929</v>
      </c>
      <c r="E144" s="37" t="n">
        <v>906</v>
      </c>
      <c r="F144" s="63" t="n">
        <f aca="false">IF(E144="","",D144-E144)</f>
        <v>23</v>
      </c>
      <c r="G144" s="37" t="n">
        <v>961</v>
      </c>
      <c r="H144" s="37" t="n">
        <v>980</v>
      </c>
      <c r="I144" s="63" t="n">
        <f aca="false">IF(H144="","",G144-H144)</f>
        <v>-19</v>
      </c>
      <c r="J144" s="52" t="n">
        <f aca="false">IF(OR(D144="",D144+G144=0),"",D144/(D144+G144))</f>
        <v>0.491534391534392</v>
      </c>
      <c r="K144" s="52" t="n">
        <f aca="false">IF(E144="","",E144/(E144+H144))</f>
        <v>0.480381760339343</v>
      </c>
      <c r="L144" s="64" t="n">
        <f aca="false">IF(OR(K144="",J144=""),"",(J144-K144)*100)</f>
        <v>1.1152631195049</v>
      </c>
      <c r="M144" s="21"/>
    </row>
    <row r="145" customFormat="false" ht="15" hidden="false" customHeight="false" outlineLevel="0" collapsed="false">
      <c r="A145" s="21" t="s">
        <v>189</v>
      </c>
      <c r="B145" s="21" t="s">
        <v>286</v>
      </c>
      <c r="C145" s="21" t="s">
        <v>291</v>
      </c>
      <c r="D145" s="37" t="n">
        <v>863</v>
      </c>
      <c r="E145" s="37" t="n">
        <v>852</v>
      </c>
      <c r="F145" s="63" t="n">
        <f aca="false">IF(E145="","",D145-E145)</f>
        <v>11</v>
      </c>
      <c r="G145" s="37" t="n">
        <v>893</v>
      </c>
      <c r="H145" s="37" t="n">
        <v>912</v>
      </c>
      <c r="I145" s="63" t="n">
        <f aca="false">IF(H145="","",G145-H145)</f>
        <v>-19</v>
      </c>
      <c r="J145" s="52" t="n">
        <f aca="false">IF(OR(D145="",D145+G145=0),"",D145/(D145+G145))</f>
        <v>0.491457858769932</v>
      </c>
      <c r="K145" s="52" t="n">
        <f aca="false">IF(E145="","",E145/(E145+H145))</f>
        <v>0.482993197278912</v>
      </c>
      <c r="L145" s="64" t="n">
        <f aca="false">IF(OR(K145="",J145=""),"",(J145-K145)*100)</f>
        <v>0.84646614910201</v>
      </c>
      <c r="M145" s="21"/>
    </row>
    <row r="146" customFormat="false" ht="15" hidden="false" customHeight="false" outlineLevel="0" collapsed="false">
      <c r="A146" s="21" t="s">
        <v>189</v>
      </c>
      <c r="B146" s="21" t="s">
        <v>286</v>
      </c>
      <c r="C146" s="21" t="s">
        <v>292</v>
      </c>
      <c r="D146" s="37" t="n">
        <v>694</v>
      </c>
      <c r="E146" s="37" t="n">
        <v>715</v>
      </c>
      <c r="F146" s="63" t="n">
        <f aca="false">IF(E146="","",D146-E146)</f>
        <v>-21</v>
      </c>
      <c r="G146" s="37" t="n">
        <v>695</v>
      </c>
      <c r="H146" s="37" t="n">
        <v>677</v>
      </c>
      <c r="I146" s="63" t="n">
        <f aca="false">IF(H146="","",G146-H146)</f>
        <v>18</v>
      </c>
      <c r="J146" s="52" t="n">
        <f aca="false">IF(OR(D146="",D146+G146=0),"",D146/(D146+G146))</f>
        <v>0.499640028797696</v>
      </c>
      <c r="K146" s="52" t="n">
        <f aca="false">IF(E146="","",E146/(E146+H146))</f>
        <v>0.513649425287356</v>
      </c>
      <c r="L146" s="64" t="n">
        <f aca="false">IF(OR(K146="",J146=""),"",(J146-K146)*100)</f>
        <v>-1.40093964896602</v>
      </c>
      <c r="M146" s="21"/>
    </row>
    <row r="147" customFormat="false" ht="15" hidden="false" customHeight="false" outlineLevel="0" collapsed="false">
      <c r="A147" s="21" t="s">
        <v>189</v>
      </c>
      <c r="B147" s="21" t="s">
        <v>286</v>
      </c>
      <c r="C147" s="21" t="s">
        <v>293</v>
      </c>
      <c r="D147" s="37" t="n">
        <v>1574</v>
      </c>
      <c r="E147" s="37" t="n">
        <v>1480</v>
      </c>
      <c r="F147" s="63" t="n">
        <f aca="false">IF(E147="","",D147-E147)</f>
        <v>94</v>
      </c>
      <c r="G147" s="37" t="n">
        <v>1575</v>
      </c>
      <c r="H147" s="37" t="n">
        <v>1588</v>
      </c>
      <c r="I147" s="63" t="n">
        <f aca="false">IF(H147="","",G147-H147)</f>
        <v>-13</v>
      </c>
      <c r="J147" s="52" t="n">
        <f aca="false">IF(OR(D147="",D147+G147=0),"",D147/(D147+G147))</f>
        <v>0.499841219434741</v>
      </c>
      <c r="K147" s="52" t="n">
        <f aca="false">IF(E147="","",E147/(E147+H147))</f>
        <v>0.482398956975228</v>
      </c>
      <c r="L147" s="64" t="n">
        <f aca="false">IF(OR(K147="",J147=""),"",(J147-K147)*100)</f>
        <v>1.7442262459513</v>
      </c>
      <c r="M147" s="21"/>
    </row>
    <row r="148" customFormat="false" ht="15" hidden="false" customHeight="false" outlineLevel="0" collapsed="false">
      <c r="A148" s="21" t="s">
        <v>189</v>
      </c>
      <c r="B148" s="21" t="s">
        <v>286</v>
      </c>
      <c r="C148" s="21" t="s">
        <v>294</v>
      </c>
      <c r="D148" s="37" t="n">
        <v>889</v>
      </c>
      <c r="E148" s="37" t="n">
        <v>890</v>
      </c>
      <c r="F148" s="63" t="n">
        <f aca="false">IF(E148="","",D148-E148)</f>
        <v>-1</v>
      </c>
      <c r="G148" s="37" t="n">
        <v>800</v>
      </c>
      <c r="H148" s="37" t="n">
        <v>789</v>
      </c>
      <c r="I148" s="63" t="n">
        <f aca="false">IF(H148="","",G148-H148)</f>
        <v>11</v>
      </c>
      <c r="J148" s="52" t="n">
        <f aca="false">IF(OR(D148="",D148+G148=0),"",D148/(D148+G148))</f>
        <v>0.526346950858496</v>
      </c>
      <c r="K148" s="52" t="n">
        <f aca="false">IF(E148="","",E148/(E148+H148))</f>
        <v>0.530077427039905</v>
      </c>
      <c r="L148" s="64" t="n">
        <f aca="false">IF(OR(K148="",J148=""),"",(J148-K148)*100)</f>
        <v>-0.373047618140854</v>
      </c>
      <c r="M148" s="21"/>
    </row>
    <row r="149" customFormat="false" ht="15" hidden="false" customHeight="false" outlineLevel="0" collapsed="false">
      <c r="A149" s="21" t="s">
        <v>189</v>
      </c>
      <c r="B149" s="21" t="s">
        <v>286</v>
      </c>
      <c r="C149" s="21" t="s">
        <v>295</v>
      </c>
      <c r="D149" s="37" t="n">
        <v>799</v>
      </c>
      <c r="E149" s="37" t="n">
        <v>817</v>
      </c>
      <c r="F149" s="63" t="n">
        <f aca="false">IF(E149="","",D149-E149)</f>
        <v>-18</v>
      </c>
      <c r="G149" s="37" t="n">
        <v>784</v>
      </c>
      <c r="H149" s="37" t="n">
        <v>798</v>
      </c>
      <c r="I149" s="63" t="n">
        <f aca="false">IF(H149="","",G149-H149)</f>
        <v>-14</v>
      </c>
      <c r="J149" s="52" t="n">
        <f aca="false">IF(OR(D149="",D149+G149=0),"",D149/(D149+G149))</f>
        <v>0.504737839545167</v>
      </c>
      <c r="K149" s="52" t="n">
        <f aca="false">IF(E149="","",E149/(E149+H149))</f>
        <v>0.505882352941176</v>
      </c>
      <c r="L149" s="64" t="n">
        <f aca="false">IF(OR(K149="",J149=""),"",(J149-K149)*100)</f>
        <v>-0.114451339600907</v>
      </c>
      <c r="M149" s="21"/>
    </row>
    <row r="150" customFormat="false" ht="15" hidden="false" customHeight="false" outlineLevel="0" collapsed="false">
      <c r="A150" s="21" t="s">
        <v>189</v>
      </c>
      <c r="B150" s="21" t="s">
        <v>286</v>
      </c>
      <c r="C150" s="21" t="s">
        <v>296</v>
      </c>
      <c r="D150" s="37" t="n">
        <v>575</v>
      </c>
      <c r="E150" s="37" t="n">
        <v>552</v>
      </c>
      <c r="F150" s="63" t="n">
        <f aca="false">IF(E150="","",D150-E150)</f>
        <v>23</v>
      </c>
      <c r="G150" s="37" t="n">
        <v>537</v>
      </c>
      <c r="H150" s="37" t="n">
        <v>556</v>
      </c>
      <c r="I150" s="63" t="n">
        <f aca="false">IF(H150="","",G150-H150)</f>
        <v>-19</v>
      </c>
      <c r="J150" s="52" t="n">
        <f aca="false">IF(OR(D150="",D150+G150=0),"",D150/(D150+G150))</f>
        <v>0.517086330935252</v>
      </c>
      <c r="K150" s="52" t="n">
        <f aca="false">IF(E150="","",E150/(E150+H150))</f>
        <v>0.498194945848375</v>
      </c>
      <c r="L150" s="64" t="n">
        <f aca="false">IF(OR(K150="",J150=""),"",(J150-K150)*100)</f>
        <v>1.88913850868764</v>
      </c>
      <c r="M150" s="21"/>
    </row>
    <row r="151" customFormat="false" ht="15" hidden="false" customHeight="false" outlineLevel="0" collapsed="false">
      <c r="A151" s="21" t="s">
        <v>189</v>
      </c>
      <c r="B151" s="21" t="s">
        <v>297</v>
      </c>
      <c r="C151" s="21" t="s">
        <v>297</v>
      </c>
      <c r="D151" s="37" t="n">
        <v>944</v>
      </c>
      <c r="E151" s="37" t="n">
        <v>985</v>
      </c>
      <c r="F151" s="63" t="n">
        <f aca="false">IF(E151="","",D151-E151)</f>
        <v>-41</v>
      </c>
      <c r="G151" s="37" t="n">
        <v>1662</v>
      </c>
      <c r="H151" s="37" t="n">
        <v>1586</v>
      </c>
      <c r="I151" s="63" t="n">
        <f aca="false">IF(H151="","",G151-H151)</f>
        <v>76</v>
      </c>
      <c r="J151" s="52" t="n">
        <f aca="false">IF(OR(D151="",D151+G151=0),"",D151/(D151+G151))</f>
        <v>0.362240982348427</v>
      </c>
      <c r="K151" s="52" t="n">
        <f aca="false">IF(E151="","",E151/(E151+H151))</f>
        <v>0.383119408790354</v>
      </c>
      <c r="L151" s="64" t="n">
        <f aca="false">IF(OR(K151="",J151=""),"",(J151-K151)*100)</f>
        <v>-2.08784264419272</v>
      </c>
      <c r="M151" s="21"/>
    </row>
    <row r="152" customFormat="false" ht="15" hidden="false" customHeight="false" outlineLevel="0" collapsed="false">
      <c r="A152" s="21" t="s">
        <v>189</v>
      </c>
      <c r="B152" s="21" t="s">
        <v>298</v>
      </c>
      <c r="C152" s="21" t="s">
        <v>298</v>
      </c>
      <c r="D152" s="37" t="n">
        <v>542</v>
      </c>
      <c r="E152" s="37" t="n">
        <v>543</v>
      </c>
      <c r="F152" s="63" t="n">
        <f aca="false">IF(E152="","",D152-E152)</f>
        <v>-1</v>
      </c>
      <c r="G152" s="37" t="n">
        <v>1022</v>
      </c>
      <c r="H152" s="37" t="n">
        <v>990</v>
      </c>
      <c r="I152" s="63" t="n">
        <f aca="false">IF(H152="","",G152-H152)</f>
        <v>32</v>
      </c>
      <c r="J152" s="52" t="n">
        <f aca="false">IF(OR(D152="",D152+G152=0),"",D152/(D152+G152))</f>
        <v>0.346547314578005</v>
      </c>
      <c r="K152" s="52" t="n">
        <f aca="false">IF(E152="","",E152/(E152+H152))</f>
        <v>0.354207436399217</v>
      </c>
      <c r="L152" s="64" t="n">
        <f aca="false">IF(OR(K152="",J152=""),"",(J152-K152)*100)</f>
        <v>-0.766012182121206</v>
      </c>
      <c r="M152" s="21"/>
    </row>
    <row r="153" customFormat="false" ht="15" hidden="false" customHeight="false" outlineLevel="0" collapsed="false">
      <c r="A153" s="21" t="s">
        <v>189</v>
      </c>
      <c r="B153" s="21" t="s">
        <v>299</v>
      </c>
      <c r="C153" s="21" t="s">
        <v>300</v>
      </c>
      <c r="D153" s="37" t="n">
        <v>191</v>
      </c>
      <c r="E153" s="37" t="n">
        <v>181</v>
      </c>
      <c r="F153" s="63" t="n">
        <f aca="false">IF(E153="","",D153-E153)</f>
        <v>10</v>
      </c>
      <c r="G153" s="37" t="n">
        <v>488</v>
      </c>
      <c r="H153" s="37" t="n">
        <v>482</v>
      </c>
      <c r="I153" s="63" t="n">
        <f aca="false">IF(H153="","",G153-H153)</f>
        <v>6</v>
      </c>
      <c r="J153" s="52" t="n">
        <f aca="false">IF(OR(D153="",D153+G153=0),"",D153/(D153+G153))</f>
        <v>0.281296023564065</v>
      </c>
      <c r="K153" s="52" t="n">
        <f aca="false">IF(E153="","",E153/(E153+H153))</f>
        <v>0.273001508295626</v>
      </c>
      <c r="L153" s="64" t="n">
        <f aca="false">IF(OR(K153="",J153=""),"",(J153-K153)*100)</f>
        <v>0.829451526843889</v>
      </c>
      <c r="M153" s="21"/>
    </row>
    <row r="154" customFormat="false" ht="15" hidden="false" customHeight="false" outlineLevel="0" collapsed="false">
      <c r="A154" s="21" t="s">
        <v>189</v>
      </c>
      <c r="B154" s="21" t="s">
        <v>299</v>
      </c>
      <c r="C154" s="21" t="s">
        <v>301</v>
      </c>
      <c r="D154" s="37" t="n">
        <v>141</v>
      </c>
      <c r="E154" s="37" t="n">
        <v>147</v>
      </c>
      <c r="F154" s="63" t="n">
        <f aca="false">IF(E154="","",D154-E154)</f>
        <v>-6</v>
      </c>
      <c r="G154" s="37" t="n">
        <v>320</v>
      </c>
      <c r="H154" s="37" t="n">
        <v>314</v>
      </c>
      <c r="I154" s="63" t="n">
        <f aca="false">IF(H154="","",G154-H154)</f>
        <v>6</v>
      </c>
      <c r="J154" s="52" t="n">
        <f aca="false">IF(OR(D154="",D154+G154=0),"",D154/(D154+G154))</f>
        <v>0.3058568329718</v>
      </c>
      <c r="K154" s="52" t="n">
        <f aca="false">IF(E154="","",E154/(E154+H154))</f>
        <v>0.318872017353579</v>
      </c>
      <c r="L154" s="64" t="n">
        <f aca="false">IF(OR(K154="",J154=""),"",(J154-K154)*100)</f>
        <v>-1.30151843817787</v>
      </c>
      <c r="M154" s="21"/>
    </row>
    <row r="155" customFormat="false" ht="15" hidden="false" customHeight="false" outlineLevel="0" collapsed="false">
      <c r="A155" s="21" t="s">
        <v>189</v>
      </c>
      <c r="B155" s="21" t="s">
        <v>299</v>
      </c>
      <c r="C155" s="21" t="s">
        <v>302</v>
      </c>
      <c r="D155" s="37" t="n">
        <v>504</v>
      </c>
      <c r="E155" s="37" t="n">
        <v>522</v>
      </c>
      <c r="F155" s="63" t="n">
        <f aca="false">IF(E155="","",D155-E155)</f>
        <v>-18</v>
      </c>
      <c r="G155" s="37" t="n">
        <v>1061</v>
      </c>
      <c r="H155" s="37" t="n">
        <v>1060</v>
      </c>
      <c r="I155" s="63" t="n">
        <f aca="false">IF(H155="","",G155-H155)</f>
        <v>1</v>
      </c>
      <c r="J155" s="52" t="n">
        <f aca="false">IF(OR(D155="",D155+G155=0),"",D155/(D155+G155))</f>
        <v>0.322044728434505</v>
      </c>
      <c r="K155" s="52" t="n">
        <f aca="false">IF(E155="","",E155/(E155+H155))</f>
        <v>0.329962073324905</v>
      </c>
      <c r="L155" s="64" t="n">
        <f aca="false">IF(OR(K155="",J155=""),"",(J155-K155)*100)</f>
        <v>-0.791734489040041</v>
      </c>
      <c r="M155" s="21"/>
    </row>
    <row r="156" customFormat="false" ht="15" hidden="false" customHeight="false" outlineLevel="0" collapsed="false">
      <c r="A156" s="21" t="s">
        <v>189</v>
      </c>
      <c r="B156" s="21" t="s">
        <v>303</v>
      </c>
      <c r="C156" s="21" t="s">
        <v>303</v>
      </c>
      <c r="D156" s="37" t="n">
        <v>1005</v>
      </c>
      <c r="E156" s="37" t="n">
        <v>980</v>
      </c>
      <c r="F156" s="63" t="n">
        <f aca="false">IF(E156="","",D156-E156)</f>
        <v>25</v>
      </c>
      <c r="G156" s="37" t="n">
        <v>895</v>
      </c>
      <c r="H156" s="37" t="n">
        <v>872</v>
      </c>
      <c r="I156" s="63" t="n">
        <f aca="false">IF(H156="","",G156-H156)</f>
        <v>23</v>
      </c>
      <c r="J156" s="52" t="n">
        <f aca="false">IF(OR(D156="",D156+G156=0),"",D156/(D156+G156))</f>
        <v>0.528947368421053</v>
      </c>
      <c r="K156" s="52" t="n">
        <f aca="false">IF(E156="","",E156/(E156+H156))</f>
        <v>0.529157667386609</v>
      </c>
      <c r="L156" s="64" t="n">
        <f aca="false">IF(OR(K156="",J156=""),"",(J156-K156)*100)</f>
        <v>-0.0210298965556466</v>
      </c>
      <c r="M156" s="21"/>
    </row>
    <row r="157" customFormat="false" ht="15" hidden="false" customHeight="false" outlineLevel="0" collapsed="false">
      <c r="A157" s="21" t="s">
        <v>189</v>
      </c>
      <c r="B157" s="21" t="s">
        <v>304</v>
      </c>
      <c r="C157" s="21" t="s">
        <v>305</v>
      </c>
      <c r="D157" s="37" t="n">
        <v>988</v>
      </c>
      <c r="E157" s="37" t="n">
        <v>1010</v>
      </c>
      <c r="F157" s="63" t="n">
        <f aca="false">IF(E157="","",D157-E157)</f>
        <v>-22</v>
      </c>
      <c r="G157" s="37" t="n">
        <v>1373</v>
      </c>
      <c r="H157" s="37" t="n">
        <v>1334</v>
      </c>
      <c r="I157" s="63" t="n">
        <f aca="false">IF(H157="","",G157-H157)</f>
        <v>39</v>
      </c>
      <c r="J157" s="52" t="n">
        <f aca="false">IF(OR(D157="",D157+G157=0),"",D157/(D157+G157))</f>
        <v>0.418466751376535</v>
      </c>
      <c r="K157" s="52" t="n">
        <f aca="false">IF(E157="","",E157/(E157+H157))</f>
        <v>0.430887372013652</v>
      </c>
      <c r="L157" s="64" t="n">
        <f aca="false">IF(OR(K157="",J157=""),"",(J157-K157)*100)</f>
        <v>-1.24206206371165</v>
      </c>
      <c r="M157" s="21"/>
    </row>
    <row r="158" customFormat="false" ht="15" hidden="false" customHeight="false" outlineLevel="0" collapsed="false">
      <c r="A158" s="21" t="s">
        <v>189</v>
      </c>
      <c r="B158" s="21" t="s">
        <v>304</v>
      </c>
      <c r="C158" s="21" t="s">
        <v>306</v>
      </c>
      <c r="D158" s="37" t="n">
        <v>851</v>
      </c>
      <c r="E158" s="37" t="n">
        <v>860</v>
      </c>
      <c r="F158" s="63" t="n">
        <f aca="false">IF(E158="","",D158-E158)</f>
        <v>-9</v>
      </c>
      <c r="G158" s="37" t="n">
        <v>1371</v>
      </c>
      <c r="H158" s="37" t="n">
        <v>1332</v>
      </c>
      <c r="I158" s="63" t="n">
        <f aca="false">IF(H158="","",G158-H158)</f>
        <v>39</v>
      </c>
      <c r="J158" s="52" t="n">
        <f aca="false">IF(OR(D158="",D158+G158=0),"",D158/(D158+G158))</f>
        <v>0.382988298829883</v>
      </c>
      <c r="K158" s="52" t="n">
        <f aca="false">IF(E158="","",E158/(E158+H158))</f>
        <v>0.392335766423358</v>
      </c>
      <c r="L158" s="64" t="n">
        <f aca="false">IF(OR(K158="",J158=""),"",(J158-K158)*100)</f>
        <v>-0.934746759347466</v>
      </c>
      <c r="M158" s="21"/>
    </row>
    <row r="159" customFormat="false" ht="15" hidden="false" customHeight="false" outlineLevel="0" collapsed="false">
      <c r="A159" s="21" t="s">
        <v>189</v>
      </c>
      <c r="B159" s="21" t="s">
        <v>304</v>
      </c>
      <c r="C159" s="21" t="s">
        <v>307</v>
      </c>
      <c r="D159" s="37" t="n">
        <v>453</v>
      </c>
      <c r="E159" s="37" t="n">
        <v>449</v>
      </c>
      <c r="F159" s="63" t="n">
        <f aca="false">IF(E159="","",D159-E159)</f>
        <v>4</v>
      </c>
      <c r="G159" s="37" t="n">
        <v>690</v>
      </c>
      <c r="H159" s="37" t="n">
        <v>705</v>
      </c>
      <c r="I159" s="63" t="n">
        <f aca="false">IF(H159="","",G159-H159)</f>
        <v>-15</v>
      </c>
      <c r="J159" s="52" t="n">
        <f aca="false">IF(OR(D159="",D159+G159=0),"",D159/(D159+G159))</f>
        <v>0.396325459317585</v>
      </c>
      <c r="K159" s="52" t="n">
        <f aca="false">IF(E159="","",E159/(E159+H159))</f>
        <v>0.389081455805893</v>
      </c>
      <c r="L159" s="64" t="n">
        <f aca="false">IF(OR(K159="",J159=""),"",(J159-K159)*100)</f>
        <v>0.724400351169274</v>
      </c>
      <c r="M159" s="21"/>
    </row>
    <row r="160" customFormat="false" ht="15" hidden="false" customHeight="false" outlineLevel="0" collapsed="false">
      <c r="A160" s="21" t="s">
        <v>189</v>
      </c>
      <c r="B160" s="21" t="s">
        <v>304</v>
      </c>
      <c r="C160" s="21" t="s">
        <v>308</v>
      </c>
      <c r="D160" s="37" t="n">
        <v>649</v>
      </c>
      <c r="E160" s="37" t="n">
        <v>654</v>
      </c>
      <c r="F160" s="63" t="n">
        <f aca="false">IF(E160="","",D160-E160)</f>
        <v>-5</v>
      </c>
      <c r="G160" s="37" t="n">
        <v>1000</v>
      </c>
      <c r="H160" s="37" t="n">
        <v>979</v>
      </c>
      <c r="I160" s="63" t="n">
        <f aca="false">IF(H160="","",G160-H160)</f>
        <v>21</v>
      </c>
      <c r="J160" s="52" t="n">
        <f aca="false">IF(OR(D160="",D160+G160=0),"",D160/(D160+G160))</f>
        <v>0.393571861734384</v>
      </c>
      <c r="K160" s="52" t="n">
        <f aca="false">IF(E160="","",E160/(E160+H160))</f>
        <v>0.400489895897122</v>
      </c>
      <c r="L160" s="64" t="n">
        <f aca="false">IF(OR(K160="",J160=""),"",(J160-K160)*100)</f>
        <v>-0.69180341627374</v>
      </c>
      <c r="M160" s="21"/>
    </row>
    <row r="161" customFormat="false" ht="15" hidden="false" customHeight="false" outlineLevel="0" collapsed="false">
      <c r="A161" s="21" t="s">
        <v>189</v>
      </c>
      <c r="B161" s="21" t="s">
        <v>304</v>
      </c>
      <c r="C161" s="21" t="s">
        <v>309</v>
      </c>
      <c r="D161" s="37" t="n">
        <v>557</v>
      </c>
      <c r="E161" s="37" t="n">
        <v>557</v>
      </c>
      <c r="F161" s="63" t="n">
        <f aca="false">IF(E161="","",D161-E161)</f>
        <v>0</v>
      </c>
      <c r="G161" s="37" t="n">
        <v>916</v>
      </c>
      <c r="H161" s="37" t="n">
        <v>890</v>
      </c>
      <c r="I161" s="63" t="n">
        <f aca="false">IF(H161="","",G161-H161)</f>
        <v>26</v>
      </c>
      <c r="J161" s="52" t="n">
        <f aca="false">IF(OR(D161="",D161+G161=0),"",D161/(D161+G161))</f>
        <v>0.378139850644942</v>
      </c>
      <c r="K161" s="52" t="n">
        <f aca="false">IF(E161="","",E161/(E161+H161))</f>
        <v>0.384934346924672</v>
      </c>
      <c r="L161" s="64" t="n">
        <f aca="false">IF(OR(K161="",J161=""),"",(J161-K161)*100)</f>
        <v>-0.679449627972939</v>
      </c>
      <c r="M161" s="21"/>
    </row>
    <row r="162" customFormat="false" ht="15" hidden="false" customHeight="false" outlineLevel="0" collapsed="false">
      <c r="A162" s="21" t="s">
        <v>189</v>
      </c>
      <c r="B162" s="21" t="s">
        <v>304</v>
      </c>
      <c r="C162" s="21" t="s">
        <v>310</v>
      </c>
      <c r="D162" s="37" t="n">
        <v>508</v>
      </c>
      <c r="E162" s="37" t="n">
        <v>492</v>
      </c>
      <c r="F162" s="63" t="n">
        <f aca="false">IF(E162="","",D162-E162)</f>
        <v>16</v>
      </c>
      <c r="G162" s="37" t="n">
        <v>691</v>
      </c>
      <c r="H162" s="37" t="n">
        <v>675</v>
      </c>
      <c r="I162" s="63" t="n">
        <f aca="false">IF(H162="","",G162-H162)</f>
        <v>16</v>
      </c>
      <c r="J162" s="52" t="n">
        <f aca="false">IF(OR(D162="",D162+G162=0),"",D162/(D162+G162))</f>
        <v>0.423686405337781</v>
      </c>
      <c r="K162" s="52" t="n">
        <f aca="false">IF(E162="","",E162/(E162+H162))</f>
        <v>0.42159383033419</v>
      </c>
      <c r="L162" s="64" t="n">
        <f aca="false">IF(OR(K162="",J162=""),"",(J162-K162)*100)</f>
        <v>0.209257500359122</v>
      </c>
      <c r="M162" s="21"/>
    </row>
    <row r="163" customFormat="false" ht="15" hidden="false" customHeight="false" outlineLevel="0" collapsed="false">
      <c r="A163" s="21" t="s">
        <v>189</v>
      </c>
      <c r="B163" s="21" t="s">
        <v>311</v>
      </c>
      <c r="C163" s="21" t="s">
        <v>312</v>
      </c>
      <c r="D163" s="37" t="n">
        <v>672</v>
      </c>
      <c r="E163" s="37" t="n">
        <v>668</v>
      </c>
      <c r="F163" s="63" t="n">
        <f aca="false">IF(E163="","",D163-E163)</f>
        <v>4</v>
      </c>
      <c r="G163" s="37" t="n">
        <v>717</v>
      </c>
      <c r="H163" s="37" t="n">
        <v>693</v>
      </c>
      <c r="I163" s="63" t="n">
        <f aca="false">IF(H163="","",G163-H163)</f>
        <v>24</v>
      </c>
      <c r="J163" s="52" t="n">
        <f aca="false">IF(OR(D163="",D163+G163=0),"",D163/(D163+G163))</f>
        <v>0.483801295896328</v>
      </c>
      <c r="K163" s="52" t="n">
        <f aca="false">IF(E163="","",E163/(E163+H163))</f>
        <v>0.490815576781778</v>
      </c>
      <c r="L163" s="64" t="n">
        <f aca="false">IF(OR(K163="",J163=""),"",(J163-K163)*100)</f>
        <v>-0.701428088544981</v>
      </c>
      <c r="M163" s="21"/>
    </row>
    <row r="164" customFormat="false" ht="15" hidden="false" customHeight="false" outlineLevel="0" collapsed="false">
      <c r="A164" s="21" t="s">
        <v>189</v>
      </c>
      <c r="B164" s="21" t="s">
        <v>311</v>
      </c>
      <c r="C164" s="21" t="s">
        <v>313</v>
      </c>
      <c r="D164" s="37" t="n">
        <v>812</v>
      </c>
      <c r="E164" s="37" t="n">
        <v>803</v>
      </c>
      <c r="F164" s="63" t="n">
        <f aca="false">IF(E164="","",D164-E164)</f>
        <v>9</v>
      </c>
      <c r="G164" s="37" t="n">
        <v>810</v>
      </c>
      <c r="H164" s="37" t="n">
        <v>818</v>
      </c>
      <c r="I164" s="63" t="n">
        <f aca="false">IF(H164="","",G164-H164)</f>
        <v>-8</v>
      </c>
      <c r="J164" s="52" t="n">
        <f aca="false">IF(OR(D164="",D164+G164=0),"",D164/(D164+G164))</f>
        <v>0.500616522811344</v>
      </c>
      <c r="K164" s="52" t="n">
        <f aca="false">IF(E164="","",E164/(E164+H164))</f>
        <v>0.495373226403455</v>
      </c>
      <c r="L164" s="64" t="n">
        <f aca="false">IF(OR(K164="",J164=""),"",(J164-K164)*100)</f>
        <v>0.52432964078894</v>
      </c>
      <c r="M164" s="21"/>
    </row>
    <row r="165" customFormat="false" ht="15" hidden="false" customHeight="false" outlineLevel="0" collapsed="false">
      <c r="A165" s="21" t="s">
        <v>189</v>
      </c>
      <c r="B165" s="21" t="s">
        <v>311</v>
      </c>
      <c r="C165" s="21" t="s">
        <v>314</v>
      </c>
      <c r="D165" s="37" t="n">
        <v>348</v>
      </c>
      <c r="E165" s="37" t="n">
        <v>342</v>
      </c>
      <c r="F165" s="63" t="n">
        <f aca="false">IF(E165="","",D165-E165)</f>
        <v>6</v>
      </c>
      <c r="G165" s="37" t="n">
        <v>346</v>
      </c>
      <c r="H165" s="37" t="n">
        <v>358</v>
      </c>
      <c r="I165" s="63" t="n">
        <f aca="false">IF(H165="","",G165-H165)</f>
        <v>-12</v>
      </c>
      <c r="J165" s="52" t="n">
        <f aca="false">IF(OR(D165="",D165+G165=0),"",D165/(D165+G165))</f>
        <v>0.501440922190202</v>
      </c>
      <c r="K165" s="52" t="n">
        <f aca="false">IF(E165="","",E165/(E165+H165))</f>
        <v>0.488571428571429</v>
      </c>
      <c r="L165" s="64" t="n">
        <f aca="false">IF(OR(K165="",J165=""),"",(J165-K165)*100)</f>
        <v>1.28694936187732</v>
      </c>
      <c r="M165" s="21"/>
    </row>
    <row r="166" customFormat="false" ht="15" hidden="false" customHeight="false" outlineLevel="0" collapsed="false">
      <c r="A166" s="21" t="s">
        <v>189</v>
      </c>
      <c r="B166" s="21" t="s">
        <v>311</v>
      </c>
      <c r="C166" s="21" t="s">
        <v>315</v>
      </c>
      <c r="D166" s="37" t="n">
        <v>413</v>
      </c>
      <c r="E166" s="37" t="n">
        <v>411</v>
      </c>
      <c r="F166" s="63" t="n">
        <f aca="false">IF(E166="","",D166-E166)</f>
        <v>2</v>
      </c>
      <c r="G166" s="37" t="n">
        <v>414</v>
      </c>
      <c r="H166" s="37" t="n">
        <v>417</v>
      </c>
      <c r="I166" s="63" t="n">
        <f aca="false">IF(H166="","",G166-H166)</f>
        <v>-3</v>
      </c>
      <c r="J166" s="52" t="n">
        <f aca="false">IF(OR(D166="",D166+G166=0),"",D166/(D166+G166))</f>
        <v>0.499395405078597</v>
      </c>
      <c r="K166" s="52" t="n">
        <f aca="false">IF(E166="","",E166/(E166+H166))</f>
        <v>0.496376811594203</v>
      </c>
      <c r="L166" s="64" t="n">
        <f aca="false">IF(OR(K166="",J166=""),"",(J166-K166)*100)</f>
        <v>0.301859348439448</v>
      </c>
      <c r="M166" s="21"/>
    </row>
    <row r="167" customFormat="false" ht="15" hidden="false" customHeight="false" outlineLevel="0" collapsed="false">
      <c r="A167" s="21" t="s">
        <v>189</v>
      </c>
      <c r="B167" s="21" t="s">
        <v>311</v>
      </c>
      <c r="C167" s="21" t="s">
        <v>316</v>
      </c>
      <c r="D167" s="37" t="n">
        <v>511</v>
      </c>
      <c r="E167" s="37" t="n">
        <v>525</v>
      </c>
      <c r="F167" s="63" t="n">
        <f aca="false">IF(E167="","",D167-E167)</f>
        <v>-14</v>
      </c>
      <c r="G167" s="37" t="n">
        <v>575</v>
      </c>
      <c r="H167" s="37" t="n">
        <v>552</v>
      </c>
      <c r="I167" s="63" t="n">
        <f aca="false">IF(H167="","",G167-H167)</f>
        <v>23</v>
      </c>
      <c r="J167" s="52" t="n">
        <f aca="false">IF(OR(D167="",D167+G167=0),"",D167/(D167+G167))</f>
        <v>0.470534069981584</v>
      </c>
      <c r="K167" s="52" t="n">
        <f aca="false">IF(E167="","",E167/(E167+H167))</f>
        <v>0.487465181058496</v>
      </c>
      <c r="L167" s="64" t="n">
        <f aca="false">IF(OR(K167="",J167=""),"",(J167-K167)*100)</f>
        <v>-1.6931111076912</v>
      </c>
      <c r="M167" s="21"/>
    </row>
    <row r="168" customFormat="false" ht="15" hidden="false" customHeight="false" outlineLevel="0" collapsed="false">
      <c r="A168" s="21" t="s">
        <v>189</v>
      </c>
      <c r="B168" s="21" t="s">
        <v>311</v>
      </c>
      <c r="C168" s="21" t="s">
        <v>317</v>
      </c>
      <c r="D168" s="37" t="n">
        <v>338</v>
      </c>
      <c r="E168" s="37" t="n">
        <v>313</v>
      </c>
      <c r="F168" s="63" t="n">
        <f aca="false">IF(E168="","",D168-E168)</f>
        <v>25</v>
      </c>
      <c r="G168" s="37" t="n">
        <v>373</v>
      </c>
      <c r="H168" s="37" t="n">
        <v>360</v>
      </c>
      <c r="I168" s="63" t="n">
        <f aca="false">IF(H168="","",G168-H168)</f>
        <v>13</v>
      </c>
      <c r="J168" s="52" t="n">
        <f aca="false">IF(OR(D168="",D168+G168=0),"",D168/(D168+G168))</f>
        <v>0.475386779184248</v>
      </c>
      <c r="K168" s="52" t="n">
        <f aca="false">IF(E168="","",E168/(E168+H168))</f>
        <v>0.465081723625557</v>
      </c>
      <c r="L168" s="64" t="n">
        <f aca="false">IF(OR(K168="",J168=""),"",(J168-K168)*100)</f>
        <v>1.03050555586903</v>
      </c>
      <c r="M168" s="21"/>
    </row>
    <row r="169" customFormat="false" ht="15" hidden="false" customHeight="false" outlineLevel="0" collapsed="false">
      <c r="A169" s="21" t="s">
        <v>189</v>
      </c>
      <c r="B169" s="21" t="s">
        <v>311</v>
      </c>
      <c r="C169" s="21" t="s">
        <v>318</v>
      </c>
      <c r="D169" s="37" t="n">
        <v>399</v>
      </c>
      <c r="E169" s="37" t="n">
        <v>415</v>
      </c>
      <c r="F169" s="63" t="n">
        <f aca="false">IF(E169="","",D169-E169)</f>
        <v>-16</v>
      </c>
      <c r="G169" s="37" t="n">
        <v>377</v>
      </c>
      <c r="H169" s="37" t="n">
        <v>371</v>
      </c>
      <c r="I169" s="63" t="n">
        <f aca="false">IF(H169="","",G169-H169)</f>
        <v>6</v>
      </c>
      <c r="J169" s="52" t="n">
        <f aca="false">IF(OR(D169="",D169+G169=0),"",D169/(D169+G169))</f>
        <v>0.514175257731959</v>
      </c>
      <c r="K169" s="52" t="n">
        <f aca="false">IF(E169="","",E169/(E169+H169))</f>
        <v>0.527989821882952</v>
      </c>
      <c r="L169" s="64" t="n">
        <f aca="false">IF(OR(K169="",J169=""),"",(J169-K169)*100)</f>
        <v>-1.38145641509929</v>
      </c>
      <c r="M169" s="21"/>
    </row>
    <row r="170" customFormat="false" ht="15" hidden="false" customHeight="false" outlineLevel="0" collapsed="false">
      <c r="A170" s="21" t="s">
        <v>189</v>
      </c>
      <c r="B170" s="21" t="s">
        <v>311</v>
      </c>
      <c r="C170" s="21" t="s">
        <v>319</v>
      </c>
      <c r="D170" s="37" t="n">
        <v>531</v>
      </c>
      <c r="E170" s="37" t="n">
        <v>533</v>
      </c>
      <c r="F170" s="63" t="n">
        <f aca="false">IF(E170="","",D170-E170)</f>
        <v>-2</v>
      </c>
      <c r="G170" s="37" t="n">
        <v>539</v>
      </c>
      <c r="H170" s="37" t="n">
        <v>535</v>
      </c>
      <c r="I170" s="63" t="n">
        <f aca="false">IF(H170="","",G170-H170)</f>
        <v>4</v>
      </c>
      <c r="J170" s="52" t="n">
        <f aca="false">IF(OR(D170="",D170+G170=0),"",D170/(D170+G170))</f>
        <v>0.496261682242991</v>
      </c>
      <c r="K170" s="52" t="n">
        <f aca="false">IF(E170="","",E170/(E170+H170))</f>
        <v>0.499063670411985</v>
      </c>
      <c r="L170" s="64" t="n">
        <f aca="false">IF(OR(K170="",J170=""),"",(J170-K170)*100)</f>
        <v>-0.280198816899435</v>
      </c>
      <c r="M170" s="21"/>
    </row>
    <row r="171" customFormat="false" ht="15" hidden="false" customHeight="false" outlineLevel="0" collapsed="false">
      <c r="A171" s="21" t="s">
        <v>189</v>
      </c>
      <c r="B171" s="21" t="s">
        <v>320</v>
      </c>
      <c r="C171" s="21" t="s">
        <v>321</v>
      </c>
      <c r="D171" s="37" t="n">
        <v>257</v>
      </c>
      <c r="E171" s="37" t="n">
        <v>242</v>
      </c>
      <c r="F171" s="63" t="n">
        <f aca="false">IF(E171="","",D171-E171)</f>
        <v>15</v>
      </c>
      <c r="G171" s="37" t="n">
        <v>328</v>
      </c>
      <c r="H171" s="37" t="n">
        <v>337</v>
      </c>
      <c r="I171" s="63" t="n">
        <f aca="false">IF(H171="","",G171-H171)</f>
        <v>-9</v>
      </c>
      <c r="J171" s="52" t="n">
        <f aca="false">IF(OR(D171="",D171+G171=0),"",D171/(D171+G171))</f>
        <v>0.439316239316239</v>
      </c>
      <c r="K171" s="52" t="n">
        <f aca="false">IF(E171="","",E171/(E171+H171))</f>
        <v>0.417962003454231</v>
      </c>
      <c r="L171" s="64" t="n">
        <f aca="false">IF(OR(K171="",J171=""),"",(J171-K171)*100)</f>
        <v>2.13542358620079</v>
      </c>
      <c r="M171" s="21"/>
    </row>
    <row r="172" customFormat="false" ht="15" hidden="false" customHeight="false" outlineLevel="0" collapsed="false">
      <c r="A172" s="21" t="s">
        <v>189</v>
      </c>
      <c r="B172" s="21" t="s">
        <v>320</v>
      </c>
      <c r="C172" s="21" t="s">
        <v>322</v>
      </c>
      <c r="D172" s="37" t="n">
        <v>201</v>
      </c>
      <c r="E172" s="37" t="n">
        <v>187</v>
      </c>
      <c r="F172" s="63" t="n">
        <f aca="false">IF(E172="","",D172-E172)</f>
        <v>14</v>
      </c>
      <c r="G172" s="37" t="n">
        <v>289</v>
      </c>
      <c r="H172" s="37" t="n">
        <v>292</v>
      </c>
      <c r="I172" s="63" t="n">
        <f aca="false">IF(H172="","",G172-H172)</f>
        <v>-3</v>
      </c>
      <c r="J172" s="52" t="n">
        <f aca="false">IF(OR(D172="",D172+G172=0),"",D172/(D172+G172))</f>
        <v>0.410204081632653</v>
      </c>
      <c r="K172" s="52" t="n">
        <f aca="false">IF(E172="","",E172/(E172+H172))</f>
        <v>0.390396659707724</v>
      </c>
      <c r="L172" s="64" t="n">
        <f aca="false">IF(OR(K172="",J172=""),"",(J172-K172)*100)</f>
        <v>1.98074219249286</v>
      </c>
      <c r="M172" s="21"/>
    </row>
    <row r="173" customFormat="false" ht="15" hidden="false" customHeight="false" outlineLevel="0" collapsed="false">
      <c r="A173" s="21" t="s">
        <v>189</v>
      </c>
      <c r="B173" s="21" t="s">
        <v>320</v>
      </c>
      <c r="C173" s="21" t="s">
        <v>323</v>
      </c>
      <c r="D173" s="37" t="n">
        <v>385</v>
      </c>
      <c r="E173" s="37" t="n">
        <v>371</v>
      </c>
      <c r="F173" s="63" t="n">
        <f aca="false">IF(E173="","",D173-E173)</f>
        <v>14</v>
      </c>
      <c r="G173" s="37" t="n">
        <v>539</v>
      </c>
      <c r="H173" s="37" t="n">
        <v>527</v>
      </c>
      <c r="I173" s="63" t="n">
        <f aca="false">IF(H173="","",G173-H173)</f>
        <v>12</v>
      </c>
      <c r="J173" s="52" t="n">
        <f aca="false">IF(OR(D173="",D173+G173=0),"",D173/(D173+G173))</f>
        <v>0.416666666666667</v>
      </c>
      <c r="K173" s="52" t="n">
        <f aca="false">IF(E173="","",E173/(E173+H173))</f>
        <v>0.413140311804009</v>
      </c>
      <c r="L173" s="64" t="n">
        <f aca="false">IF(OR(K173="",J173=""),"",(J173-K173)*100)</f>
        <v>0.352635486265779</v>
      </c>
      <c r="M173" s="21"/>
    </row>
    <row r="174" customFormat="false" ht="15" hidden="false" customHeight="false" outlineLevel="0" collapsed="false">
      <c r="A174" s="21" t="s">
        <v>189</v>
      </c>
      <c r="B174" s="21" t="s">
        <v>324</v>
      </c>
      <c r="C174" s="21" t="s">
        <v>325</v>
      </c>
      <c r="D174" s="37" t="n">
        <v>928</v>
      </c>
      <c r="E174" s="37" t="n">
        <v>912</v>
      </c>
      <c r="F174" s="63" t="n">
        <f aca="false">IF(E174="","",D174-E174)</f>
        <v>16</v>
      </c>
      <c r="G174" s="37" t="n">
        <v>936</v>
      </c>
      <c r="H174" s="37" t="n">
        <v>964</v>
      </c>
      <c r="I174" s="63" t="n">
        <f aca="false">IF(H174="","",G174-H174)</f>
        <v>-28</v>
      </c>
      <c r="J174" s="52" t="n">
        <f aca="false">IF(OR(D174="",D174+G174=0),"",D174/(D174+G174))</f>
        <v>0.497854077253219</v>
      </c>
      <c r="K174" s="52" t="n">
        <f aca="false">IF(E174="","",E174/(E174+H174))</f>
        <v>0.486140724946695</v>
      </c>
      <c r="L174" s="64" t="n">
        <f aca="false">IF(OR(K174="",J174=""),"",(J174-K174)*100)</f>
        <v>1.17133523065238</v>
      </c>
      <c r="M174" s="21"/>
    </row>
    <row r="175" customFormat="false" ht="15" hidden="false" customHeight="false" outlineLevel="0" collapsed="false">
      <c r="A175" s="21" t="s">
        <v>189</v>
      </c>
      <c r="B175" s="21" t="s">
        <v>324</v>
      </c>
      <c r="C175" s="21" t="s">
        <v>326</v>
      </c>
      <c r="D175" s="37" t="n">
        <v>459</v>
      </c>
      <c r="E175" s="37" t="n">
        <v>449</v>
      </c>
      <c r="F175" s="63" t="n">
        <f aca="false">IF(E175="","",D175-E175)</f>
        <v>10</v>
      </c>
      <c r="G175" s="37" t="n">
        <v>476</v>
      </c>
      <c r="H175" s="37" t="n">
        <v>448</v>
      </c>
      <c r="I175" s="63" t="n">
        <f aca="false">IF(H175="","",G175-H175)</f>
        <v>28</v>
      </c>
      <c r="J175" s="52" t="n">
        <f aca="false">IF(OR(D175="",D175+G175=0),"",D175/(D175+G175))</f>
        <v>0.490909090909091</v>
      </c>
      <c r="K175" s="52" t="n">
        <f aca="false">IF(E175="","",E175/(E175+H175))</f>
        <v>0.500557413600892</v>
      </c>
      <c r="L175" s="64" t="n">
        <f aca="false">IF(OR(K175="",J175=""),"",(J175-K175)*100)</f>
        <v>-0.964832269180099</v>
      </c>
      <c r="M175" s="21"/>
    </row>
    <row r="176" customFormat="false" ht="15" hidden="false" customHeight="false" outlineLevel="0" collapsed="false">
      <c r="A176" s="21" t="s">
        <v>189</v>
      </c>
      <c r="B176" s="21" t="s">
        <v>324</v>
      </c>
      <c r="C176" s="21" t="s">
        <v>327</v>
      </c>
      <c r="D176" s="37" t="n">
        <v>1216</v>
      </c>
      <c r="E176" s="37" t="n">
        <v>1161</v>
      </c>
      <c r="F176" s="63" t="n">
        <f aca="false">IF(E176="","",D176-E176)</f>
        <v>55</v>
      </c>
      <c r="G176" s="37" t="n">
        <v>965</v>
      </c>
      <c r="H176" s="37" t="n">
        <v>915</v>
      </c>
      <c r="I176" s="63" t="n">
        <f aca="false">IF(H176="","",G176-H176)</f>
        <v>50</v>
      </c>
      <c r="J176" s="52" t="n">
        <f aca="false">IF(OR(D176="",D176+G176=0),"",D176/(D176+G176))</f>
        <v>0.557542411737735</v>
      </c>
      <c r="K176" s="52" t="n">
        <f aca="false">IF(E176="","",E176/(E176+H176))</f>
        <v>0.559248554913295</v>
      </c>
      <c r="L176" s="64" t="n">
        <f aca="false">IF(OR(K176="",J176=""),"",(J176-K176)*100)</f>
        <v>-0.170614317555984</v>
      </c>
      <c r="M176" s="21"/>
    </row>
    <row r="177" customFormat="false" ht="15" hidden="false" customHeight="false" outlineLevel="0" collapsed="false">
      <c r="A177" s="21" t="s">
        <v>189</v>
      </c>
      <c r="B177" s="21" t="s">
        <v>324</v>
      </c>
      <c r="C177" s="21" t="s">
        <v>328</v>
      </c>
      <c r="D177" s="37" t="n">
        <v>538</v>
      </c>
      <c r="E177" s="37" t="n">
        <v>534</v>
      </c>
      <c r="F177" s="63" t="n">
        <f aca="false">IF(E177="","",D177-E177)</f>
        <v>4</v>
      </c>
      <c r="G177" s="37" t="n">
        <v>565</v>
      </c>
      <c r="H177" s="37" t="n">
        <v>577</v>
      </c>
      <c r="I177" s="63" t="n">
        <f aca="false">IF(H177="","",G177-H177)</f>
        <v>-12</v>
      </c>
      <c r="J177" s="52" t="n">
        <f aca="false">IF(OR(D177="",D177+G177=0),"",D177/(D177+G177))</f>
        <v>0.487760652765186</v>
      </c>
      <c r="K177" s="52" t="n">
        <f aca="false">IF(E177="","",E177/(E177+H177))</f>
        <v>0.480648064806481</v>
      </c>
      <c r="L177" s="64" t="n">
        <f aca="false">IF(OR(K177="",J177=""),"",(J177-K177)*100)</f>
        <v>0.711258795870523</v>
      </c>
      <c r="M177" s="21"/>
    </row>
    <row r="178" customFormat="false" ht="15" hidden="false" customHeight="false" outlineLevel="0" collapsed="false">
      <c r="A178" s="21" t="s">
        <v>189</v>
      </c>
      <c r="B178" s="21" t="s">
        <v>324</v>
      </c>
      <c r="C178" s="21" t="s">
        <v>329</v>
      </c>
      <c r="D178" s="37" t="n">
        <v>1074</v>
      </c>
      <c r="E178" s="37" t="n">
        <v>1123</v>
      </c>
      <c r="F178" s="63" t="n">
        <f aca="false">IF(E178="","",D178-E178)</f>
        <v>-49</v>
      </c>
      <c r="G178" s="37" t="n">
        <v>770</v>
      </c>
      <c r="H178" s="37" t="n">
        <v>741</v>
      </c>
      <c r="I178" s="63" t="n">
        <f aca="false">IF(H178="","",G178-H178)</f>
        <v>29</v>
      </c>
      <c r="J178" s="52" t="n">
        <f aca="false">IF(OR(D178="",D178+G178=0),"",D178/(D178+G178))</f>
        <v>0.582429501084599</v>
      </c>
      <c r="K178" s="52" t="n">
        <f aca="false">IF(E178="","",E178/(E178+H178))</f>
        <v>0.602467811158798</v>
      </c>
      <c r="L178" s="64" t="n">
        <f aca="false">IF(OR(K178="",J178=""),"",(J178-K178)*100)</f>
        <v>-2.00383100741997</v>
      </c>
      <c r="M178" s="21"/>
    </row>
    <row r="179" customFormat="false" ht="15" hidden="false" customHeight="false" outlineLevel="0" collapsed="false">
      <c r="A179" s="21" t="s">
        <v>189</v>
      </c>
      <c r="B179" s="21" t="s">
        <v>324</v>
      </c>
      <c r="C179" s="21" t="s">
        <v>330</v>
      </c>
      <c r="D179" s="37" t="n">
        <v>1015</v>
      </c>
      <c r="E179" s="37" t="n">
        <v>1054</v>
      </c>
      <c r="F179" s="63" t="n">
        <f aca="false">IF(E179="","",D179-E179)</f>
        <v>-39</v>
      </c>
      <c r="G179" s="37" t="n">
        <v>728</v>
      </c>
      <c r="H179" s="37" t="n">
        <v>706</v>
      </c>
      <c r="I179" s="63" t="n">
        <f aca="false">IF(H179="","",G179-H179)</f>
        <v>22</v>
      </c>
      <c r="J179" s="52" t="n">
        <f aca="false">IF(OR(D179="",D179+G179=0),"",D179/(D179+G179))</f>
        <v>0.582329317269076</v>
      </c>
      <c r="K179" s="52" t="n">
        <f aca="false">IF(E179="","",E179/(E179+H179))</f>
        <v>0.598863636363636</v>
      </c>
      <c r="L179" s="64" t="n">
        <f aca="false">IF(OR(K179="",J179=""),"",(J179-K179)*100)</f>
        <v>-1.653431909456</v>
      </c>
      <c r="M179" s="21"/>
    </row>
    <row r="180" customFormat="false" ht="15" hidden="false" customHeight="false" outlineLevel="0" collapsed="false">
      <c r="A180" s="21" t="s">
        <v>189</v>
      </c>
      <c r="B180" s="21" t="s">
        <v>324</v>
      </c>
      <c r="C180" s="21" t="s">
        <v>331</v>
      </c>
      <c r="D180" s="37" t="n">
        <v>492</v>
      </c>
      <c r="E180" s="37" t="n">
        <v>469</v>
      </c>
      <c r="F180" s="63" t="n">
        <f aca="false">IF(E180="","",D180-E180)</f>
        <v>23</v>
      </c>
      <c r="G180" s="37" t="n">
        <v>437</v>
      </c>
      <c r="H180" s="37" t="n">
        <v>468</v>
      </c>
      <c r="I180" s="63" t="n">
        <f aca="false">IF(H180="","",G180-H180)</f>
        <v>-31</v>
      </c>
      <c r="J180" s="52" t="n">
        <f aca="false">IF(OR(D180="",D180+G180=0),"",D180/(D180+G180))</f>
        <v>0.529601722282024</v>
      </c>
      <c r="K180" s="52" t="n">
        <f aca="false">IF(E180="","",E180/(E180+H180))</f>
        <v>0.500533617929562</v>
      </c>
      <c r="L180" s="64" t="n">
        <f aca="false">IF(OR(K180="",J180=""),"",(J180-K180)*100)</f>
        <v>2.90681043524613</v>
      </c>
      <c r="M180" s="21"/>
    </row>
    <row r="181" customFormat="false" ht="15" hidden="false" customHeight="false" outlineLevel="0" collapsed="false">
      <c r="A181" s="21" t="s">
        <v>189</v>
      </c>
      <c r="B181" s="21" t="s">
        <v>324</v>
      </c>
      <c r="C181" s="21" t="s">
        <v>332</v>
      </c>
      <c r="D181" s="37" t="n">
        <v>1309</v>
      </c>
      <c r="E181" s="37" t="n">
        <v>1317</v>
      </c>
      <c r="F181" s="63" t="n">
        <f aca="false">IF(E181="","",D181-E181)</f>
        <v>-8</v>
      </c>
      <c r="G181" s="37" t="n">
        <v>1313</v>
      </c>
      <c r="H181" s="37" t="n">
        <v>1291</v>
      </c>
      <c r="I181" s="63" t="n">
        <f aca="false">IF(H181="","",G181-H181)</f>
        <v>22</v>
      </c>
      <c r="J181" s="52" t="n">
        <f aca="false">IF(OR(D181="",D181+G181=0),"",D181/(D181+G181))</f>
        <v>0.499237223493516</v>
      </c>
      <c r="K181" s="52" t="n">
        <f aca="false">IF(E181="","",E181/(E181+H181))</f>
        <v>0.504984662576687</v>
      </c>
      <c r="L181" s="64" t="n">
        <f aca="false">IF(OR(K181="",J181=""),"",(J181-K181)*100)</f>
        <v>-0.574743908317077</v>
      </c>
      <c r="M181" s="21"/>
    </row>
    <row r="182" customFormat="false" ht="15" hidden="false" customHeight="false" outlineLevel="0" collapsed="false">
      <c r="A182" s="21" t="s">
        <v>189</v>
      </c>
      <c r="B182" s="21" t="s">
        <v>333</v>
      </c>
      <c r="C182" s="21" t="s">
        <v>334</v>
      </c>
      <c r="D182" s="37" t="n">
        <v>1001</v>
      </c>
      <c r="E182" s="37" t="n">
        <v>992</v>
      </c>
      <c r="F182" s="63" t="n">
        <f aca="false">IF(E182="","",D182-E182)</f>
        <v>9</v>
      </c>
      <c r="G182" s="37" t="n">
        <v>990</v>
      </c>
      <c r="H182" s="37" t="n">
        <v>983</v>
      </c>
      <c r="I182" s="63" t="n">
        <f aca="false">IF(H182="","",G182-H182)</f>
        <v>7</v>
      </c>
      <c r="J182" s="52" t="n">
        <f aca="false">IF(OR(D182="",D182+G182=0),"",D182/(D182+G182))</f>
        <v>0.502762430939227</v>
      </c>
      <c r="K182" s="52" t="n">
        <f aca="false">IF(E182="","",E182/(E182+H182))</f>
        <v>0.502278481012658</v>
      </c>
      <c r="L182" s="64" t="n">
        <f aca="false">IF(OR(K182="",J182=""),"",(J182-K182)*100)</f>
        <v>0.0483949926568306</v>
      </c>
      <c r="M182" s="21"/>
    </row>
    <row r="183" customFormat="false" ht="15" hidden="false" customHeight="false" outlineLevel="0" collapsed="false">
      <c r="A183" s="21" t="s">
        <v>189</v>
      </c>
      <c r="B183" s="21" t="s">
        <v>333</v>
      </c>
      <c r="C183" s="21" t="s">
        <v>335</v>
      </c>
      <c r="D183" s="37" t="n">
        <v>1278</v>
      </c>
      <c r="E183" s="37" t="n">
        <v>1311</v>
      </c>
      <c r="F183" s="63" t="n">
        <f aca="false">IF(E183="","",D183-E183)</f>
        <v>-33</v>
      </c>
      <c r="G183" s="37" t="n">
        <v>1285</v>
      </c>
      <c r="H183" s="37" t="n">
        <v>1258</v>
      </c>
      <c r="I183" s="63" t="n">
        <f aca="false">IF(H183="","",G183-H183)</f>
        <v>27</v>
      </c>
      <c r="J183" s="52" t="n">
        <f aca="false">IF(OR(D183="",D183+G183=0),"",D183/(D183+G183))</f>
        <v>0.498634412797503</v>
      </c>
      <c r="K183" s="52" t="n">
        <f aca="false">IF(E183="","",E183/(E183+H183))</f>
        <v>0.510315297781238</v>
      </c>
      <c r="L183" s="64" t="n">
        <f aca="false">IF(OR(K183="",J183=""),"",(J183-K183)*100)</f>
        <v>-1.16808849837349</v>
      </c>
      <c r="M183" s="21"/>
    </row>
    <row r="184" customFormat="false" ht="15" hidden="false" customHeight="false" outlineLevel="0" collapsed="false">
      <c r="A184" s="21" t="s">
        <v>189</v>
      </c>
      <c r="B184" s="21" t="s">
        <v>333</v>
      </c>
      <c r="C184" s="21" t="s">
        <v>336</v>
      </c>
      <c r="D184" s="37" t="n">
        <v>957</v>
      </c>
      <c r="E184" s="37" t="n">
        <v>914</v>
      </c>
      <c r="F184" s="63" t="n">
        <f aca="false">IF(E184="","",D184-E184)</f>
        <v>43</v>
      </c>
      <c r="G184" s="37" t="n">
        <v>1082</v>
      </c>
      <c r="H184" s="37" t="n">
        <v>1075</v>
      </c>
      <c r="I184" s="63" t="n">
        <f aca="false">IF(H184="","",G184-H184)</f>
        <v>7</v>
      </c>
      <c r="J184" s="52" t="n">
        <f aca="false">IF(OR(D184="",D184+G184=0),"",D184/(D184+G184))</f>
        <v>0.469347719470329</v>
      </c>
      <c r="K184" s="52" t="n">
        <f aca="false">IF(E184="","",E184/(E184+H184))</f>
        <v>0.459527400703871</v>
      </c>
      <c r="L184" s="64" t="n">
        <f aca="false">IF(OR(K184="",J184=""),"",(J184-K184)*100)</f>
        <v>0.982031876645734</v>
      </c>
      <c r="M184" s="21"/>
    </row>
    <row r="185" customFormat="false" ht="15" hidden="false" customHeight="false" outlineLevel="0" collapsed="false">
      <c r="A185" s="21" t="s">
        <v>189</v>
      </c>
      <c r="B185" s="21" t="s">
        <v>333</v>
      </c>
      <c r="C185" s="21" t="s">
        <v>337</v>
      </c>
      <c r="D185" s="37" t="n">
        <v>760</v>
      </c>
      <c r="E185" s="37" t="n">
        <v>735</v>
      </c>
      <c r="F185" s="63" t="n">
        <f aca="false">IF(E185="","",D185-E185)</f>
        <v>25</v>
      </c>
      <c r="G185" s="37" t="n">
        <v>642</v>
      </c>
      <c r="H185" s="37" t="n">
        <v>653</v>
      </c>
      <c r="I185" s="63" t="n">
        <f aca="false">IF(H185="","",G185-H185)</f>
        <v>-11</v>
      </c>
      <c r="J185" s="52" t="n">
        <f aca="false">IF(OR(D185="",D185+G185=0),"",D185/(D185+G185))</f>
        <v>0.542082738944365</v>
      </c>
      <c r="K185" s="52" t="n">
        <f aca="false">IF(E185="","",E185/(E185+H185))</f>
        <v>0.529538904899136</v>
      </c>
      <c r="L185" s="64" t="n">
        <f aca="false">IF(OR(K185="",J185=""),"",(J185-K185)*100)</f>
        <v>1.25438340452297</v>
      </c>
      <c r="M185" s="21"/>
    </row>
    <row r="186" customFormat="false" ht="15" hidden="false" customHeight="false" outlineLevel="0" collapsed="false">
      <c r="A186" s="21" t="s">
        <v>189</v>
      </c>
      <c r="B186" s="21" t="s">
        <v>333</v>
      </c>
      <c r="C186" s="21" t="s">
        <v>338</v>
      </c>
      <c r="D186" s="37" t="n">
        <v>2015</v>
      </c>
      <c r="E186" s="37" t="n">
        <v>1929</v>
      </c>
      <c r="F186" s="63" t="n">
        <f aca="false">IF(E186="","",D186-E186)</f>
        <v>86</v>
      </c>
      <c r="G186" s="37" t="n">
        <v>1741</v>
      </c>
      <c r="H186" s="37" t="n">
        <v>1679</v>
      </c>
      <c r="I186" s="63" t="n">
        <f aca="false">IF(H186="","",G186-H186)</f>
        <v>62</v>
      </c>
      <c r="J186" s="52" t="n">
        <f aca="false">IF(OR(D186="",D186+G186=0),"",D186/(D186+G186))</f>
        <v>0.536474973375932</v>
      </c>
      <c r="K186" s="52" t="n">
        <f aca="false">IF(E186="","",E186/(E186+H186))</f>
        <v>0.534645232815965</v>
      </c>
      <c r="L186" s="64" t="n">
        <f aca="false">IF(OR(K186="",J186=""),"",(J186-K186)*100)</f>
        <v>0.182974055996732</v>
      </c>
      <c r="M186" s="21"/>
    </row>
    <row r="187" customFormat="false" ht="15" hidden="false" customHeight="false" outlineLevel="0" collapsed="false">
      <c r="A187" s="21" t="s">
        <v>189</v>
      </c>
      <c r="B187" s="21" t="s">
        <v>333</v>
      </c>
      <c r="C187" s="21" t="s">
        <v>339</v>
      </c>
      <c r="D187" s="37" t="n">
        <v>717</v>
      </c>
      <c r="E187" s="37" t="n">
        <v>696</v>
      </c>
      <c r="F187" s="63" t="n">
        <f aca="false">IF(E187="","",D187-E187)</f>
        <v>21</v>
      </c>
      <c r="G187" s="37" t="n">
        <v>684</v>
      </c>
      <c r="H187" s="37" t="n">
        <v>666</v>
      </c>
      <c r="I187" s="63" t="n">
        <f aca="false">IF(H187="","",G187-H187)</f>
        <v>18</v>
      </c>
      <c r="J187" s="52" t="n">
        <f aca="false">IF(OR(D187="",D187+G187=0),"",D187/(D187+G187))</f>
        <v>0.511777301927195</v>
      </c>
      <c r="K187" s="52" t="n">
        <f aca="false">IF(E187="","",E187/(E187+H187))</f>
        <v>0.511013215859031</v>
      </c>
      <c r="L187" s="64" t="n">
        <f aca="false">IF(OR(K187="",J187=""),"",(J187-K187)*100)</f>
        <v>0.0764086068164027</v>
      </c>
      <c r="M187" s="21"/>
    </row>
    <row r="188" customFormat="false" ht="15" hidden="false" customHeight="false" outlineLevel="0" collapsed="false">
      <c r="A188" s="21" t="s">
        <v>189</v>
      </c>
      <c r="B188" s="21" t="s">
        <v>333</v>
      </c>
      <c r="C188" s="21" t="s">
        <v>340</v>
      </c>
      <c r="D188" s="37" t="n">
        <v>737</v>
      </c>
      <c r="E188" s="37" t="n">
        <v>715</v>
      </c>
      <c r="F188" s="63" t="n">
        <f aca="false">IF(E188="","",D188-E188)</f>
        <v>22</v>
      </c>
      <c r="G188" s="37" t="n">
        <v>635</v>
      </c>
      <c r="H188" s="37" t="n">
        <v>601</v>
      </c>
      <c r="I188" s="63" t="n">
        <f aca="false">IF(H188="","",G188-H188)</f>
        <v>34</v>
      </c>
      <c r="J188" s="52" t="n">
        <f aca="false">IF(OR(D188="",D188+G188=0),"",D188/(D188+G188))</f>
        <v>0.537172011661808</v>
      </c>
      <c r="K188" s="52" t="n">
        <f aca="false">IF(E188="","",E188/(E188+H188))</f>
        <v>0.543313069908815</v>
      </c>
      <c r="L188" s="64" t="n">
        <f aca="false">IF(OR(K188="",J188=""),"",(J188-K188)*100)</f>
        <v>-0.614105824700695</v>
      </c>
      <c r="M188" s="21"/>
    </row>
    <row r="189" customFormat="false" ht="15" hidden="false" customHeight="false" outlineLevel="0" collapsed="false">
      <c r="A189" s="21" t="s">
        <v>189</v>
      </c>
      <c r="B189" s="21" t="s">
        <v>333</v>
      </c>
      <c r="C189" s="21" t="s">
        <v>341</v>
      </c>
      <c r="D189" s="37" t="n">
        <v>757</v>
      </c>
      <c r="E189" s="37" t="n">
        <v>728</v>
      </c>
      <c r="F189" s="63" t="n">
        <f aca="false">IF(E189="","",D189-E189)</f>
        <v>29</v>
      </c>
      <c r="G189" s="37" t="n">
        <v>729</v>
      </c>
      <c r="H189" s="37" t="n">
        <v>692</v>
      </c>
      <c r="I189" s="63" t="n">
        <f aca="false">IF(H189="","",G189-H189)</f>
        <v>37</v>
      </c>
      <c r="J189" s="52" t="n">
        <f aca="false">IF(OR(D189="",D189+G189=0),"",D189/(D189+G189))</f>
        <v>0.509421265141319</v>
      </c>
      <c r="K189" s="52" t="n">
        <f aca="false">IF(E189="","",E189/(E189+H189))</f>
        <v>0.512676056338028</v>
      </c>
      <c r="L189" s="64" t="n">
        <f aca="false">IF(OR(K189="",J189=""),"",(J189-K189)*100)</f>
        <v>-0.325479119670913</v>
      </c>
      <c r="M189" s="21"/>
    </row>
    <row r="190" customFormat="false" ht="15" hidden="false" customHeight="false" outlineLevel="0" collapsed="false">
      <c r="A190" s="21" t="s">
        <v>189</v>
      </c>
      <c r="B190" s="21" t="s">
        <v>342</v>
      </c>
      <c r="C190" s="21" t="s">
        <v>343</v>
      </c>
      <c r="D190" s="37" t="n">
        <v>1479</v>
      </c>
      <c r="E190" s="37" t="n">
        <v>1473</v>
      </c>
      <c r="F190" s="63" t="n">
        <f aca="false">IF(E190="","",D190-E190)</f>
        <v>6</v>
      </c>
      <c r="G190" s="37" t="n">
        <v>1680</v>
      </c>
      <c r="H190" s="37" t="n">
        <v>1690</v>
      </c>
      <c r="I190" s="63" t="n">
        <f aca="false">IF(H190="","",G190-H190)</f>
        <v>-10</v>
      </c>
      <c r="J190" s="52" t="n">
        <f aca="false">IF(OR(D190="",D190+G190=0),"",D190/(D190+G190))</f>
        <v>0.468186134852802</v>
      </c>
      <c r="K190" s="52" t="n">
        <f aca="false">IF(E190="","",E190/(E190+H190))</f>
        <v>0.465697122984508</v>
      </c>
      <c r="L190" s="64" t="n">
        <f aca="false">IF(OR(K190="",J190=""),"",(J190-K190)*100)</f>
        <v>0.248901186829315</v>
      </c>
      <c r="M190" s="21"/>
    </row>
    <row r="191" customFormat="false" ht="15" hidden="false" customHeight="false" outlineLevel="0" collapsed="false">
      <c r="A191" s="21" t="s">
        <v>189</v>
      </c>
      <c r="B191" s="21" t="s">
        <v>342</v>
      </c>
      <c r="C191" s="21" t="s">
        <v>344</v>
      </c>
      <c r="D191" s="37" t="n">
        <v>893</v>
      </c>
      <c r="E191" s="37" t="n">
        <v>907</v>
      </c>
      <c r="F191" s="63" t="n">
        <f aca="false">IF(E191="","",D191-E191)</f>
        <v>-14</v>
      </c>
      <c r="G191" s="37" t="n">
        <v>1415</v>
      </c>
      <c r="H191" s="37" t="n">
        <v>1445</v>
      </c>
      <c r="I191" s="63" t="n">
        <f aca="false">IF(H191="","",G191-H191)</f>
        <v>-30</v>
      </c>
      <c r="J191" s="52" t="n">
        <f aca="false">IF(OR(D191="",D191+G191=0),"",D191/(D191+G191))</f>
        <v>0.386915077989601</v>
      </c>
      <c r="K191" s="52" t="n">
        <f aca="false">IF(E191="","",E191/(E191+H191))</f>
        <v>0.38562925170068</v>
      </c>
      <c r="L191" s="64" t="n">
        <f aca="false">IF(OR(K191="",J191=""),"",(J191-K191)*100)</f>
        <v>0.12858262889211</v>
      </c>
      <c r="M191" s="21"/>
    </row>
    <row r="192" customFormat="false" ht="15" hidden="false" customHeight="false" outlineLevel="0" collapsed="false">
      <c r="A192" s="21" t="s">
        <v>189</v>
      </c>
      <c r="B192" s="21" t="s">
        <v>345</v>
      </c>
      <c r="C192" s="21" t="s">
        <v>346</v>
      </c>
      <c r="D192" s="37" t="n">
        <v>1023</v>
      </c>
      <c r="E192" s="37" t="n">
        <v>1017</v>
      </c>
      <c r="F192" s="63" t="n">
        <f aca="false">IF(E192="","",D192-E192)</f>
        <v>6</v>
      </c>
      <c r="G192" s="37" t="n">
        <v>1052</v>
      </c>
      <c r="H192" s="37" t="n">
        <v>1074</v>
      </c>
      <c r="I192" s="63" t="n">
        <f aca="false">IF(H192="","",G192-H192)</f>
        <v>-22</v>
      </c>
      <c r="J192" s="52" t="n">
        <f aca="false">IF(OR(D192="",D192+G192=0),"",D192/(D192+G192))</f>
        <v>0.493012048192771</v>
      </c>
      <c r="K192" s="52" t="n">
        <f aca="false">IF(E192="","",E192/(E192+H192))</f>
        <v>0.486370157819225</v>
      </c>
      <c r="L192" s="64" t="n">
        <f aca="false">IF(OR(K192="",J192=""),"",(J192-K192)*100)</f>
        <v>0.664189037354579</v>
      </c>
      <c r="M192" s="21"/>
    </row>
    <row r="193" customFormat="false" ht="15" hidden="false" customHeight="false" outlineLevel="0" collapsed="false">
      <c r="A193" s="21" t="s">
        <v>189</v>
      </c>
      <c r="B193" s="21" t="s">
        <v>345</v>
      </c>
      <c r="C193" s="21" t="s">
        <v>347</v>
      </c>
      <c r="D193" s="37" t="n">
        <v>735</v>
      </c>
      <c r="E193" s="37" t="n">
        <v>753</v>
      </c>
      <c r="F193" s="63" t="n">
        <f aca="false">IF(E193="","",D193-E193)</f>
        <v>-18</v>
      </c>
      <c r="G193" s="37" t="n">
        <v>848</v>
      </c>
      <c r="H193" s="37" t="n">
        <v>851</v>
      </c>
      <c r="I193" s="63" t="n">
        <f aca="false">IF(H193="","",G193-H193)</f>
        <v>-3</v>
      </c>
      <c r="J193" s="52" t="n">
        <f aca="false">IF(OR(D193="",D193+G193=0),"",D193/(D193+G193))</f>
        <v>0.464308275426406</v>
      </c>
      <c r="K193" s="52" t="n">
        <f aca="false">IF(E193="","",E193/(E193+H193))</f>
        <v>0.469451371571072</v>
      </c>
      <c r="L193" s="64" t="n">
        <f aca="false">IF(OR(K193="",J193=""),"",(J193-K193)*100)</f>
        <v>-0.514309614466674</v>
      </c>
      <c r="M193" s="21"/>
    </row>
    <row r="194" customFormat="false" ht="15" hidden="false" customHeight="false" outlineLevel="0" collapsed="false">
      <c r="A194" s="21" t="s">
        <v>189</v>
      </c>
      <c r="B194" s="21" t="s">
        <v>345</v>
      </c>
      <c r="C194" s="21" t="s">
        <v>348</v>
      </c>
      <c r="D194" s="37" t="n">
        <v>691</v>
      </c>
      <c r="E194" s="37" t="n">
        <v>713</v>
      </c>
      <c r="F194" s="63" t="n">
        <f aca="false">IF(E194="","",D194-E194)</f>
        <v>-22</v>
      </c>
      <c r="G194" s="37" t="n">
        <v>762</v>
      </c>
      <c r="H194" s="37" t="n">
        <v>780</v>
      </c>
      <c r="I194" s="63" t="n">
        <f aca="false">IF(H194="","",G194-H194)</f>
        <v>-18</v>
      </c>
      <c r="J194" s="52" t="n">
        <f aca="false">IF(OR(D194="",D194+G194=0),"",D194/(D194+G194))</f>
        <v>0.475567790777701</v>
      </c>
      <c r="K194" s="52" t="n">
        <f aca="false">IF(E194="","",E194/(E194+H194))</f>
        <v>0.477561955793704</v>
      </c>
      <c r="L194" s="64" t="n">
        <f aca="false">IF(OR(K194="",J194=""),"",(J194-K194)*100)</f>
        <v>-0.199416501600269</v>
      </c>
      <c r="M194" s="21"/>
    </row>
    <row r="195" customFormat="false" ht="15" hidden="false" customHeight="false" outlineLevel="0" collapsed="false">
      <c r="A195" s="21" t="s">
        <v>189</v>
      </c>
      <c r="B195" s="21" t="s">
        <v>345</v>
      </c>
      <c r="C195" s="21" t="s">
        <v>349</v>
      </c>
      <c r="D195" s="37" t="n">
        <v>1639</v>
      </c>
      <c r="E195" s="37" t="n">
        <v>1648</v>
      </c>
      <c r="F195" s="63" t="n">
        <f aca="false">IF(E195="","",D195-E195)</f>
        <v>-9</v>
      </c>
      <c r="G195" s="37" t="n">
        <v>1832</v>
      </c>
      <c r="H195" s="37" t="n">
        <v>1789</v>
      </c>
      <c r="I195" s="63" t="n">
        <f aca="false">IF(H195="","",G195-H195)</f>
        <v>43</v>
      </c>
      <c r="J195" s="52" t="n">
        <f aca="false">IF(OR(D195="",D195+G195=0),"",D195/(D195+G195))</f>
        <v>0.472198213771248</v>
      </c>
      <c r="K195" s="52" t="n">
        <f aca="false">IF(E195="","",E195/(E195+H195))</f>
        <v>0.479487925516439</v>
      </c>
      <c r="L195" s="64" t="n">
        <f aca="false">IF(OR(K195="",J195=""),"",(J195-K195)*100)</f>
        <v>-0.728971174519127</v>
      </c>
      <c r="M195" s="21"/>
    </row>
    <row r="196" customFormat="false" ht="15" hidden="false" customHeight="false" outlineLevel="0" collapsed="false">
      <c r="A196" s="21" t="s">
        <v>189</v>
      </c>
      <c r="B196" s="21" t="s">
        <v>345</v>
      </c>
      <c r="C196" s="21" t="s">
        <v>350</v>
      </c>
      <c r="D196" s="37" t="n">
        <v>679</v>
      </c>
      <c r="E196" s="37" t="n">
        <v>683</v>
      </c>
      <c r="F196" s="63" t="n">
        <f aca="false">IF(E196="","",D196-E196)</f>
        <v>-4</v>
      </c>
      <c r="G196" s="37" t="n">
        <v>714</v>
      </c>
      <c r="H196" s="37" t="n">
        <v>663</v>
      </c>
      <c r="I196" s="63" t="n">
        <f aca="false">IF(H196="","",G196-H196)</f>
        <v>51</v>
      </c>
      <c r="J196" s="52" t="n">
        <f aca="false">IF(OR(D196="",D196+G196=0),"",D196/(D196+G196))</f>
        <v>0.487437185929648</v>
      </c>
      <c r="K196" s="52" t="n">
        <f aca="false">IF(E196="","",E196/(E196+H196))</f>
        <v>0.507429420505201</v>
      </c>
      <c r="L196" s="64" t="n">
        <f aca="false">IF(OR(K196="",J196=""),"",(J196-K196)*100)</f>
        <v>-1.99922345755523</v>
      </c>
      <c r="M196" s="21"/>
    </row>
    <row r="197" customFormat="false" ht="15" hidden="false" customHeight="false" outlineLevel="0" collapsed="false">
      <c r="A197" s="21" t="s">
        <v>189</v>
      </c>
      <c r="B197" s="21" t="s">
        <v>345</v>
      </c>
      <c r="C197" s="21" t="s">
        <v>351</v>
      </c>
      <c r="D197" s="37" t="n">
        <v>640</v>
      </c>
      <c r="E197" s="37" t="n">
        <v>648</v>
      </c>
      <c r="F197" s="63" t="n">
        <f aca="false">IF(E197="","",D197-E197)</f>
        <v>-8</v>
      </c>
      <c r="G197" s="37" t="n">
        <v>615</v>
      </c>
      <c r="H197" s="37" t="n">
        <v>583</v>
      </c>
      <c r="I197" s="63" t="n">
        <f aca="false">IF(H197="","",G197-H197)</f>
        <v>32</v>
      </c>
      <c r="J197" s="52" t="n">
        <f aca="false">IF(OR(D197="",D197+G197=0),"",D197/(D197+G197))</f>
        <v>0.50996015936255</v>
      </c>
      <c r="K197" s="52" t="n">
        <f aca="false">IF(E197="","",E197/(E197+H197))</f>
        <v>0.526401299756296</v>
      </c>
      <c r="L197" s="64" t="n">
        <f aca="false">IF(OR(K197="",J197=""),"",(J197-K197)*100)</f>
        <v>-1.64411403937459</v>
      </c>
      <c r="M197" s="21"/>
    </row>
    <row r="198" customFormat="false" ht="15" hidden="false" customHeight="false" outlineLevel="0" collapsed="false">
      <c r="A198" s="21" t="s">
        <v>189</v>
      </c>
      <c r="B198" s="21" t="s">
        <v>352</v>
      </c>
      <c r="C198" s="21" t="s">
        <v>353</v>
      </c>
      <c r="D198" s="37" t="n">
        <v>241</v>
      </c>
      <c r="E198" s="37" t="n">
        <v>243</v>
      </c>
      <c r="F198" s="63" t="n">
        <f aca="false">IF(E198="","",D198-E198)</f>
        <v>-2</v>
      </c>
      <c r="G198" s="37" t="n">
        <v>542</v>
      </c>
      <c r="H198" s="37" t="n">
        <v>532</v>
      </c>
      <c r="I198" s="63" t="n">
        <f aca="false">IF(H198="","",G198-H198)</f>
        <v>10</v>
      </c>
      <c r="J198" s="52" t="n">
        <f aca="false">IF(OR(D198="",D198+G198=0),"",D198/(D198+G198))</f>
        <v>0.30779054916986</v>
      </c>
      <c r="K198" s="52" t="n">
        <f aca="false">IF(E198="","",E198/(E198+H198))</f>
        <v>0.313548387096774</v>
      </c>
      <c r="L198" s="64" t="n">
        <f aca="false">IF(OR(K198="",J198=""),"",(J198-K198)*100)</f>
        <v>-0.575783792691464</v>
      </c>
      <c r="M198" s="21"/>
    </row>
    <row r="199" customFormat="false" ht="15" hidden="false" customHeight="false" outlineLevel="0" collapsed="false">
      <c r="A199" s="21" t="s">
        <v>189</v>
      </c>
      <c r="B199" s="21" t="s">
        <v>352</v>
      </c>
      <c r="C199" s="21" t="s">
        <v>354</v>
      </c>
      <c r="D199" s="37" t="n">
        <v>821</v>
      </c>
      <c r="E199" s="37" t="n">
        <v>841</v>
      </c>
      <c r="F199" s="63" t="n">
        <f aca="false">IF(E199="","",D199-E199)</f>
        <v>-20</v>
      </c>
      <c r="G199" s="37" t="n">
        <v>1661</v>
      </c>
      <c r="H199" s="37" t="n">
        <v>1653</v>
      </c>
      <c r="I199" s="63" t="n">
        <f aca="false">IF(H199="","",G199-H199)</f>
        <v>8</v>
      </c>
      <c r="J199" s="52" t="n">
        <f aca="false">IF(OR(D199="",D199+G199=0),"",D199/(D199+G199))</f>
        <v>0.330781627719581</v>
      </c>
      <c r="K199" s="52" t="n">
        <f aca="false">IF(E199="","",E199/(E199+H199))</f>
        <v>0.337209302325581</v>
      </c>
      <c r="L199" s="64" t="n">
        <f aca="false">IF(OR(K199="",J199=""),"",(J199-K199)*100)</f>
        <v>-0.642767460600041</v>
      </c>
      <c r="M199" s="21"/>
    </row>
    <row r="200" customFormat="false" ht="15" hidden="false" customHeight="false" outlineLevel="0" collapsed="false">
      <c r="A200" s="21" t="s">
        <v>189</v>
      </c>
      <c r="B200" s="21" t="s">
        <v>352</v>
      </c>
      <c r="C200" s="21" t="s">
        <v>355</v>
      </c>
      <c r="D200" s="37" t="n">
        <v>206</v>
      </c>
      <c r="E200" s="37" t="n">
        <v>182</v>
      </c>
      <c r="F200" s="63" t="n">
        <f aca="false">IF(E200="","",D200-E200)</f>
        <v>24</v>
      </c>
      <c r="G200" s="37" t="n">
        <v>467</v>
      </c>
      <c r="H200" s="37" t="n">
        <v>484</v>
      </c>
      <c r="I200" s="63" t="n">
        <f aca="false">IF(H200="","",G200-H200)</f>
        <v>-17</v>
      </c>
      <c r="J200" s="52" t="n">
        <f aca="false">IF(OR(D200="",D200+G200=0),"",D200/(D200+G200))</f>
        <v>0.306092124814265</v>
      </c>
      <c r="K200" s="52" t="n">
        <f aca="false">IF(E200="","",E200/(E200+H200))</f>
        <v>0.273273273273273</v>
      </c>
      <c r="L200" s="64" t="n">
        <f aca="false">IF(OR(K200="",J200=""),"",(J200-K200)*100)</f>
        <v>3.28188515409912</v>
      </c>
      <c r="M200" s="21"/>
    </row>
    <row r="201" customFormat="false" ht="15" hidden="false" customHeight="false" outlineLevel="0" collapsed="false">
      <c r="A201" s="21" t="s">
        <v>189</v>
      </c>
      <c r="B201" s="21" t="s">
        <v>356</v>
      </c>
      <c r="C201" s="21" t="s">
        <v>356</v>
      </c>
      <c r="D201" s="37" t="n">
        <v>1137</v>
      </c>
      <c r="E201" s="37" t="n">
        <v>1172</v>
      </c>
      <c r="F201" s="63" t="n">
        <f aca="false">IF(E201="","",D201-E201)</f>
        <v>-35</v>
      </c>
      <c r="G201" s="37" t="n">
        <v>2248</v>
      </c>
      <c r="H201" s="37" t="n">
        <v>2201</v>
      </c>
      <c r="I201" s="63" t="n">
        <f aca="false">IF(H201="","",G201-H201)</f>
        <v>47</v>
      </c>
      <c r="J201" s="52" t="n">
        <f aca="false">IF(OR(D201="",D201+G201=0),"",D201/(D201+G201))</f>
        <v>0.33589364844904</v>
      </c>
      <c r="K201" s="52" t="n">
        <f aca="false">IF(E201="","",E201/(E201+H201))</f>
        <v>0.347465164541951</v>
      </c>
      <c r="L201" s="64" t="n">
        <f aca="false">IF(OR(K201="",J201=""),"",(J201-K201)*100)</f>
        <v>-1.15715160929109</v>
      </c>
      <c r="M201" s="21"/>
    </row>
    <row r="202" customFormat="false" ht="15" hidden="false" customHeight="false" outlineLevel="0" collapsed="false">
      <c r="A202" s="21" t="s">
        <v>189</v>
      </c>
      <c r="B202" s="21" t="s">
        <v>357</v>
      </c>
      <c r="C202" s="21" t="s">
        <v>358</v>
      </c>
      <c r="D202" s="37" t="n">
        <v>794</v>
      </c>
      <c r="E202" s="37" t="n">
        <v>811</v>
      </c>
      <c r="F202" s="63" t="n">
        <f aca="false">IF(E202="","",D202-E202)</f>
        <v>-17</v>
      </c>
      <c r="G202" s="37" t="n">
        <v>923</v>
      </c>
      <c r="H202" s="37" t="n">
        <v>918</v>
      </c>
      <c r="I202" s="63" t="n">
        <f aca="false">IF(H202="","",G202-H202)</f>
        <v>5</v>
      </c>
      <c r="J202" s="52" t="n">
        <f aca="false">IF(OR(D202="",D202+G202=0),"",D202/(D202+G202))</f>
        <v>0.462434478741992</v>
      </c>
      <c r="K202" s="52" t="n">
        <f aca="false">IF(E202="","",E202/(E202+H202))</f>
        <v>0.469057258530943</v>
      </c>
      <c r="L202" s="64" t="n">
        <f aca="false">IF(OR(K202="",J202=""),"",(J202-K202)*100)</f>
        <v>-0.662277978895093</v>
      </c>
      <c r="M202" s="21"/>
    </row>
    <row r="203" customFormat="false" ht="15" hidden="false" customHeight="false" outlineLevel="0" collapsed="false">
      <c r="A203" s="21" t="s">
        <v>189</v>
      </c>
      <c r="B203" s="21" t="s">
        <v>357</v>
      </c>
      <c r="C203" s="21" t="s">
        <v>359</v>
      </c>
      <c r="D203" s="37" t="n">
        <v>607</v>
      </c>
      <c r="E203" s="37" t="n">
        <v>606</v>
      </c>
      <c r="F203" s="63" t="n">
        <f aca="false">IF(E203="","",D203-E203)</f>
        <v>1</v>
      </c>
      <c r="G203" s="37" t="n">
        <v>697</v>
      </c>
      <c r="H203" s="37" t="n">
        <v>669</v>
      </c>
      <c r="I203" s="63" t="n">
        <f aca="false">IF(H203="","",G203-H203)</f>
        <v>28</v>
      </c>
      <c r="J203" s="52" t="n">
        <f aca="false">IF(OR(D203="",D203+G203=0),"",D203/(D203+G203))</f>
        <v>0.465490797546012</v>
      </c>
      <c r="K203" s="52" t="n">
        <f aca="false">IF(E203="","",E203/(E203+H203))</f>
        <v>0.475294117647059</v>
      </c>
      <c r="L203" s="64" t="n">
        <f aca="false">IF(OR(K203="",J203=""),"",(J203-K203)*100)</f>
        <v>-0.980332010104656</v>
      </c>
      <c r="M203" s="21"/>
    </row>
    <row r="204" customFormat="false" ht="15" hidden="false" customHeight="false" outlineLevel="0" collapsed="false">
      <c r="A204" s="21" t="s">
        <v>189</v>
      </c>
      <c r="B204" s="21" t="s">
        <v>357</v>
      </c>
      <c r="C204" s="21" t="s">
        <v>360</v>
      </c>
      <c r="D204" s="37" t="n">
        <v>772</v>
      </c>
      <c r="E204" s="37" t="n">
        <v>732</v>
      </c>
      <c r="F204" s="63" t="n">
        <f aca="false">IF(E204="","",D204-E204)</f>
        <v>40</v>
      </c>
      <c r="G204" s="37" t="n">
        <v>590</v>
      </c>
      <c r="H204" s="37" t="n">
        <v>616</v>
      </c>
      <c r="I204" s="63" t="n">
        <f aca="false">IF(H204="","",G204-H204)</f>
        <v>-26</v>
      </c>
      <c r="J204" s="52" t="n">
        <f aca="false">IF(OR(D204="",D204+G204=0),"",D204/(D204+G204))</f>
        <v>0.566813509544787</v>
      </c>
      <c r="K204" s="52" t="n">
        <f aca="false">IF(E204="","",E204/(E204+H204))</f>
        <v>0.543026706231454</v>
      </c>
      <c r="L204" s="64" t="n">
        <f aca="false">IF(OR(K204="",J204=""),"",(J204-K204)*100)</f>
        <v>2.37868033133331</v>
      </c>
      <c r="M204" s="21"/>
    </row>
    <row r="205" customFormat="false" ht="15" hidden="false" customHeight="false" outlineLevel="0" collapsed="false">
      <c r="A205" s="21" t="s">
        <v>189</v>
      </c>
      <c r="B205" s="21" t="s">
        <v>357</v>
      </c>
      <c r="C205" s="21" t="s">
        <v>361</v>
      </c>
      <c r="D205" s="37" t="n">
        <v>902</v>
      </c>
      <c r="E205" s="37" t="n">
        <v>871</v>
      </c>
      <c r="F205" s="63" t="n">
        <f aca="false">IF(E205="","",D205-E205)</f>
        <v>31</v>
      </c>
      <c r="G205" s="37" t="n">
        <v>638</v>
      </c>
      <c r="H205" s="37" t="n">
        <v>616</v>
      </c>
      <c r="I205" s="63" t="n">
        <f aca="false">IF(H205="","",G205-H205)</f>
        <v>22</v>
      </c>
      <c r="J205" s="52" t="n">
        <f aca="false">IF(OR(D205="",D205+G205=0),"",D205/(D205+G205))</f>
        <v>0.585714285714286</v>
      </c>
      <c r="K205" s="52" t="n">
        <f aca="false">IF(E205="","",E205/(E205+H205))</f>
        <v>0.585743106926698</v>
      </c>
      <c r="L205" s="64" t="n">
        <f aca="false">IF(OR(K205="",J205=""),"",(J205-K205)*100)</f>
        <v>-0.00288212124123222</v>
      </c>
      <c r="M205" s="21"/>
    </row>
    <row r="206" customFormat="false" ht="15" hidden="false" customHeight="false" outlineLevel="0" collapsed="false">
      <c r="A206" s="21" t="s">
        <v>189</v>
      </c>
      <c r="B206" s="21" t="s">
        <v>357</v>
      </c>
      <c r="C206" s="21" t="s">
        <v>362</v>
      </c>
      <c r="D206" s="37" t="n">
        <v>315</v>
      </c>
      <c r="E206" s="37" t="n">
        <v>305</v>
      </c>
      <c r="F206" s="63" t="n">
        <f aca="false">IF(E206="","",D206-E206)</f>
        <v>10</v>
      </c>
      <c r="G206" s="37" t="n">
        <v>260</v>
      </c>
      <c r="H206" s="37" t="n">
        <v>262</v>
      </c>
      <c r="I206" s="63" t="n">
        <f aca="false">IF(H206="","",G206-H206)</f>
        <v>-2</v>
      </c>
      <c r="J206" s="52" t="n">
        <f aca="false">IF(OR(D206="",D206+G206=0),"",D206/(D206+G206))</f>
        <v>0.547826086956522</v>
      </c>
      <c r="K206" s="52" t="n">
        <f aca="false">IF(E206="","",E206/(E206+H206))</f>
        <v>0.537918871252205</v>
      </c>
      <c r="L206" s="64" t="n">
        <f aca="false">IF(OR(K206="",J206=""),"",(J206-K206)*100)</f>
        <v>0.990721570431707</v>
      </c>
      <c r="M206" s="21"/>
    </row>
    <row r="207" customFormat="false" ht="15" hidden="false" customHeight="false" outlineLevel="0" collapsed="false">
      <c r="A207" s="21" t="s">
        <v>189</v>
      </c>
      <c r="B207" s="21" t="s">
        <v>357</v>
      </c>
      <c r="C207" s="21" t="s">
        <v>363</v>
      </c>
      <c r="D207" s="37" t="n">
        <v>574</v>
      </c>
      <c r="E207" s="37" t="n">
        <v>535</v>
      </c>
      <c r="F207" s="63" t="n">
        <f aca="false">IF(E207="","",D207-E207)</f>
        <v>39</v>
      </c>
      <c r="G207" s="37" t="n">
        <v>324</v>
      </c>
      <c r="H207" s="37" t="n">
        <v>364</v>
      </c>
      <c r="I207" s="63" t="n">
        <f aca="false">IF(H207="","",G207-H207)</f>
        <v>-40</v>
      </c>
      <c r="J207" s="52" t="n">
        <f aca="false">IF(OR(D207="",D207+G207=0),"",D207/(D207+G207))</f>
        <v>0.639198218262806</v>
      </c>
      <c r="K207" s="52" t="n">
        <f aca="false">IF(E207="","",E207/(E207+H207))</f>
        <v>0.595105672969967</v>
      </c>
      <c r="L207" s="64" t="n">
        <f aca="false">IF(OR(K207="",J207=""),"",(J207-K207)*100)</f>
        <v>4.40925452928396</v>
      </c>
      <c r="M207" s="21"/>
    </row>
    <row r="208" customFormat="false" ht="15" hidden="false" customHeight="false" outlineLevel="0" collapsed="false">
      <c r="A208" s="21" t="s">
        <v>189</v>
      </c>
      <c r="B208" s="21" t="s">
        <v>357</v>
      </c>
      <c r="C208" s="21" t="s">
        <v>364</v>
      </c>
      <c r="D208" s="37" t="n">
        <v>533</v>
      </c>
      <c r="E208" s="37" t="n">
        <v>564</v>
      </c>
      <c r="F208" s="63" t="n">
        <f aca="false">IF(E208="","",D208-E208)</f>
        <v>-31</v>
      </c>
      <c r="G208" s="37" t="n">
        <v>438</v>
      </c>
      <c r="H208" s="37" t="n">
        <v>451</v>
      </c>
      <c r="I208" s="63" t="n">
        <f aca="false">IF(H208="","",G208-H208)</f>
        <v>-13</v>
      </c>
      <c r="J208" s="52" t="n">
        <f aca="false">IF(OR(D208="",D208+G208=0),"",D208/(D208+G208))</f>
        <v>0.548918640576725</v>
      </c>
      <c r="K208" s="52" t="n">
        <f aca="false">IF(E208="","",E208/(E208+H208))</f>
        <v>0.555665024630542</v>
      </c>
      <c r="L208" s="64" t="n">
        <f aca="false">IF(OR(K208="",J208=""),"",(J208-K208)*100)</f>
        <v>-0.674638405381689</v>
      </c>
      <c r="M208" s="21"/>
    </row>
    <row r="209" customFormat="false" ht="15" hidden="false" customHeight="false" outlineLevel="0" collapsed="false">
      <c r="A209" s="21" t="s">
        <v>189</v>
      </c>
      <c r="B209" s="21" t="s">
        <v>357</v>
      </c>
      <c r="C209" s="21" t="s">
        <v>365</v>
      </c>
      <c r="D209" s="37" t="n">
        <v>274</v>
      </c>
      <c r="E209" s="37" t="n">
        <v>279</v>
      </c>
      <c r="F209" s="63" t="n">
        <f aca="false">IF(E209="","",D209-E209)</f>
        <v>-5</v>
      </c>
      <c r="G209" s="37" t="n">
        <v>310</v>
      </c>
      <c r="H209" s="37" t="n">
        <v>318</v>
      </c>
      <c r="I209" s="63" t="n">
        <f aca="false">IF(H209="","",G209-H209)</f>
        <v>-8</v>
      </c>
      <c r="J209" s="52" t="n">
        <f aca="false">IF(OR(D209="",D209+G209=0),"",D209/(D209+G209))</f>
        <v>0.469178082191781</v>
      </c>
      <c r="K209" s="52" t="n">
        <f aca="false">IF(E209="","",E209/(E209+H209))</f>
        <v>0.467336683417085</v>
      </c>
      <c r="L209" s="64" t="n">
        <f aca="false">IF(OR(K209="",J209=""),"",(J209-K209)*100)</f>
        <v>0.184139877469536</v>
      </c>
      <c r="M209" s="21"/>
    </row>
    <row r="210" customFormat="false" ht="15" hidden="false" customHeight="false" outlineLevel="0" collapsed="false">
      <c r="A210" s="21" t="s">
        <v>189</v>
      </c>
      <c r="B210" s="21" t="s">
        <v>357</v>
      </c>
      <c r="C210" s="21" t="s">
        <v>366</v>
      </c>
      <c r="D210" s="37" t="n">
        <v>592</v>
      </c>
      <c r="E210" s="37" t="n">
        <v>571</v>
      </c>
      <c r="F210" s="63" t="n">
        <f aca="false">IF(E210="","",D210-E210)</f>
        <v>21</v>
      </c>
      <c r="G210" s="37" t="n">
        <v>542</v>
      </c>
      <c r="H210" s="37" t="n">
        <v>544</v>
      </c>
      <c r="I210" s="63" t="n">
        <f aca="false">IF(H210="","",G210-H210)</f>
        <v>-2</v>
      </c>
      <c r="J210" s="52" t="n">
        <f aca="false">IF(OR(D210="",D210+G210=0),"",D210/(D210+G210))</f>
        <v>0.522045855379189</v>
      </c>
      <c r="K210" s="52" t="n">
        <f aca="false">IF(E210="","",E210/(E210+H210))</f>
        <v>0.512107623318386</v>
      </c>
      <c r="L210" s="64" t="n">
        <f aca="false">IF(OR(K210="",J210=""),"",(J210-K210)*100)</f>
        <v>0.993823206080302</v>
      </c>
      <c r="M210" s="21"/>
    </row>
    <row r="211" customFormat="false" ht="15" hidden="false" customHeight="false" outlineLevel="0" collapsed="false">
      <c r="A211" s="21" t="s">
        <v>189</v>
      </c>
      <c r="B211" s="21" t="s">
        <v>357</v>
      </c>
      <c r="C211" s="21" t="s">
        <v>367</v>
      </c>
      <c r="D211" s="37" t="n">
        <v>851</v>
      </c>
      <c r="E211" s="37" t="n">
        <v>829</v>
      </c>
      <c r="F211" s="63" t="n">
        <f aca="false">IF(E211="","",D211-E211)</f>
        <v>22</v>
      </c>
      <c r="G211" s="37" t="n">
        <v>943</v>
      </c>
      <c r="H211" s="37" t="n">
        <v>968</v>
      </c>
      <c r="I211" s="63" t="n">
        <f aca="false">IF(H211="","",G211-H211)</f>
        <v>-25</v>
      </c>
      <c r="J211" s="52" t="n">
        <f aca="false">IF(OR(D211="",D211+G211=0),"",D211/(D211+G211))</f>
        <v>0.474358974358974</v>
      </c>
      <c r="K211" s="52" t="n">
        <f aca="false">IF(E211="","",E211/(E211+H211))</f>
        <v>0.461324429604897</v>
      </c>
      <c r="L211" s="64" t="n">
        <f aca="false">IF(OR(K211="",J211=""),"",(J211-K211)*100)</f>
        <v>1.30345447540773</v>
      </c>
      <c r="M211" s="21"/>
    </row>
    <row r="212" customFormat="false" ht="15" hidden="false" customHeight="false" outlineLevel="0" collapsed="false">
      <c r="A212" s="21" t="s">
        <v>189</v>
      </c>
      <c r="B212" s="21" t="s">
        <v>357</v>
      </c>
      <c r="C212" s="21" t="s">
        <v>368</v>
      </c>
      <c r="D212" s="37" t="n">
        <v>702</v>
      </c>
      <c r="E212" s="37" t="n">
        <v>698</v>
      </c>
      <c r="F212" s="63" t="n">
        <f aca="false">IF(E212="","",D212-E212)</f>
        <v>4</v>
      </c>
      <c r="G212" s="37" t="n">
        <v>740</v>
      </c>
      <c r="H212" s="37" t="n">
        <v>748</v>
      </c>
      <c r="I212" s="63" t="n">
        <f aca="false">IF(H212="","",G212-H212)</f>
        <v>-8</v>
      </c>
      <c r="J212" s="52" t="n">
        <f aca="false">IF(OR(D212="",D212+G212=0),"",D212/(D212+G212))</f>
        <v>0.486823855755895</v>
      </c>
      <c r="K212" s="52" t="n">
        <f aca="false">IF(E212="","",E212/(E212+H212))</f>
        <v>0.482710926694329</v>
      </c>
      <c r="L212" s="64" t="n">
        <f aca="false">IF(OR(K212="",J212=""),"",(J212-K212)*100)</f>
        <v>0.411292906156541</v>
      </c>
      <c r="M212" s="21"/>
    </row>
    <row r="213" customFormat="false" ht="15" hidden="false" customHeight="false" outlineLevel="0" collapsed="false">
      <c r="A213" s="21" t="s">
        <v>189</v>
      </c>
      <c r="B213" s="21" t="s">
        <v>357</v>
      </c>
      <c r="C213" s="21" t="s">
        <v>369</v>
      </c>
      <c r="D213" s="37" t="n">
        <v>602</v>
      </c>
      <c r="E213" s="37" t="n">
        <v>582</v>
      </c>
      <c r="F213" s="63" t="n">
        <f aca="false">IF(E213="","",D213-E213)</f>
        <v>20</v>
      </c>
      <c r="G213" s="37" t="n">
        <v>574</v>
      </c>
      <c r="H213" s="37" t="n">
        <v>562</v>
      </c>
      <c r="I213" s="63" t="n">
        <f aca="false">IF(H213="","",G213-H213)</f>
        <v>12</v>
      </c>
      <c r="J213" s="52" t="n">
        <f aca="false">IF(OR(D213="",D213+G213=0),"",D213/(D213+G213))</f>
        <v>0.511904761904762</v>
      </c>
      <c r="K213" s="52" t="n">
        <f aca="false">IF(E213="","",E213/(E213+H213))</f>
        <v>0.508741258741259</v>
      </c>
      <c r="L213" s="64" t="n">
        <f aca="false">IF(OR(K213="",J213=""),"",(J213-K213)*100)</f>
        <v>0.316350316350311</v>
      </c>
      <c r="M213" s="21"/>
    </row>
    <row r="214" customFormat="false" ht="15" hidden="false" customHeight="false" outlineLevel="0" collapsed="false">
      <c r="A214" s="21" t="s">
        <v>370</v>
      </c>
      <c r="B214" s="21" t="s">
        <v>371</v>
      </c>
      <c r="C214" s="21" t="s">
        <v>372</v>
      </c>
      <c r="D214" s="37" t="n">
        <v>462</v>
      </c>
      <c r="E214" s="37" t="n">
        <v>471</v>
      </c>
      <c r="F214" s="63" t="n">
        <f aca="false">IF(E214="","",D214-E214)</f>
        <v>-9</v>
      </c>
      <c r="G214" s="37" t="n">
        <v>1082</v>
      </c>
      <c r="H214" s="37" t="n">
        <v>1124</v>
      </c>
      <c r="I214" s="63" t="n">
        <f aca="false">IF(H214="","",G214-H214)</f>
        <v>-42</v>
      </c>
      <c r="J214" s="52" t="n">
        <f aca="false">IF(OR(D214="",D214+G214=0),"",D214/(D214+G214))</f>
        <v>0.299222797927461</v>
      </c>
      <c r="K214" s="52" t="n">
        <f aca="false">IF(E214="","",E214/(E214+H214))</f>
        <v>0.295297805642633</v>
      </c>
      <c r="L214" s="64" t="n">
        <f aca="false">IF(OR(K214="",J214=""),"",(J214-K214)*100)</f>
        <v>0.39249922848279</v>
      </c>
      <c r="M214" s="21"/>
    </row>
    <row r="215" customFormat="false" ht="15" hidden="false" customHeight="false" outlineLevel="0" collapsed="false">
      <c r="A215" s="21" t="s">
        <v>370</v>
      </c>
      <c r="B215" s="21" t="s">
        <v>373</v>
      </c>
      <c r="C215" s="21" t="s">
        <v>374</v>
      </c>
      <c r="D215" s="37" t="n">
        <v>1304</v>
      </c>
      <c r="E215" s="37" t="n">
        <v>1414</v>
      </c>
      <c r="F215" s="63" t="n">
        <f aca="false">IF(E215="","",D215-E215)</f>
        <v>-110</v>
      </c>
      <c r="G215" s="37" t="n">
        <v>2865</v>
      </c>
      <c r="H215" s="37" t="n">
        <v>2894</v>
      </c>
      <c r="I215" s="63" t="n">
        <f aca="false">IF(H215="","",G215-H215)</f>
        <v>-29</v>
      </c>
      <c r="J215" s="52" t="n">
        <f aca="false">IF(OR(D215="",D215+G215=0),"",D215/(D215+G215))</f>
        <v>0.312784840489326</v>
      </c>
      <c r="K215" s="52" t="n">
        <f aca="false">IF(E215="","",E215/(E215+H215))</f>
        <v>0.328226555246054</v>
      </c>
      <c r="L215" s="64" t="n">
        <f aca="false">IF(OR(K215="",J215=""),"",(J215-K215)*100)</f>
        <v>-1.54417147567279</v>
      </c>
      <c r="M215" s="21"/>
    </row>
    <row r="216" customFormat="false" ht="15" hidden="false" customHeight="false" outlineLevel="0" collapsed="false">
      <c r="A216" s="21" t="s">
        <v>370</v>
      </c>
      <c r="B216" s="21" t="s">
        <v>375</v>
      </c>
      <c r="C216" s="21" t="s">
        <v>376</v>
      </c>
      <c r="D216" s="37" t="n">
        <v>914</v>
      </c>
      <c r="E216" s="37" t="n">
        <v>521</v>
      </c>
      <c r="F216" s="63" t="n">
        <f aca="false">IF(E216="","",D216-E216)</f>
        <v>393</v>
      </c>
      <c r="G216" s="37" t="n">
        <v>2006</v>
      </c>
      <c r="H216" s="37" t="n">
        <v>997</v>
      </c>
      <c r="I216" s="63" t="n">
        <f aca="false">IF(H216="","",G216-H216)</f>
        <v>1009</v>
      </c>
      <c r="J216" s="52" t="n">
        <f aca="false">IF(OR(D216="",D216+G216=0),"",D216/(D216+G216))</f>
        <v>0.313013698630137</v>
      </c>
      <c r="K216" s="52" t="n">
        <f aca="false">IF(E216="","",E216/(E216+H216))</f>
        <v>0.343214756258235</v>
      </c>
      <c r="L216" s="64" t="n">
        <f aca="false">IF(OR(K216="",J216=""),"",(J216-K216)*100)</f>
        <v>-3.02010576280975</v>
      </c>
      <c r="M216" s="21"/>
    </row>
    <row r="217" customFormat="false" ht="15" hidden="false" customHeight="false" outlineLevel="0" collapsed="false">
      <c r="A217" s="21" t="s">
        <v>377</v>
      </c>
      <c r="B217" s="21" t="s">
        <v>378</v>
      </c>
      <c r="C217" s="21" t="s">
        <v>379</v>
      </c>
      <c r="D217" s="37" t="n">
        <v>679</v>
      </c>
      <c r="E217" s="37" t="n">
        <v>687</v>
      </c>
      <c r="F217" s="63" t="n">
        <f aca="false">IF(E217="","",D217-E217)</f>
        <v>-8</v>
      </c>
      <c r="G217" s="37" t="n">
        <v>1018</v>
      </c>
      <c r="H217" s="37" t="n">
        <v>1009</v>
      </c>
      <c r="I217" s="63" t="n">
        <f aca="false">IF(H217="","",G217-H217)</f>
        <v>9</v>
      </c>
      <c r="J217" s="52" t="n">
        <f aca="false">IF(OR(D217="",D217+G217=0),"",D217/(D217+G217))</f>
        <v>0.400117855038303</v>
      </c>
      <c r="K217" s="52" t="n">
        <f aca="false">IF(E217="","",E217/(E217+H217))</f>
        <v>0.405070754716981</v>
      </c>
      <c r="L217" s="64" t="n">
        <f aca="false">IF(OR(K217="",J217=""),"",(J217-K217)*100)</f>
        <v>-0.495289967867824</v>
      </c>
      <c r="M217" s="21"/>
    </row>
    <row r="218" customFormat="false" ht="15" hidden="false" customHeight="false" outlineLevel="0" collapsed="false">
      <c r="A218" s="21" t="s">
        <v>377</v>
      </c>
      <c r="B218" s="21" t="s">
        <v>378</v>
      </c>
      <c r="C218" s="21" t="s">
        <v>380</v>
      </c>
      <c r="D218" s="37" t="n">
        <v>841</v>
      </c>
      <c r="E218" s="37" t="n">
        <v>824</v>
      </c>
      <c r="F218" s="63" t="n">
        <f aca="false">IF(E218="","",D218-E218)</f>
        <v>17</v>
      </c>
      <c r="G218" s="37" t="n">
        <v>925</v>
      </c>
      <c r="H218" s="37" t="n">
        <v>1009</v>
      </c>
      <c r="I218" s="63" t="n">
        <f aca="false">IF(H218="","",G218-H218)</f>
        <v>-84</v>
      </c>
      <c r="J218" s="52" t="n">
        <f aca="false">IF(OR(D218="",D218+G218=0),"",D218/(D218+G218))</f>
        <v>0.476217440543601</v>
      </c>
      <c r="K218" s="52" t="n">
        <f aca="false">IF(E218="","",E218/(E218+H218))</f>
        <v>0.449536279323513</v>
      </c>
      <c r="L218" s="64" t="n">
        <f aca="false">IF(OR(K218="",J218=""),"",(J218-K218)*100)</f>
        <v>2.6681161220088</v>
      </c>
      <c r="M218" s="21"/>
    </row>
    <row r="219" customFormat="false" ht="15" hidden="false" customHeight="false" outlineLevel="0" collapsed="false">
      <c r="A219" s="21" t="s">
        <v>377</v>
      </c>
      <c r="B219" s="21" t="s">
        <v>381</v>
      </c>
      <c r="C219" s="21" t="s">
        <v>382</v>
      </c>
      <c r="D219" s="37" t="n">
        <v>458</v>
      </c>
      <c r="E219" s="37"/>
      <c r="F219" s="63" t="str">
        <f aca="false">IF(E219="","",D219-E219)</f>
        <v/>
      </c>
      <c r="G219" s="37" t="n">
        <v>665</v>
      </c>
      <c r="H219" s="37"/>
      <c r="I219" s="63" t="str">
        <f aca="false">IF(H219="","",G219-H219)</f>
        <v/>
      </c>
      <c r="J219" s="52" t="n">
        <f aca="false">IF(OR(D219="",D219+G219=0),"",D219/(D219+G219))</f>
        <v>0.407836153161175</v>
      </c>
      <c r="K219" s="52" t="str">
        <f aca="false">IF(E219="","",E219/(E219+H219))</f>
        <v/>
      </c>
      <c r="L219" s="64" t="str">
        <f aca="false">IF(OR(K219="",J219=""),"",(J219-K219)*100)</f>
        <v/>
      </c>
      <c r="M219" s="21" t="s">
        <v>685</v>
      </c>
    </row>
    <row r="220" customFormat="false" ht="15" hidden="false" customHeight="false" outlineLevel="0" collapsed="false">
      <c r="A220" s="21" t="s">
        <v>377</v>
      </c>
      <c r="B220" s="21" t="s">
        <v>381</v>
      </c>
      <c r="C220" s="21" t="s">
        <v>383</v>
      </c>
      <c r="D220" s="37" t="n">
        <v>493</v>
      </c>
      <c r="E220" s="37"/>
      <c r="F220" s="63" t="str">
        <f aca="false">IF(E220="","",D220-E220)</f>
        <v/>
      </c>
      <c r="G220" s="37" t="n">
        <v>696</v>
      </c>
      <c r="H220" s="37"/>
      <c r="I220" s="63" t="str">
        <f aca="false">IF(H220="","",G220-H220)</f>
        <v/>
      </c>
      <c r="J220" s="52" t="n">
        <f aca="false">IF(OR(D220="",D220+G220=0),"",D220/(D220+G220))</f>
        <v>0.414634146341463</v>
      </c>
      <c r="K220" s="52" t="str">
        <f aca="false">IF(E220="","",E220/(E220+H220))</f>
        <v/>
      </c>
      <c r="L220" s="64" t="str">
        <f aca="false">IF(OR(K220="",J220=""),"",(J220-K220)*100)</f>
        <v/>
      </c>
      <c r="M220" s="21" t="s">
        <v>685</v>
      </c>
    </row>
    <row r="221" customFormat="false" ht="15" hidden="false" customHeight="false" outlineLevel="0" collapsed="false">
      <c r="A221" s="21" t="s">
        <v>377</v>
      </c>
      <c r="B221" s="21" t="s">
        <v>384</v>
      </c>
      <c r="C221" s="21" t="s">
        <v>385</v>
      </c>
      <c r="D221" s="37" t="n">
        <v>611</v>
      </c>
      <c r="E221" s="37" t="n">
        <v>623</v>
      </c>
      <c r="F221" s="63" t="n">
        <f aca="false">IF(E221="","",D221-E221)</f>
        <v>-12</v>
      </c>
      <c r="G221" s="37" t="n">
        <v>759</v>
      </c>
      <c r="H221" s="37" t="n">
        <v>726</v>
      </c>
      <c r="I221" s="63" t="n">
        <f aca="false">IF(H221="","",G221-H221)</f>
        <v>33</v>
      </c>
      <c r="J221" s="52" t="n">
        <f aca="false">IF(OR(D221="",D221+G221=0),"",D221/(D221+G221))</f>
        <v>0.445985401459854</v>
      </c>
      <c r="K221" s="52" t="n">
        <f aca="false">IF(E221="","",E221/(E221+H221))</f>
        <v>0.46182357301705</v>
      </c>
      <c r="L221" s="64" t="n">
        <f aca="false">IF(OR(K221="",J221=""),"",(J221-K221)*100)</f>
        <v>-1.58381715571957</v>
      </c>
      <c r="M221" s="21"/>
    </row>
    <row r="222" customFormat="false" ht="15" hidden="false" customHeight="false" outlineLevel="0" collapsed="false">
      <c r="A222" s="21" t="s">
        <v>377</v>
      </c>
      <c r="B222" s="21" t="s">
        <v>252</v>
      </c>
      <c r="C222" s="21" t="s">
        <v>386</v>
      </c>
      <c r="D222" s="37" t="n">
        <v>707</v>
      </c>
      <c r="E222" s="37" t="n">
        <v>775</v>
      </c>
      <c r="F222" s="63" t="n">
        <f aca="false">IF(E222="","",D222-E222)</f>
        <v>-68</v>
      </c>
      <c r="G222" s="37" t="n">
        <v>470</v>
      </c>
      <c r="H222" s="37" t="n">
        <v>447</v>
      </c>
      <c r="I222" s="63" t="n">
        <f aca="false">IF(H222="","",G222-H222)</f>
        <v>23</v>
      </c>
      <c r="J222" s="52" t="n">
        <f aca="false">IF(OR(D222="",D222+G222=0),"",D222/(D222+G222))</f>
        <v>0.600679694137638</v>
      </c>
      <c r="K222" s="52" t="n">
        <f aca="false">IF(E222="","",E222/(E222+H222))</f>
        <v>0.634206219312602</v>
      </c>
      <c r="L222" s="64" t="n">
        <f aca="false">IF(OR(K222="",J222=""),"",(J222-K222)*100)</f>
        <v>-3.35265251749641</v>
      </c>
      <c r="M222" s="21"/>
    </row>
    <row r="223" customFormat="false" ht="15" hidden="false" customHeight="false" outlineLevel="0" collapsed="false">
      <c r="A223" s="21" t="s">
        <v>377</v>
      </c>
      <c r="B223" s="21" t="s">
        <v>252</v>
      </c>
      <c r="C223" s="21" t="s">
        <v>387</v>
      </c>
      <c r="D223" s="37" t="n">
        <v>976</v>
      </c>
      <c r="E223" s="37" t="n">
        <v>982</v>
      </c>
      <c r="F223" s="63" t="n">
        <f aca="false">IF(E223="","",D223-E223)</f>
        <v>-6</v>
      </c>
      <c r="G223" s="37" t="n">
        <v>663</v>
      </c>
      <c r="H223" s="37" t="n">
        <v>684</v>
      </c>
      <c r="I223" s="63" t="n">
        <f aca="false">IF(H223="","",G223-H223)</f>
        <v>-21</v>
      </c>
      <c r="J223" s="52" t="n">
        <f aca="false">IF(OR(D223="",D223+G223=0),"",D223/(D223+G223))</f>
        <v>0.595485051860891</v>
      </c>
      <c r="K223" s="52" t="n">
        <f aca="false">IF(E223="","",E223/(E223+H223))</f>
        <v>0.589435774309724</v>
      </c>
      <c r="L223" s="64" t="n">
        <f aca="false">IF(OR(K223="",J223=""),"",(J223-K223)*100)</f>
        <v>0.60492775511668</v>
      </c>
      <c r="M223" s="21"/>
    </row>
    <row r="224" customFormat="false" ht="15" hidden="false" customHeight="false" outlineLevel="0" collapsed="false">
      <c r="A224" s="21" t="s">
        <v>377</v>
      </c>
      <c r="B224" s="21" t="s">
        <v>252</v>
      </c>
      <c r="C224" s="21" t="s">
        <v>388</v>
      </c>
      <c r="D224" s="37" t="n">
        <v>747</v>
      </c>
      <c r="E224" s="37" t="n">
        <v>750</v>
      </c>
      <c r="F224" s="63" t="n">
        <f aca="false">IF(E224="","",D224-E224)</f>
        <v>-3</v>
      </c>
      <c r="G224" s="37" t="n">
        <v>414</v>
      </c>
      <c r="H224" s="37" t="n">
        <v>421</v>
      </c>
      <c r="I224" s="63" t="n">
        <f aca="false">IF(H224="","",G224-H224)</f>
        <v>-7</v>
      </c>
      <c r="J224" s="52" t="n">
        <f aca="false">IF(OR(D224="",D224+G224=0),"",D224/(D224+G224))</f>
        <v>0.643410852713178</v>
      </c>
      <c r="K224" s="52" t="n">
        <f aca="false">IF(E224="","",E224/(E224+H224))</f>
        <v>0.640478223740393</v>
      </c>
      <c r="L224" s="64" t="n">
        <f aca="false">IF(OR(K224="",J224=""),"",(J224-K224)*100)</f>
        <v>0.293262897278546</v>
      </c>
      <c r="M224" s="21"/>
    </row>
    <row r="225" customFormat="false" ht="15" hidden="false" customHeight="false" outlineLevel="0" collapsed="false">
      <c r="A225" s="21" t="s">
        <v>377</v>
      </c>
      <c r="B225" s="21" t="s">
        <v>252</v>
      </c>
      <c r="C225" s="21" t="s">
        <v>389</v>
      </c>
      <c r="D225" s="37" t="n">
        <v>577</v>
      </c>
      <c r="E225" s="37" t="n">
        <v>592</v>
      </c>
      <c r="F225" s="63" t="n">
        <f aca="false">IF(E225="","",D225-E225)</f>
        <v>-15</v>
      </c>
      <c r="G225" s="37" t="n">
        <v>356</v>
      </c>
      <c r="H225" s="37" t="n">
        <v>337</v>
      </c>
      <c r="I225" s="63" t="n">
        <f aca="false">IF(H225="","",G225-H225)</f>
        <v>19</v>
      </c>
      <c r="J225" s="52" t="n">
        <f aca="false">IF(OR(D225="",D225+G225=0),"",D225/(D225+G225))</f>
        <v>0.618435155412647</v>
      </c>
      <c r="K225" s="52" t="n">
        <f aca="false">IF(E225="","",E225/(E225+H225))</f>
        <v>0.63724434876211</v>
      </c>
      <c r="L225" s="64" t="n">
        <f aca="false">IF(OR(K225="",J225=""),"",(J225-K225)*100)</f>
        <v>-1.88091933494624</v>
      </c>
      <c r="M225" s="21"/>
    </row>
    <row r="226" customFormat="false" ht="15" hidden="false" customHeight="false" outlineLevel="0" collapsed="false">
      <c r="A226" s="21" t="s">
        <v>377</v>
      </c>
      <c r="B226" s="21" t="s">
        <v>252</v>
      </c>
      <c r="C226" s="21" t="s">
        <v>390</v>
      </c>
      <c r="D226" s="37" t="n">
        <v>757</v>
      </c>
      <c r="E226" s="37" t="n">
        <v>740</v>
      </c>
      <c r="F226" s="63" t="n">
        <f aca="false">IF(E226="","",D226-E226)</f>
        <v>17</v>
      </c>
      <c r="G226" s="37" t="n">
        <v>525</v>
      </c>
      <c r="H226" s="37" t="n">
        <v>506</v>
      </c>
      <c r="I226" s="63" t="n">
        <f aca="false">IF(H226="","",G226-H226)</f>
        <v>19</v>
      </c>
      <c r="J226" s="52" t="n">
        <f aca="false">IF(OR(D226="",D226+G226=0),"",D226/(D226+G226))</f>
        <v>0.590483619344774</v>
      </c>
      <c r="K226" s="52" t="n">
        <f aca="false">IF(E226="","",E226/(E226+H226))</f>
        <v>0.593900481540931</v>
      </c>
      <c r="L226" s="64" t="n">
        <f aca="false">IF(OR(K226="",J226=""),"",(J226-K226)*100)</f>
        <v>-0.341686219615722</v>
      </c>
      <c r="M226" s="21"/>
    </row>
    <row r="227" customFormat="false" ht="15" hidden="false" customHeight="false" outlineLevel="0" collapsed="false">
      <c r="A227" s="21" t="s">
        <v>377</v>
      </c>
      <c r="B227" s="21" t="s">
        <v>252</v>
      </c>
      <c r="C227" s="21" t="s">
        <v>391</v>
      </c>
      <c r="D227" s="37" t="n">
        <v>1030</v>
      </c>
      <c r="E227" s="37" t="n">
        <v>1037</v>
      </c>
      <c r="F227" s="63" t="n">
        <f aca="false">IF(E227="","",D227-E227)</f>
        <v>-7</v>
      </c>
      <c r="G227" s="37" t="n">
        <v>628</v>
      </c>
      <c r="H227" s="37" t="n">
        <v>623</v>
      </c>
      <c r="I227" s="63" t="n">
        <f aca="false">IF(H227="","",G227-H227)</f>
        <v>5</v>
      </c>
      <c r="J227" s="52" t="n">
        <f aca="false">IF(OR(D227="",D227+G227=0),"",D227/(D227+G227))</f>
        <v>0.621230398069964</v>
      </c>
      <c r="K227" s="52" t="n">
        <f aca="false">IF(E227="","",E227/(E227+H227))</f>
        <v>0.624698795180723</v>
      </c>
      <c r="L227" s="64" t="n">
        <f aca="false">IF(OR(K227="",J227=""),"",(J227-K227)*100)</f>
        <v>-0.346839711075908</v>
      </c>
      <c r="M227" s="21"/>
    </row>
    <row r="228" customFormat="false" ht="15" hidden="false" customHeight="false" outlineLevel="0" collapsed="false">
      <c r="A228" s="21" t="s">
        <v>377</v>
      </c>
      <c r="B228" s="21" t="s">
        <v>252</v>
      </c>
      <c r="C228" s="21" t="s">
        <v>392</v>
      </c>
      <c r="D228" s="37" t="n">
        <v>671</v>
      </c>
      <c r="E228" s="37" t="n">
        <v>681</v>
      </c>
      <c r="F228" s="63" t="n">
        <f aca="false">IF(E228="","",D228-E228)</f>
        <v>-10</v>
      </c>
      <c r="G228" s="37" t="n">
        <v>493</v>
      </c>
      <c r="H228" s="37" t="n">
        <v>513</v>
      </c>
      <c r="I228" s="63" t="n">
        <f aca="false">IF(H228="","",G228-H228)</f>
        <v>-20</v>
      </c>
      <c r="J228" s="52" t="n">
        <f aca="false">IF(OR(D228="",D228+G228=0),"",D228/(D228+G228))</f>
        <v>0.576460481099656</v>
      </c>
      <c r="K228" s="52" t="n">
        <f aca="false">IF(E228="","",E228/(E228+H228))</f>
        <v>0.57035175879397</v>
      </c>
      <c r="L228" s="64" t="n">
        <f aca="false">IF(OR(K228="",J228=""),"",(J228-K228)*100)</f>
        <v>0.610872230568649</v>
      </c>
      <c r="M228" s="21"/>
    </row>
    <row r="229" customFormat="false" ht="15" hidden="false" customHeight="false" outlineLevel="0" collapsed="false">
      <c r="A229" s="21" t="s">
        <v>377</v>
      </c>
      <c r="B229" s="21" t="s">
        <v>252</v>
      </c>
      <c r="C229" s="21" t="s">
        <v>393</v>
      </c>
      <c r="D229" s="37" t="n">
        <v>523</v>
      </c>
      <c r="E229" s="37" t="n">
        <v>529</v>
      </c>
      <c r="F229" s="63" t="n">
        <f aca="false">IF(E229="","",D229-E229)</f>
        <v>-6</v>
      </c>
      <c r="G229" s="37" t="n">
        <v>321</v>
      </c>
      <c r="H229" s="37" t="n">
        <v>293</v>
      </c>
      <c r="I229" s="63" t="n">
        <f aca="false">IF(H229="","",G229-H229)</f>
        <v>28</v>
      </c>
      <c r="J229" s="52" t="n">
        <f aca="false">IF(OR(D229="",D229+G229=0),"",D229/(D229+G229))</f>
        <v>0.619668246445498</v>
      </c>
      <c r="K229" s="52" t="n">
        <f aca="false">IF(E229="","",E229/(E229+H229))</f>
        <v>0.643552311435523</v>
      </c>
      <c r="L229" s="64" t="n">
        <f aca="false">IF(OR(K229="",J229=""),"",(J229-K229)*100)</f>
        <v>-2.38840649900255</v>
      </c>
      <c r="M229" s="21"/>
    </row>
    <row r="230" customFormat="false" ht="15" hidden="false" customHeight="false" outlineLevel="0" collapsed="false">
      <c r="A230" s="21" t="s">
        <v>377</v>
      </c>
      <c r="B230" s="21" t="s">
        <v>252</v>
      </c>
      <c r="C230" s="21" t="s">
        <v>394</v>
      </c>
      <c r="D230" s="37" t="n">
        <v>739</v>
      </c>
      <c r="E230" s="37" t="n">
        <v>767</v>
      </c>
      <c r="F230" s="63" t="n">
        <f aca="false">IF(E230="","",D230-E230)</f>
        <v>-28</v>
      </c>
      <c r="G230" s="37" t="n">
        <v>376</v>
      </c>
      <c r="H230" s="37" t="n">
        <v>384</v>
      </c>
      <c r="I230" s="63" t="n">
        <f aca="false">IF(H230="","",G230-H230)</f>
        <v>-8</v>
      </c>
      <c r="J230" s="52" t="n">
        <f aca="false">IF(OR(D230="",D230+G230=0),"",D230/(D230+G230))</f>
        <v>0.662780269058296</v>
      </c>
      <c r="K230" s="52" t="n">
        <f aca="false">IF(E230="","",E230/(E230+H230))</f>
        <v>0.66637706342311</v>
      </c>
      <c r="L230" s="64" t="n">
        <f aca="false">IF(OR(K230="",J230=""),"",(J230-K230)*100)</f>
        <v>-0.35967943648143</v>
      </c>
      <c r="M230" s="21"/>
    </row>
    <row r="231" customFormat="false" ht="15" hidden="false" customHeight="false" outlineLevel="0" collapsed="false">
      <c r="A231" s="21" t="s">
        <v>377</v>
      </c>
      <c r="B231" s="21" t="s">
        <v>252</v>
      </c>
      <c r="C231" s="21" t="s">
        <v>395</v>
      </c>
      <c r="D231" s="37" t="n">
        <v>905</v>
      </c>
      <c r="E231" s="37" t="n">
        <v>906</v>
      </c>
      <c r="F231" s="63" t="n">
        <f aca="false">IF(E231="","",D231-E231)</f>
        <v>-1</v>
      </c>
      <c r="G231" s="37" t="n">
        <v>580</v>
      </c>
      <c r="H231" s="37" t="n">
        <v>586</v>
      </c>
      <c r="I231" s="63" t="n">
        <f aca="false">IF(H231="","",G231-H231)</f>
        <v>-6</v>
      </c>
      <c r="J231" s="52" t="n">
        <f aca="false">IF(OR(D231="",D231+G231=0),"",D231/(D231+G231))</f>
        <v>0.609427609427609</v>
      </c>
      <c r="K231" s="52" t="n">
        <f aca="false">IF(E231="","",E231/(E231+H231))</f>
        <v>0.607238605898123</v>
      </c>
      <c r="L231" s="64" t="n">
        <f aca="false">IF(OR(K231="",J231=""),"",(J231-K231)*100)</f>
        <v>0.218900352948614</v>
      </c>
      <c r="M231" s="21"/>
    </row>
    <row r="232" customFormat="false" ht="15" hidden="false" customHeight="false" outlineLevel="0" collapsed="false">
      <c r="A232" s="21" t="s">
        <v>377</v>
      </c>
      <c r="B232" s="21" t="s">
        <v>252</v>
      </c>
      <c r="C232" s="21" t="s">
        <v>396</v>
      </c>
      <c r="D232" s="37" t="n">
        <v>862</v>
      </c>
      <c r="E232" s="37" t="n">
        <v>954</v>
      </c>
      <c r="F232" s="63" t="n">
        <f aca="false">IF(E232="","",D232-E232)</f>
        <v>-92</v>
      </c>
      <c r="G232" s="37" t="n">
        <v>401</v>
      </c>
      <c r="H232" s="37" t="n">
        <v>416</v>
      </c>
      <c r="I232" s="63" t="n">
        <f aca="false">IF(H232="","",G232-H232)</f>
        <v>-15</v>
      </c>
      <c r="J232" s="52" t="n">
        <f aca="false">IF(OR(D232="",D232+G232=0),"",D232/(D232+G232))</f>
        <v>0.682501979414093</v>
      </c>
      <c r="K232" s="52" t="n">
        <f aca="false">IF(E232="","",E232/(E232+H232))</f>
        <v>0.696350364963504</v>
      </c>
      <c r="L232" s="64" t="n">
        <f aca="false">IF(OR(K232="",J232=""),"",(J232-K232)*100)</f>
        <v>-1.38483855494103</v>
      </c>
      <c r="M232" s="21"/>
    </row>
    <row r="233" customFormat="false" ht="15" hidden="false" customHeight="false" outlineLevel="0" collapsed="false">
      <c r="A233" s="21" t="s">
        <v>377</v>
      </c>
      <c r="B233" s="21" t="s">
        <v>252</v>
      </c>
      <c r="C233" s="21" t="s">
        <v>397</v>
      </c>
      <c r="D233" s="37" t="n">
        <v>728</v>
      </c>
      <c r="E233" s="37" t="n">
        <v>821</v>
      </c>
      <c r="F233" s="63" t="n">
        <f aca="false">IF(E233="","",D233-E233)</f>
        <v>-93</v>
      </c>
      <c r="G233" s="37" t="n">
        <v>464</v>
      </c>
      <c r="H233" s="37" t="n">
        <v>474</v>
      </c>
      <c r="I233" s="63" t="n">
        <f aca="false">IF(H233="","",G233-H233)</f>
        <v>-10</v>
      </c>
      <c r="J233" s="52" t="n">
        <f aca="false">IF(OR(D233="",D233+G233=0),"",D233/(D233+G233))</f>
        <v>0.610738255033557</v>
      </c>
      <c r="K233" s="52" t="n">
        <f aca="false">IF(E233="","",E233/(E233+H233))</f>
        <v>0.633976833976834</v>
      </c>
      <c r="L233" s="64" t="n">
        <f aca="false">IF(OR(K233="",J233=""),"",(J233-K233)*100)</f>
        <v>-2.3238578943277</v>
      </c>
      <c r="M233" s="21"/>
    </row>
    <row r="234" customFormat="false" ht="15" hidden="false" customHeight="false" outlineLevel="0" collapsed="false">
      <c r="A234" s="21" t="s">
        <v>377</v>
      </c>
      <c r="B234" s="21" t="s">
        <v>252</v>
      </c>
      <c r="C234" s="21" t="s">
        <v>398</v>
      </c>
      <c r="D234" s="37" t="n">
        <v>281</v>
      </c>
      <c r="E234" s="37" t="n">
        <v>283</v>
      </c>
      <c r="F234" s="63" t="n">
        <f aca="false">IF(E234="","",D234-E234)</f>
        <v>-2</v>
      </c>
      <c r="G234" s="37" t="n">
        <v>98</v>
      </c>
      <c r="H234" s="37" t="n">
        <v>110</v>
      </c>
      <c r="I234" s="63" t="n">
        <f aca="false">IF(H234="","",G234-H234)</f>
        <v>-12</v>
      </c>
      <c r="J234" s="52" t="n">
        <f aca="false">IF(OR(D234="",D234+G234=0),"",D234/(D234+G234))</f>
        <v>0.741424802110818</v>
      </c>
      <c r="K234" s="52" t="n">
        <f aca="false">IF(E234="","",E234/(E234+H234))</f>
        <v>0.720101781170484</v>
      </c>
      <c r="L234" s="64" t="n">
        <f aca="false">IF(OR(K234="",J234=""),"",(J234-K234)*100)</f>
        <v>2.13230209403344</v>
      </c>
      <c r="M234" s="21"/>
    </row>
    <row r="235" customFormat="false" ht="15" hidden="false" customHeight="false" outlineLevel="0" collapsed="false">
      <c r="A235" s="21" t="s">
        <v>377</v>
      </c>
      <c r="B235" s="21" t="s">
        <v>252</v>
      </c>
      <c r="C235" s="21" t="s">
        <v>399</v>
      </c>
      <c r="D235" s="37" t="n">
        <v>487</v>
      </c>
      <c r="E235" s="37" t="n">
        <v>450</v>
      </c>
      <c r="F235" s="63" t="n">
        <f aca="false">IF(E235="","",D235-E235)</f>
        <v>37</v>
      </c>
      <c r="G235" s="37" t="n">
        <v>168</v>
      </c>
      <c r="H235" s="37" t="n">
        <v>179</v>
      </c>
      <c r="I235" s="63" t="n">
        <f aca="false">IF(H235="","",G235-H235)</f>
        <v>-11</v>
      </c>
      <c r="J235" s="52" t="n">
        <f aca="false">IF(OR(D235="",D235+G235=0),"",D235/(D235+G235))</f>
        <v>0.743511450381679</v>
      </c>
      <c r="K235" s="52" t="n">
        <f aca="false">IF(E235="","",E235/(E235+H235))</f>
        <v>0.715421303656598</v>
      </c>
      <c r="L235" s="64" t="n">
        <f aca="false">IF(OR(K235="",J235=""),"",(J235-K235)*100)</f>
        <v>2.80901467250817</v>
      </c>
      <c r="M235" s="21"/>
    </row>
    <row r="236" customFormat="false" ht="15" hidden="false" customHeight="false" outlineLevel="0" collapsed="false">
      <c r="A236" s="21" t="s">
        <v>377</v>
      </c>
      <c r="B236" s="21" t="s">
        <v>252</v>
      </c>
      <c r="C236" s="21" t="s">
        <v>400</v>
      </c>
      <c r="D236" s="37" t="n">
        <v>488</v>
      </c>
      <c r="E236" s="37" t="n">
        <v>442</v>
      </c>
      <c r="F236" s="63" t="n">
        <f aca="false">IF(E236="","",D236-E236)</f>
        <v>46</v>
      </c>
      <c r="G236" s="37" t="n">
        <v>178</v>
      </c>
      <c r="H236" s="37" t="n">
        <v>161</v>
      </c>
      <c r="I236" s="63" t="n">
        <f aca="false">IF(H236="","",G236-H236)</f>
        <v>17</v>
      </c>
      <c r="J236" s="52" t="n">
        <f aca="false">IF(OR(D236="",D236+G236=0),"",D236/(D236+G236))</f>
        <v>0.732732732732733</v>
      </c>
      <c r="K236" s="52" t="n">
        <f aca="false">IF(E236="","",E236/(E236+H236))</f>
        <v>0.733001658374793</v>
      </c>
      <c r="L236" s="64" t="n">
        <f aca="false">IF(OR(K236="",J236=""),"",(J236-K236)*100)</f>
        <v>-0.0268925642059936</v>
      </c>
      <c r="M236" s="21"/>
    </row>
    <row r="237" customFormat="false" ht="15" hidden="false" customHeight="false" outlineLevel="0" collapsed="false">
      <c r="A237" s="21" t="s">
        <v>377</v>
      </c>
      <c r="B237" s="21" t="s">
        <v>252</v>
      </c>
      <c r="C237" s="21" t="s">
        <v>401</v>
      </c>
      <c r="D237" s="37" t="n">
        <v>701</v>
      </c>
      <c r="E237" s="37" t="n">
        <v>599</v>
      </c>
      <c r="F237" s="63" t="n">
        <f aca="false">IF(E237="","",D237-E237)</f>
        <v>102</v>
      </c>
      <c r="G237" s="37" t="n">
        <v>206</v>
      </c>
      <c r="H237" s="37" t="n">
        <v>203</v>
      </c>
      <c r="I237" s="63" t="n">
        <f aca="false">IF(H237="","",G237-H237)</f>
        <v>3</v>
      </c>
      <c r="J237" s="52" t="n">
        <f aca="false">IF(OR(D237="",D237+G237=0),"",D237/(D237+G237))</f>
        <v>0.772877618522602</v>
      </c>
      <c r="K237" s="52" t="n">
        <f aca="false">IF(E237="","",E237/(E237+H237))</f>
        <v>0.746882793017456</v>
      </c>
      <c r="L237" s="64" t="n">
        <f aca="false">IF(OR(K237="",J237=""),"",(J237-K237)*100)</f>
        <v>2.59948255051455</v>
      </c>
      <c r="M237" s="21"/>
    </row>
    <row r="238" customFormat="false" ht="15" hidden="false" customHeight="false" outlineLevel="0" collapsed="false">
      <c r="A238" s="21" t="s">
        <v>377</v>
      </c>
      <c r="B238" s="21" t="s">
        <v>252</v>
      </c>
      <c r="C238" s="21" t="s">
        <v>402</v>
      </c>
      <c r="D238" s="37" t="n">
        <v>910</v>
      </c>
      <c r="E238" s="37" t="n">
        <v>1506</v>
      </c>
      <c r="F238" s="63" t="n">
        <f aca="false">IF(E238="","",D238-E238)</f>
        <v>-596</v>
      </c>
      <c r="G238" s="37" t="n">
        <v>237</v>
      </c>
      <c r="H238" s="37" t="n">
        <v>338</v>
      </c>
      <c r="I238" s="63" t="n">
        <f aca="false">IF(H238="","",G238-H238)</f>
        <v>-101</v>
      </c>
      <c r="J238" s="52" t="n">
        <f aca="false">IF(OR(D238="",D238+G238=0),"",D238/(D238+G238))</f>
        <v>0.793374019180471</v>
      </c>
      <c r="K238" s="52" t="n">
        <f aca="false">IF(E238="","",E238/(E238+H238))</f>
        <v>0.816702819956616</v>
      </c>
      <c r="L238" s="64" t="n">
        <f aca="false">IF(OR(K238="",J238=""),"",(J238-K238)*100)</f>
        <v>-2.33288007761453</v>
      </c>
      <c r="M238" s="21"/>
    </row>
    <row r="239" customFormat="false" ht="15" hidden="false" customHeight="false" outlineLevel="0" collapsed="false">
      <c r="A239" s="21" t="s">
        <v>377</v>
      </c>
      <c r="B239" s="21" t="s">
        <v>252</v>
      </c>
      <c r="C239" s="21" t="s">
        <v>403</v>
      </c>
      <c r="D239" s="37" t="n">
        <v>724</v>
      </c>
      <c r="E239" s="37" t="n">
        <v>645</v>
      </c>
      <c r="F239" s="63" t="n">
        <f aca="false">IF(E239="","",D239-E239)</f>
        <v>79</v>
      </c>
      <c r="G239" s="37" t="n">
        <v>226</v>
      </c>
      <c r="H239" s="37" t="n">
        <v>243</v>
      </c>
      <c r="I239" s="63" t="n">
        <f aca="false">IF(H239="","",G239-H239)</f>
        <v>-17</v>
      </c>
      <c r="J239" s="52" t="n">
        <f aca="false">IF(OR(D239="",D239+G239=0),"",D239/(D239+G239))</f>
        <v>0.762105263157895</v>
      </c>
      <c r="K239" s="52" t="n">
        <f aca="false">IF(E239="","",E239/(E239+H239))</f>
        <v>0.726351351351351</v>
      </c>
      <c r="L239" s="64" t="n">
        <f aca="false">IF(OR(K239="",J239=""),"",(J239-K239)*100)</f>
        <v>3.57539118065434</v>
      </c>
      <c r="M239" s="21"/>
    </row>
    <row r="240" customFormat="false" ht="15" hidden="false" customHeight="false" outlineLevel="0" collapsed="false">
      <c r="A240" s="21" t="s">
        <v>377</v>
      </c>
      <c r="B240" s="21" t="s">
        <v>252</v>
      </c>
      <c r="C240" s="21" t="s">
        <v>404</v>
      </c>
      <c r="D240" s="37" t="n">
        <v>676</v>
      </c>
      <c r="E240" s="37" t="n">
        <v>628</v>
      </c>
      <c r="F240" s="63" t="n">
        <f aca="false">IF(E240="","",D240-E240)</f>
        <v>48</v>
      </c>
      <c r="G240" s="37" t="n">
        <v>238</v>
      </c>
      <c r="H240" s="37" t="n">
        <v>267</v>
      </c>
      <c r="I240" s="63" t="n">
        <f aca="false">IF(H240="","",G240-H240)</f>
        <v>-29</v>
      </c>
      <c r="J240" s="52" t="n">
        <f aca="false">IF(OR(D240="",D240+G240=0),"",D240/(D240+G240))</f>
        <v>0.739606126914661</v>
      </c>
      <c r="K240" s="52" t="n">
        <f aca="false">IF(E240="","",E240/(E240+H240))</f>
        <v>0.701675977653631</v>
      </c>
      <c r="L240" s="64" t="n">
        <f aca="false">IF(OR(K240="",J240=""),"",(J240-K240)*100)</f>
        <v>3.79301492610296</v>
      </c>
      <c r="M240" s="21"/>
    </row>
    <row r="241" customFormat="false" ht="15" hidden="false" customHeight="false" outlineLevel="0" collapsed="false">
      <c r="A241" s="21" t="s">
        <v>377</v>
      </c>
      <c r="B241" s="21" t="s">
        <v>252</v>
      </c>
      <c r="C241" s="21" t="s">
        <v>405</v>
      </c>
      <c r="D241" s="37" t="n">
        <v>413</v>
      </c>
      <c r="E241" s="37" t="n">
        <v>473</v>
      </c>
      <c r="F241" s="63" t="n">
        <f aca="false">IF(E241="","",D241-E241)</f>
        <v>-60</v>
      </c>
      <c r="G241" s="37" t="n">
        <v>178</v>
      </c>
      <c r="H241" s="37" t="n">
        <v>153</v>
      </c>
      <c r="I241" s="63" t="n">
        <f aca="false">IF(H241="","",G241-H241)</f>
        <v>25</v>
      </c>
      <c r="J241" s="52" t="n">
        <f aca="false">IF(OR(D241="",D241+G241=0),"",D241/(D241+G241))</f>
        <v>0.698815566835871</v>
      </c>
      <c r="K241" s="52" t="n">
        <f aca="false">IF(E241="","",E241/(E241+H241))</f>
        <v>0.755591054313099</v>
      </c>
      <c r="L241" s="64" t="n">
        <f aca="false">IF(OR(K241="",J241=""),"",(J241-K241)*100)</f>
        <v>-5.67754874772276</v>
      </c>
      <c r="M241" s="21"/>
    </row>
    <row r="242" customFormat="false" ht="15" hidden="false" customHeight="false" outlineLevel="0" collapsed="false">
      <c r="A242" s="21" t="s">
        <v>377</v>
      </c>
      <c r="B242" s="21" t="s">
        <v>252</v>
      </c>
      <c r="C242" s="21" t="s">
        <v>406</v>
      </c>
      <c r="D242" s="37" t="n">
        <v>756</v>
      </c>
      <c r="E242" s="37" t="n">
        <v>745</v>
      </c>
      <c r="F242" s="63" t="n">
        <f aca="false">IF(E242="","",D242-E242)</f>
        <v>11</v>
      </c>
      <c r="G242" s="37" t="n">
        <v>301</v>
      </c>
      <c r="H242" s="37" t="n">
        <v>301</v>
      </c>
      <c r="I242" s="63" t="n">
        <f aca="false">IF(H242="","",G242-H242)</f>
        <v>0</v>
      </c>
      <c r="J242" s="52" t="n">
        <f aca="false">IF(OR(D242="",D242+G242=0),"",D242/(D242+G242))</f>
        <v>0.71523178807947</v>
      </c>
      <c r="K242" s="52" t="n">
        <f aca="false">IF(E242="","",E242/(E242+H242))</f>
        <v>0.712237093690249</v>
      </c>
      <c r="L242" s="64" t="n">
        <f aca="false">IF(OR(K242="",J242=""),"",(J242-K242)*100)</f>
        <v>0.299469438922162</v>
      </c>
      <c r="M242" s="21"/>
    </row>
    <row r="243" customFormat="false" ht="15" hidden="false" customHeight="false" outlineLevel="0" collapsed="false">
      <c r="A243" s="21" t="s">
        <v>377</v>
      </c>
      <c r="B243" s="21" t="s">
        <v>252</v>
      </c>
      <c r="C243" s="21" t="s">
        <v>407</v>
      </c>
      <c r="D243" s="37" t="n">
        <v>670</v>
      </c>
      <c r="E243" s="37" t="n">
        <v>682</v>
      </c>
      <c r="F243" s="63" t="n">
        <f aca="false">IF(E243="","",D243-E243)</f>
        <v>-12</v>
      </c>
      <c r="G243" s="37" t="n">
        <v>297</v>
      </c>
      <c r="H243" s="37" t="n">
        <v>313</v>
      </c>
      <c r="I243" s="63" t="n">
        <f aca="false">IF(H243="","",G243-H243)</f>
        <v>-16</v>
      </c>
      <c r="J243" s="52" t="n">
        <f aca="false">IF(OR(D243="",D243+G243=0),"",D243/(D243+G243))</f>
        <v>0.692864529472596</v>
      </c>
      <c r="K243" s="52" t="n">
        <f aca="false">IF(E243="","",E243/(E243+H243))</f>
        <v>0.685427135678392</v>
      </c>
      <c r="L243" s="64" t="n">
        <f aca="false">IF(OR(K243="",J243=""),"",(J243-K243)*100)</f>
        <v>0.743739379420372</v>
      </c>
      <c r="M243" s="21"/>
    </row>
    <row r="244" customFormat="false" ht="15" hidden="false" customHeight="false" outlineLevel="0" collapsed="false">
      <c r="A244" s="21" t="s">
        <v>377</v>
      </c>
      <c r="B244" s="21" t="s">
        <v>252</v>
      </c>
      <c r="C244" s="21" t="s">
        <v>408</v>
      </c>
      <c r="D244" s="37" t="n">
        <v>707</v>
      </c>
      <c r="E244" s="37" t="n">
        <v>711</v>
      </c>
      <c r="F244" s="63" t="n">
        <f aca="false">IF(E244="","",D244-E244)</f>
        <v>-4</v>
      </c>
      <c r="G244" s="37" t="n">
        <v>316</v>
      </c>
      <c r="H244" s="37" t="n">
        <v>341</v>
      </c>
      <c r="I244" s="63" t="n">
        <f aca="false">IF(H244="","",G244-H244)</f>
        <v>-25</v>
      </c>
      <c r="J244" s="52" t="n">
        <f aca="false">IF(OR(D244="",D244+G244=0),"",D244/(D244+G244))</f>
        <v>0.691104594330401</v>
      </c>
      <c r="K244" s="52" t="n">
        <f aca="false">IF(E244="","",E244/(E244+H244))</f>
        <v>0.675855513307985</v>
      </c>
      <c r="L244" s="64" t="n">
        <f aca="false">IF(OR(K244="",J244=""),"",(J244-K244)*100)</f>
        <v>1.52490810224161</v>
      </c>
      <c r="M244" s="21"/>
    </row>
    <row r="245" customFormat="false" ht="15" hidden="false" customHeight="false" outlineLevel="0" collapsed="false">
      <c r="A245" s="21" t="s">
        <v>377</v>
      </c>
      <c r="B245" s="21" t="s">
        <v>252</v>
      </c>
      <c r="C245" s="21" t="s">
        <v>409</v>
      </c>
      <c r="D245" s="37" t="n">
        <v>584</v>
      </c>
      <c r="E245" s="37"/>
      <c r="F245" s="63" t="str">
        <f aca="false">IF(E245="","",D245-E245)</f>
        <v/>
      </c>
      <c r="G245" s="37" t="n">
        <v>343</v>
      </c>
      <c r="H245" s="37"/>
      <c r="I245" s="63" t="str">
        <f aca="false">IF(H245="","",G245-H245)</f>
        <v/>
      </c>
      <c r="J245" s="52" t="n">
        <f aca="false">IF(OR(D245="",D245+G245=0),"",D245/(D245+G245))</f>
        <v>0.629989212513484</v>
      </c>
      <c r="K245" s="52" t="str">
        <f aca="false">IF(E245="","",E245/(E245+H245))</f>
        <v/>
      </c>
      <c r="L245" s="64" t="str">
        <f aca="false">IF(OR(K245="",J245=""),"",(J245-K245)*100)</f>
        <v/>
      </c>
      <c r="M245" s="21" t="s">
        <v>685</v>
      </c>
    </row>
    <row r="246" customFormat="false" ht="15" hidden="false" customHeight="false" outlineLevel="0" collapsed="false">
      <c r="A246" s="21" t="s">
        <v>377</v>
      </c>
      <c r="B246" s="21" t="s">
        <v>410</v>
      </c>
      <c r="C246" s="21" t="s">
        <v>411</v>
      </c>
      <c r="D246" s="37" t="n">
        <v>440</v>
      </c>
      <c r="E246" s="37" t="n">
        <v>466</v>
      </c>
      <c r="F246" s="63" t="n">
        <f aca="false">IF(E246="","",D246-E246)</f>
        <v>-26</v>
      </c>
      <c r="G246" s="37" t="n">
        <v>410</v>
      </c>
      <c r="H246" s="37" t="n">
        <v>405</v>
      </c>
      <c r="I246" s="63" t="n">
        <f aca="false">IF(H246="","",G246-H246)</f>
        <v>5</v>
      </c>
      <c r="J246" s="52" t="n">
        <f aca="false">IF(OR(D246="",D246+G246=0),"",D246/(D246+G246))</f>
        <v>0.51764705882353</v>
      </c>
      <c r="K246" s="52" t="n">
        <f aca="false">IF(E246="","",E246/(E246+H246))</f>
        <v>0.535017221584386</v>
      </c>
      <c r="L246" s="64" t="n">
        <f aca="false">IF(OR(K246="",J246=""),"",(J246-K246)*100)</f>
        <v>-1.73701627608563</v>
      </c>
      <c r="M246" s="21"/>
    </row>
    <row r="247" customFormat="false" ht="15" hidden="false" customHeight="false" outlineLevel="0" collapsed="false">
      <c r="A247" s="21" t="s">
        <v>377</v>
      </c>
      <c r="B247" s="21" t="s">
        <v>410</v>
      </c>
      <c r="C247" s="21" t="s">
        <v>412</v>
      </c>
      <c r="D247" s="37" t="n">
        <v>566</v>
      </c>
      <c r="E247" s="37" t="n">
        <v>552</v>
      </c>
      <c r="F247" s="63" t="n">
        <f aca="false">IF(E247="","",D247-E247)</f>
        <v>14</v>
      </c>
      <c r="G247" s="37" t="n">
        <v>527</v>
      </c>
      <c r="H247" s="37" t="n">
        <v>506</v>
      </c>
      <c r="I247" s="63" t="n">
        <f aca="false">IF(H247="","",G247-H247)</f>
        <v>21</v>
      </c>
      <c r="J247" s="52" t="n">
        <f aca="false">IF(OR(D247="",D247+G247=0),"",D247/(D247+G247))</f>
        <v>0.517840805123513</v>
      </c>
      <c r="K247" s="52" t="n">
        <f aca="false">IF(E247="","",E247/(E247+H247))</f>
        <v>0.521739130434783</v>
      </c>
      <c r="L247" s="64" t="n">
        <f aca="false">IF(OR(K247="",J247=""),"",(J247-K247)*100)</f>
        <v>-0.389832531126932</v>
      </c>
      <c r="M247" s="21"/>
    </row>
    <row r="248" customFormat="false" ht="15" hidden="false" customHeight="false" outlineLevel="0" collapsed="false">
      <c r="A248" s="21" t="s">
        <v>377</v>
      </c>
      <c r="B248" s="21" t="s">
        <v>410</v>
      </c>
      <c r="C248" s="21" t="s">
        <v>413</v>
      </c>
      <c r="D248" s="37" t="n">
        <v>676</v>
      </c>
      <c r="E248" s="37" t="n">
        <v>722</v>
      </c>
      <c r="F248" s="63" t="n">
        <f aca="false">IF(E248="","",D248-E248)</f>
        <v>-46</v>
      </c>
      <c r="G248" s="37" t="n">
        <v>570</v>
      </c>
      <c r="H248" s="37" t="n">
        <v>596</v>
      </c>
      <c r="I248" s="63" t="n">
        <f aca="false">IF(H248="","",G248-H248)</f>
        <v>-26</v>
      </c>
      <c r="J248" s="52" t="n">
        <f aca="false">IF(OR(D248="",D248+G248=0),"",D248/(D248+G248))</f>
        <v>0.542536115569823</v>
      </c>
      <c r="K248" s="52" t="n">
        <f aca="false">IF(E248="","",E248/(E248+H248))</f>
        <v>0.547799696509863</v>
      </c>
      <c r="L248" s="64" t="n">
        <f aca="false">IF(OR(K248="",J248=""),"",(J248-K248)*100)</f>
        <v>-0.526358094003998</v>
      </c>
      <c r="M248" s="21"/>
    </row>
    <row r="249" customFormat="false" ht="15" hidden="false" customHeight="false" outlineLevel="0" collapsed="false">
      <c r="A249" s="21" t="s">
        <v>377</v>
      </c>
      <c r="B249" s="21" t="s">
        <v>410</v>
      </c>
      <c r="C249" s="21" t="s">
        <v>414</v>
      </c>
      <c r="D249" s="37" t="n">
        <v>299</v>
      </c>
      <c r="E249" s="37" t="n">
        <v>339</v>
      </c>
      <c r="F249" s="63" t="n">
        <f aca="false">IF(E249="","",D249-E249)</f>
        <v>-40</v>
      </c>
      <c r="G249" s="37" t="n">
        <v>323</v>
      </c>
      <c r="H249" s="37" t="n">
        <v>338</v>
      </c>
      <c r="I249" s="63" t="n">
        <f aca="false">IF(H249="","",G249-H249)</f>
        <v>-15</v>
      </c>
      <c r="J249" s="52" t="n">
        <f aca="false">IF(OR(D249="",D249+G249=0),"",D249/(D249+G249))</f>
        <v>0.480707395498392</v>
      </c>
      <c r="K249" s="52" t="n">
        <f aca="false">IF(E249="","",E249/(E249+H249))</f>
        <v>0.500738552437223</v>
      </c>
      <c r="L249" s="64" t="n">
        <f aca="false">IF(OR(K249="",J249=""),"",(J249-K249)*100)</f>
        <v>-2.00311569388308</v>
      </c>
      <c r="M249" s="21"/>
    </row>
    <row r="250" customFormat="false" ht="15" hidden="false" customHeight="false" outlineLevel="0" collapsed="false">
      <c r="A250" s="21" t="s">
        <v>377</v>
      </c>
      <c r="B250" s="21" t="s">
        <v>410</v>
      </c>
      <c r="C250" s="21" t="s">
        <v>415</v>
      </c>
      <c r="D250" s="37" t="n">
        <v>582</v>
      </c>
      <c r="E250" s="37" t="n">
        <v>579</v>
      </c>
      <c r="F250" s="63" t="n">
        <f aca="false">IF(E250="","",D250-E250)</f>
        <v>3</v>
      </c>
      <c r="G250" s="37" t="n">
        <v>492</v>
      </c>
      <c r="H250" s="37" t="n">
        <v>482</v>
      </c>
      <c r="I250" s="63" t="n">
        <f aca="false">IF(H250="","",G250-H250)</f>
        <v>10</v>
      </c>
      <c r="J250" s="52" t="n">
        <f aca="false">IF(OR(D250="",D250+G250=0),"",D250/(D250+G250))</f>
        <v>0.541899441340782</v>
      </c>
      <c r="K250" s="52" t="n">
        <f aca="false">IF(E250="","",E250/(E250+H250))</f>
        <v>0.545711592836946</v>
      </c>
      <c r="L250" s="64" t="n">
        <f aca="false">IF(OR(K250="",J250=""),"",(J250-K250)*100)</f>
        <v>-0.38121514961641</v>
      </c>
      <c r="M250" s="21"/>
    </row>
    <row r="251" customFormat="false" ht="15" hidden="false" customHeight="false" outlineLevel="0" collapsed="false">
      <c r="A251" s="21" t="s">
        <v>377</v>
      </c>
      <c r="B251" s="21" t="s">
        <v>410</v>
      </c>
      <c r="C251" s="21" t="s">
        <v>416</v>
      </c>
      <c r="D251" s="37" t="n">
        <v>546</v>
      </c>
      <c r="E251" s="37" t="n">
        <v>562</v>
      </c>
      <c r="F251" s="63" t="n">
        <f aca="false">IF(E251="","",D251-E251)</f>
        <v>-16</v>
      </c>
      <c r="G251" s="37" t="n">
        <v>513</v>
      </c>
      <c r="H251" s="37" t="n">
        <v>525</v>
      </c>
      <c r="I251" s="63" t="n">
        <f aca="false">IF(H251="","",G251-H251)</f>
        <v>-12</v>
      </c>
      <c r="J251" s="52" t="n">
        <f aca="false">IF(OR(D251="",D251+G251=0),"",D251/(D251+G251))</f>
        <v>0.515580736543909</v>
      </c>
      <c r="K251" s="52" t="n">
        <f aca="false">IF(E251="","",E251/(E251+H251))</f>
        <v>0.517019319227231</v>
      </c>
      <c r="L251" s="64" t="n">
        <f aca="false">IF(OR(K251="",J251=""),"",(J251-K251)*100)</f>
        <v>-0.143858268332153</v>
      </c>
      <c r="M251" s="21"/>
    </row>
    <row r="252" customFormat="false" ht="15" hidden="false" customHeight="false" outlineLevel="0" collapsed="false">
      <c r="A252" s="21" t="s">
        <v>377</v>
      </c>
      <c r="B252" s="21" t="s">
        <v>410</v>
      </c>
      <c r="C252" s="21" t="s">
        <v>417</v>
      </c>
      <c r="D252" s="37" t="n">
        <v>344</v>
      </c>
      <c r="E252" s="37" t="n">
        <v>337</v>
      </c>
      <c r="F252" s="63" t="n">
        <f aca="false">IF(E252="","",D252-E252)</f>
        <v>7</v>
      </c>
      <c r="G252" s="37" t="n">
        <v>291</v>
      </c>
      <c r="H252" s="37" t="n">
        <v>296</v>
      </c>
      <c r="I252" s="63" t="n">
        <f aca="false">IF(H252="","",G252-H252)</f>
        <v>-5</v>
      </c>
      <c r="J252" s="52" t="n">
        <f aca="false">IF(OR(D252="",D252+G252=0),"",D252/(D252+G252))</f>
        <v>0.541732283464567</v>
      </c>
      <c r="K252" s="52" t="n">
        <f aca="false">IF(E252="","",E252/(E252+H252))</f>
        <v>0.532385466034755</v>
      </c>
      <c r="L252" s="64" t="n">
        <f aca="false">IF(OR(K252="",J252=""),"",(J252-K252)*100)</f>
        <v>0.934681742981181</v>
      </c>
      <c r="M252" s="21"/>
    </row>
    <row r="253" customFormat="false" ht="15" hidden="false" customHeight="false" outlineLevel="0" collapsed="false">
      <c r="A253" s="21" t="s">
        <v>377</v>
      </c>
      <c r="B253" s="21" t="s">
        <v>410</v>
      </c>
      <c r="C253" s="21" t="s">
        <v>418</v>
      </c>
      <c r="D253" s="37" t="n">
        <v>511</v>
      </c>
      <c r="E253" s="37" t="n">
        <v>517</v>
      </c>
      <c r="F253" s="63" t="n">
        <f aca="false">IF(E253="","",D253-E253)</f>
        <v>-6</v>
      </c>
      <c r="G253" s="37" t="n">
        <v>385</v>
      </c>
      <c r="H253" s="37" t="n">
        <v>388</v>
      </c>
      <c r="I253" s="63" t="n">
        <f aca="false">IF(H253="","",G253-H253)</f>
        <v>-3</v>
      </c>
      <c r="J253" s="52" t="n">
        <f aca="false">IF(OR(D253="",D253+G253=0),"",D253/(D253+G253))</f>
        <v>0.5703125</v>
      </c>
      <c r="K253" s="52" t="n">
        <f aca="false">IF(E253="","",E253/(E253+H253))</f>
        <v>0.571270718232044</v>
      </c>
      <c r="L253" s="64" t="n">
        <f aca="false">IF(OR(K253="",J253=""),"",(J253-K253)*100)</f>
        <v>-0.0958218232044228</v>
      </c>
      <c r="M253" s="21"/>
    </row>
    <row r="254" customFormat="false" ht="15" hidden="false" customHeight="false" outlineLevel="0" collapsed="false">
      <c r="A254" s="21" t="s">
        <v>377</v>
      </c>
      <c r="B254" s="21" t="s">
        <v>410</v>
      </c>
      <c r="C254" s="21" t="s">
        <v>419</v>
      </c>
      <c r="D254" s="37" t="n">
        <v>315</v>
      </c>
      <c r="E254" s="37" t="n">
        <v>329</v>
      </c>
      <c r="F254" s="63" t="n">
        <f aca="false">IF(E254="","",D254-E254)</f>
        <v>-14</v>
      </c>
      <c r="G254" s="37" t="n">
        <v>233</v>
      </c>
      <c r="H254" s="37" t="n">
        <v>217</v>
      </c>
      <c r="I254" s="63" t="n">
        <f aca="false">IF(H254="","",G254-H254)</f>
        <v>16</v>
      </c>
      <c r="J254" s="52" t="n">
        <f aca="false">IF(OR(D254="",D254+G254=0),"",D254/(D254+G254))</f>
        <v>0.574817518248175</v>
      </c>
      <c r="K254" s="52" t="n">
        <f aca="false">IF(E254="","",E254/(E254+H254))</f>
        <v>0.602564102564103</v>
      </c>
      <c r="L254" s="64" t="n">
        <f aca="false">IF(OR(K254="",J254=""),"",(J254-K254)*100)</f>
        <v>-2.77465843159274</v>
      </c>
      <c r="M254" s="21"/>
    </row>
    <row r="255" customFormat="false" ht="15" hidden="false" customHeight="false" outlineLevel="0" collapsed="false">
      <c r="A255" s="21" t="s">
        <v>377</v>
      </c>
      <c r="B255" s="21" t="s">
        <v>410</v>
      </c>
      <c r="C255" s="21" t="s">
        <v>420</v>
      </c>
      <c r="D255" s="37" t="n">
        <v>339</v>
      </c>
      <c r="E255" s="37" t="n">
        <v>352</v>
      </c>
      <c r="F255" s="63" t="n">
        <f aca="false">IF(E255="","",D255-E255)</f>
        <v>-13</v>
      </c>
      <c r="G255" s="37" t="n">
        <v>349</v>
      </c>
      <c r="H255" s="37" t="n">
        <v>326</v>
      </c>
      <c r="I255" s="63" t="n">
        <f aca="false">IF(H255="","",G255-H255)</f>
        <v>23</v>
      </c>
      <c r="J255" s="52" t="n">
        <f aca="false">IF(OR(D255="",D255+G255=0),"",D255/(D255+G255))</f>
        <v>0.492732558139535</v>
      </c>
      <c r="K255" s="52" t="n">
        <f aca="false">IF(E255="","",E255/(E255+H255))</f>
        <v>0.519174041297935</v>
      </c>
      <c r="L255" s="64" t="n">
        <f aca="false">IF(OR(K255="",J255=""),"",(J255-K255)*100)</f>
        <v>-2.64414831584002</v>
      </c>
      <c r="M255" s="21"/>
    </row>
    <row r="256" customFormat="false" ht="15" hidden="false" customHeight="false" outlineLevel="0" collapsed="false">
      <c r="A256" s="21" t="s">
        <v>377</v>
      </c>
      <c r="B256" s="21" t="s">
        <v>410</v>
      </c>
      <c r="C256" s="21" t="s">
        <v>421</v>
      </c>
      <c r="D256" s="37" t="n">
        <v>420</v>
      </c>
      <c r="E256" s="37" t="n">
        <v>420</v>
      </c>
      <c r="F256" s="63" t="n">
        <f aca="false">IF(E256="","",D256-E256)</f>
        <v>0</v>
      </c>
      <c r="G256" s="37" t="n">
        <v>376</v>
      </c>
      <c r="H256" s="37" t="n">
        <v>378</v>
      </c>
      <c r="I256" s="63" t="n">
        <f aca="false">IF(H256="","",G256-H256)</f>
        <v>-2</v>
      </c>
      <c r="J256" s="52" t="n">
        <f aca="false">IF(OR(D256="",D256+G256=0),"",D256/(D256+G256))</f>
        <v>0.527638190954774</v>
      </c>
      <c r="K256" s="52" t="n">
        <f aca="false">IF(E256="","",E256/(E256+H256))</f>
        <v>0.526315789473684</v>
      </c>
      <c r="L256" s="64" t="n">
        <f aca="false">IF(OR(K256="",J256=""),"",(J256-K256)*100)</f>
        <v>0.132240148108964</v>
      </c>
      <c r="M256" s="21"/>
    </row>
    <row r="257" customFormat="false" ht="15" hidden="false" customHeight="false" outlineLevel="0" collapsed="false">
      <c r="A257" s="21" t="s">
        <v>377</v>
      </c>
      <c r="B257" s="21" t="s">
        <v>410</v>
      </c>
      <c r="C257" s="21" t="s">
        <v>422</v>
      </c>
      <c r="D257" s="37" t="n">
        <v>499</v>
      </c>
      <c r="E257" s="37" t="n">
        <v>522</v>
      </c>
      <c r="F257" s="63" t="n">
        <f aca="false">IF(E257="","",D257-E257)</f>
        <v>-23</v>
      </c>
      <c r="G257" s="37" t="n">
        <v>393</v>
      </c>
      <c r="H257" s="37" t="n">
        <v>400</v>
      </c>
      <c r="I257" s="63" t="n">
        <f aca="false">IF(H257="","",G257-H257)</f>
        <v>-7</v>
      </c>
      <c r="J257" s="52" t="n">
        <f aca="false">IF(OR(D257="",D257+G257=0),"",D257/(D257+G257))</f>
        <v>0.559417040358744</v>
      </c>
      <c r="K257" s="52" t="n">
        <f aca="false">IF(E257="","",E257/(E257+H257))</f>
        <v>0.566160520607375</v>
      </c>
      <c r="L257" s="64" t="n">
        <f aca="false">IF(OR(K257="",J257=""),"",(J257-K257)*100)</f>
        <v>-0.674348024863092</v>
      </c>
      <c r="M257" s="21"/>
    </row>
    <row r="258" customFormat="false" ht="15" hidden="false" customHeight="false" outlineLevel="0" collapsed="false">
      <c r="A258" s="21" t="s">
        <v>377</v>
      </c>
      <c r="B258" s="21" t="s">
        <v>410</v>
      </c>
      <c r="C258" s="21" t="s">
        <v>423</v>
      </c>
      <c r="D258" s="37" t="n">
        <v>426</v>
      </c>
      <c r="E258" s="37" t="n">
        <v>436</v>
      </c>
      <c r="F258" s="63" t="n">
        <f aca="false">IF(E258="","",D258-E258)</f>
        <v>-10</v>
      </c>
      <c r="G258" s="37" t="n">
        <v>441</v>
      </c>
      <c r="H258" s="37" t="n">
        <v>423</v>
      </c>
      <c r="I258" s="63" t="n">
        <f aca="false">IF(H258="","",G258-H258)</f>
        <v>18</v>
      </c>
      <c r="J258" s="52" t="n">
        <f aca="false">IF(OR(D258="",D258+G258=0),"",D258/(D258+G258))</f>
        <v>0.491349480968858</v>
      </c>
      <c r="K258" s="52" t="n">
        <f aca="false">IF(E258="","",E258/(E258+H258))</f>
        <v>0.507566938300349</v>
      </c>
      <c r="L258" s="64" t="n">
        <f aca="false">IF(OR(K258="",J258=""),"",(J258-K258)*100)</f>
        <v>-1.62174573314912</v>
      </c>
      <c r="M258" s="21"/>
    </row>
    <row r="259" customFormat="false" ht="15" hidden="false" customHeight="false" outlineLevel="0" collapsed="false">
      <c r="A259" s="21" t="s">
        <v>377</v>
      </c>
      <c r="B259" s="21" t="s">
        <v>410</v>
      </c>
      <c r="C259" s="21" t="s">
        <v>424</v>
      </c>
      <c r="D259" s="37" t="n">
        <v>958</v>
      </c>
      <c r="E259" s="37" t="n">
        <v>925</v>
      </c>
      <c r="F259" s="63" t="n">
        <f aca="false">IF(E259="","",D259-E259)</f>
        <v>33</v>
      </c>
      <c r="G259" s="37" t="n">
        <v>773</v>
      </c>
      <c r="H259" s="37" t="n">
        <v>710</v>
      </c>
      <c r="I259" s="63" t="n">
        <f aca="false">IF(H259="","",G259-H259)</f>
        <v>63</v>
      </c>
      <c r="J259" s="52" t="n">
        <f aca="false">IF(OR(D259="",D259+G259=0),"",D259/(D259+G259))</f>
        <v>0.553437319468515</v>
      </c>
      <c r="K259" s="52" t="n">
        <f aca="false">IF(E259="","",E259/(E259+H259))</f>
        <v>0.565749235474006</v>
      </c>
      <c r="L259" s="64" t="n">
        <f aca="false">IF(OR(K259="",J259=""),"",(J259-K259)*100)</f>
        <v>-1.23119160054909</v>
      </c>
      <c r="M259" s="21"/>
    </row>
    <row r="260" customFormat="false" ht="15" hidden="false" customHeight="false" outlineLevel="0" collapsed="false">
      <c r="A260" s="21" t="s">
        <v>377</v>
      </c>
      <c r="B260" s="21" t="s">
        <v>410</v>
      </c>
      <c r="C260" s="21" t="s">
        <v>425</v>
      </c>
      <c r="D260" s="37" t="n">
        <v>500</v>
      </c>
      <c r="E260" s="37" t="n">
        <v>535</v>
      </c>
      <c r="F260" s="63" t="n">
        <f aca="false">IF(E260="","",D260-E260)</f>
        <v>-35</v>
      </c>
      <c r="G260" s="37" t="n">
        <v>519</v>
      </c>
      <c r="H260" s="37" t="n">
        <v>514</v>
      </c>
      <c r="I260" s="63" t="n">
        <f aca="false">IF(H260="","",G260-H260)</f>
        <v>5</v>
      </c>
      <c r="J260" s="52" t="n">
        <f aca="false">IF(OR(D260="",D260+G260=0),"",D260/(D260+G260))</f>
        <v>0.490677134445535</v>
      </c>
      <c r="K260" s="52" t="n">
        <f aca="false">IF(E260="","",E260/(E260+H260))</f>
        <v>0.510009532888465</v>
      </c>
      <c r="L260" s="64" t="n">
        <f aca="false">IF(OR(K260="",J260=""),"",(J260-K260)*100)</f>
        <v>-1.93323984429303</v>
      </c>
      <c r="M260" s="21"/>
    </row>
    <row r="261" customFormat="false" ht="15" hidden="false" customHeight="false" outlineLevel="0" collapsed="false">
      <c r="A261" s="21" t="s">
        <v>377</v>
      </c>
      <c r="B261" s="21" t="s">
        <v>410</v>
      </c>
      <c r="C261" s="21" t="s">
        <v>426</v>
      </c>
      <c r="D261" s="37" t="n">
        <v>470</v>
      </c>
      <c r="E261" s="37" t="n">
        <v>499</v>
      </c>
      <c r="F261" s="63" t="n">
        <f aca="false">IF(E261="","",D261-E261)</f>
        <v>-29</v>
      </c>
      <c r="G261" s="37" t="n">
        <v>469</v>
      </c>
      <c r="H261" s="37" t="n">
        <v>468</v>
      </c>
      <c r="I261" s="63" t="n">
        <f aca="false">IF(H261="","",G261-H261)</f>
        <v>1</v>
      </c>
      <c r="J261" s="52" t="n">
        <f aca="false">IF(OR(D261="",D261+G261=0),"",D261/(D261+G261))</f>
        <v>0.500532481363152</v>
      </c>
      <c r="K261" s="52" t="n">
        <f aca="false">IF(E261="","",E261/(E261+H261))</f>
        <v>0.516028955532575</v>
      </c>
      <c r="L261" s="64" t="n">
        <f aca="false">IF(OR(K261="",J261=""),"",(J261-K261)*100)</f>
        <v>-1.54964741694227</v>
      </c>
      <c r="M261" s="21"/>
    </row>
    <row r="262" customFormat="false" ht="15" hidden="false" customHeight="false" outlineLevel="0" collapsed="false">
      <c r="A262" s="21" t="s">
        <v>377</v>
      </c>
      <c r="B262" s="21" t="s">
        <v>410</v>
      </c>
      <c r="C262" s="21" t="s">
        <v>427</v>
      </c>
      <c r="D262" s="37" t="n">
        <v>497</v>
      </c>
      <c r="E262" s="37" t="n">
        <v>503</v>
      </c>
      <c r="F262" s="63" t="n">
        <f aca="false">IF(E262="","",D262-E262)</f>
        <v>-6</v>
      </c>
      <c r="G262" s="37" t="n">
        <v>468</v>
      </c>
      <c r="H262" s="37" t="n">
        <v>468</v>
      </c>
      <c r="I262" s="63" t="n">
        <f aca="false">IF(H262="","",G262-H262)</f>
        <v>0</v>
      </c>
      <c r="J262" s="52" t="n">
        <f aca="false">IF(OR(D262="",D262+G262=0),"",D262/(D262+G262))</f>
        <v>0.515025906735751</v>
      </c>
      <c r="K262" s="52" t="n">
        <f aca="false">IF(E262="","",E262/(E262+H262))</f>
        <v>0.518022657054583</v>
      </c>
      <c r="L262" s="64" t="n">
        <f aca="false">IF(OR(K262="",J262=""),"",(J262-K262)*100)</f>
        <v>-0.299675031883162</v>
      </c>
      <c r="M262" s="21"/>
    </row>
    <row r="263" customFormat="false" ht="15" hidden="false" customHeight="false" outlineLevel="0" collapsed="false">
      <c r="A263" s="21" t="s">
        <v>377</v>
      </c>
      <c r="B263" s="21" t="s">
        <v>428</v>
      </c>
      <c r="C263" s="21" t="s">
        <v>429</v>
      </c>
      <c r="D263" s="37" t="n">
        <v>865</v>
      </c>
      <c r="E263" s="37" t="n">
        <v>939</v>
      </c>
      <c r="F263" s="63" t="n">
        <f aca="false">IF(E263="","",D263-E263)</f>
        <v>-74</v>
      </c>
      <c r="G263" s="37" t="n">
        <v>1525</v>
      </c>
      <c r="H263" s="37" t="n">
        <v>1452</v>
      </c>
      <c r="I263" s="63" t="n">
        <f aca="false">IF(H263="","",G263-H263)</f>
        <v>73</v>
      </c>
      <c r="J263" s="52" t="n">
        <f aca="false">IF(OR(D263="",D263+G263=0),"",D263/(D263+G263))</f>
        <v>0.361924686192469</v>
      </c>
      <c r="K263" s="52" t="n">
        <f aca="false">IF(E263="","",E263/(E263+H263))</f>
        <v>0.392722710163112</v>
      </c>
      <c r="L263" s="64" t="n">
        <f aca="false">IF(OR(K263="",J263=""),"",(J263-K263)*100)</f>
        <v>-3.07980239706431</v>
      </c>
      <c r="M263" s="21"/>
    </row>
    <row r="264" customFormat="false" ht="15" hidden="false" customHeight="false" outlineLevel="0" collapsed="false">
      <c r="A264" s="21" t="s">
        <v>377</v>
      </c>
      <c r="B264" s="21" t="s">
        <v>428</v>
      </c>
      <c r="C264" s="21" t="s">
        <v>430</v>
      </c>
      <c r="D264" s="37" t="n">
        <v>827</v>
      </c>
      <c r="E264" s="37" t="n">
        <v>820</v>
      </c>
      <c r="F264" s="63" t="n">
        <f aca="false">IF(E264="","",D264-E264)</f>
        <v>7</v>
      </c>
      <c r="G264" s="37" t="n">
        <v>1210</v>
      </c>
      <c r="H264" s="37" t="n">
        <v>1185</v>
      </c>
      <c r="I264" s="63" t="n">
        <f aca="false">IF(H264="","",G264-H264)</f>
        <v>25</v>
      </c>
      <c r="J264" s="52" t="n">
        <f aca="false">IF(OR(D264="",D264+G264=0),"",D264/(D264+G264))</f>
        <v>0.405989199803633</v>
      </c>
      <c r="K264" s="52" t="n">
        <f aca="false">IF(E264="","",E264/(E264+H264))</f>
        <v>0.408977556109726</v>
      </c>
      <c r="L264" s="64" t="n">
        <f aca="false">IF(OR(K264="",J264=""),"",(J264-K264)*100)</f>
        <v>-0.29883563060929</v>
      </c>
      <c r="M264" s="21"/>
    </row>
    <row r="265" customFormat="false" ht="15" hidden="false" customHeight="false" outlineLevel="0" collapsed="false">
      <c r="A265" s="21" t="s">
        <v>377</v>
      </c>
      <c r="B265" s="21" t="s">
        <v>428</v>
      </c>
      <c r="C265" s="21" t="s">
        <v>431</v>
      </c>
      <c r="D265" s="37" t="n">
        <v>393</v>
      </c>
      <c r="E265" s="37" t="n">
        <v>410</v>
      </c>
      <c r="F265" s="63" t="n">
        <f aca="false">IF(E265="","",D265-E265)</f>
        <v>-17</v>
      </c>
      <c r="G265" s="37" t="n">
        <v>794</v>
      </c>
      <c r="H265" s="37" t="n">
        <v>822</v>
      </c>
      <c r="I265" s="63" t="n">
        <f aca="false">IF(H265="","",G265-H265)</f>
        <v>-28</v>
      </c>
      <c r="J265" s="52" t="n">
        <f aca="false">IF(OR(D265="",D265+G265=0),"",D265/(D265+G265))</f>
        <v>0.331086773378265</v>
      </c>
      <c r="K265" s="52" t="n">
        <f aca="false">IF(E265="","",E265/(E265+H265))</f>
        <v>0.332792207792208</v>
      </c>
      <c r="L265" s="64" t="n">
        <f aca="false">IF(OR(K265="",J265=""),"",(J265-K265)*100)</f>
        <v>-0.170543441394327</v>
      </c>
      <c r="M265" s="21"/>
    </row>
    <row r="266" customFormat="false" ht="15" hidden="false" customHeight="false" outlineLevel="0" collapsed="false">
      <c r="A266" s="21" t="s">
        <v>377</v>
      </c>
      <c r="B266" s="21" t="s">
        <v>432</v>
      </c>
      <c r="C266" s="21" t="s">
        <v>432</v>
      </c>
      <c r="D266" s="37" t="n">
        <v>39</v>
      </c>
      <c r="E266" s="37" t="n">
        <v>40</v>
      </c>
      <c r="F266" s="63" t="n">
        <f aca="false">IF(E266="","",D266-E266)</f>
        <v>-1</v>
      </c>
      <c r="G266" s="37" t="n">
        <v>82</v>
      </c>
      <c r="H266" s="37" t="n">
        <v>83</v>
      </c>
      <c r="I266" s="63" t="n">
        <f aca="false">IF(H266="","",G266-H266)</f>
        <v>-1</v>
      </c>
      <c r="J266" s="52" t="n">
        <f aca="false">IF(OR(D266="",D266+G266=0),"",D266/(D266+G266))</f>
        <v>0.322314049586777</v>
      </c>
      <c r="K266" s="52" t="n">
        <f aca="false">IF(E266="","",E266/(E266+H266))</f>
        <v>0.32520325203252</v>
      </c>
      <c r="L266" s="64" t="n">
        <f aca="false">IF(OR(K266="",J266=""),"",(J266-K266)*100)</f>
        <v>-0.288920244574348</v>
      </c>
      <c r="M266" s="21"/>
    </row>
    <row r="267" customFormat="false" ht="15" hidden="false" customHeight="false" outlineLevel="0" collapsed="false">
      <c r="A267" s="21" t="s">
        <v>377</v>
      </c>
      <c r="B267" s="21" t="s">
        <v>433</v>
      </c>
      <c r="C267" s="21" t="s">
        <v>434</v>
      </c>
      <c r="D267" s="37" t="n">
        <v>719</v>
      </c>
      <c r="E267" s="37" t="n">
        <v>774</v>
      </c>
      <c r="F267" s="63" t="n">
        <f aca="false">IF(E267="","",D267-E267)</f>
        <v>-55</v>
      </c>
      <c r="G267" s="37" t="n">
        <v>1016</v>
      </c>
      <c r="H267" s="37" t="n">
        <v>1032</v>
      </c>
      <c r="I267" s="63" t="n">
        <f aca="false">IF(H267="","",G267-H267)</f>
        <v>-16</v>
      </c>
      <c r="J267" s="52" t="n">
        <f aca="false">IF(OR(D267="",D267+G267=0),"",D267/(D267+G267))</f>
        <v>0.414409221902017</v>
      </c>
      <c r="K267" s="52" t="n">
        <f aca="false">IF(E267="","",E267/(E267+H267))</f>
        <v>0.428571428571429</v>
      </c>
      <c r="L267" s="64" t="n">
        <f aca="false">IF(OR(K267="",J267=""),"",(J267-K267)*100)</f>
        <v>-1.41622066694113</v>
      </c>
      <c r="M267" s="21"/>
    </row>
    <row r="268" customFormat="false" ht="15" hidden="false" customHeight="false" outlineLevel="0" collapsed="false">
      <c r="A268" s="21" t="s">
        <v>377</v>
      </c>
      <c r="B268" s="21" t="s">
        <v>433</v>
      </c>
      <c r="C268" s="21" t="s">
        <v>435</v>
      </c>
      <c r="D268" s="37" t="n">
        <v>719</v>
      </c>
      <c r="E268" s="37" t="n">
        <v>710</v>
      </c>
      <c r="F268" s="63" t="n">
        <f aca="false">IF(E268="","",D268-E268)</f>
        <v>9</v>
      </c>
      <c r="G268" s="37" t="n">
        <v>905</v>
      </c>
      <c r="H268" s="37" t="n">
        <v>927</v>
      </c>
      <c r="I268" s="63" t="n">
        <f aca="false">IF(H268="","",G268-H268)</f>
        <v>-22</v>
      </c>
      <c r="J268" s="52" t="n">
        <f aca="false">IF(OR(D268="",D268+G268=0),"",D268/(D268+G268))</f>
        <v>0.442733990147783</v>
      </c>
      <c r="K268" s="52" t="n">
        <f aca="false">IF(E268="","",E268/(E268+H268))</f>
        <v>0.433720219914478</v>
      </c>
      <c r="L268" s="64" t="n">
        <f aca="false">IF(OR(K268="",J268=""),"",(J268-K268)*100)</f>
        <v>0.901377023330557</v>
      </c>
      <c r="M268" s="21"/>
    </row>
    <row r="269" customFormat="false" ht="15" hidden="false" customHeight="false" outlineLevel="0" collapsed="false">
      <c r="A269" s="21" t="s">
        <v>377</v>
      </c>
      <c r="B269" s="21" t="s">
        <v>436</v>
      </c>
      <c r="C269" s="21" t="s">
        <v>436</v>
      </c>
      <c r="D269" s="37" t="n">
        <v>190</v>
      </c>
      <c r="E269" s="37" t="n">
        <v>217</v>
      </c>
      <c r="F269" s="63" t="n">
        <f aca="false">IF(E269="","",D269-E269)</f>
        <v>-27</v>
      </c>
      <c r="G269" s="37" t="n">
        <v>321</v>
      </c>
      <c r="H269" s="37" t="n">
        <v>309</v>
      </c>
      <c r="I269" s="63" t="n">
        <f aca="false">IF(H269="","",G269-H269)</f>
        <v>12</v>
      </c>
      <c r="J269" s="52" t="n">
        <f aca="false">IF(OR(D269="",D269+G269=0),"",D269/(D269+G269))</f>
        <v>0.371819960861057</v>
      </c>
      <c r="K269" s="52" t="n">
        <f aca="false">IF(E269="","",E269/(E269+H269))</f>
        <v>0.41254752851711</v>
      </c>
      <c r="L269" s="64" t="n">
        <f aca="false">IF(OR(K269="",J269=""),"",(J269-K269)*100)</f>
        <v>-4.07275676560535</v>
      </c>
      <c r="M269" s="21"/>
    </row>
    <row r="270" customFormat="false" ht="15" hidden="false" customHeight="false" outlineLevel="0" collapsed="false">
      <c r="A270" s="21" t="s">
        <v>377</v>
      </c>
      <c r="B270" s="21" t="s">
        <v>437</v>
      </c>
      <c r="C270" s="21" t="s">
        <v>438</v>
      </c>
      <c r="D270" s="37" t="n">
        <v>705</v>
      </c>
      <c r="E270" s="37"/>
      <c r="F270" s="63" t="str">
        <f aca="false">IF(E270="","",D270-E270)</f>
        <v/>
      </c>
      <c r="G270" s="37" t="n">
        <v>410</v>
      </c>
      <c r="H270" s="37"/>
      <c r="I270" s="63" t="str">
        <f aca="false">IF(H270="","",G270-H270)</f>
        <v/>
      </c>
      <c r="J270" s="52" t="n">
        <f aca="false">IF(OR(D270="",D270+G270=0),"",D270/(D270+G270))</f>
        <v>0.632286995515695</v>
      </c>
      <c r="K270" s="52" t="str">
        <f aca="false">IF(E270="","",E270/(E270+H270))</f>
        <v/>
      </c>
      <c r="L270" s="64" t="str">
        <f aca="false">IF(OR(K270="",J270=""),"",(J270-K270)*100)</f>
        <v/>
      </c>
      <c r="M270" s="21" t="s">
        <v>685</v>
      </c>
    </row>
    <row r="271" customFormat="false" ht="15" hidden="false" customHeight="false" outlineLevel="0" collapsed="false">
      <c r="A271" s="21" t="s">
        <v>377</v>
      </c>
      <c r="B271" s="21" t="s">
        <v>437</v>
      </c>
      <c r="C271" s="21" t="s">
        <v>439</v>
      </c>
      <c r="D271" s="37" t="n">
        <v>485</v>
      </c>
      <c r="E271" s="37"/>
      <c r="F271" s="63" t="str">
        <f aca="false">IF(E271="","",D271-E271)</f>
        <v/>
      </c>
      <c r="G271" s="37" t="n">
        <v>215</v>
      </c>
      <c r="H271" s="37"/>
      <c r="I271" s="63" t="str">
        <f aca="false">IF(H271="","",G271-H271)</f>
        <v/>
      </c>
      <c r="J271" s="52" t="n">
        <f aca="false">IF(OR(D271="",D271+G271=0),"",D271/(D271+G271))</f>
        <v>0.692857142857143</v>
      </c>
      <c r="K271" s="52" t="str">
        <f aca="false">IF(E271="","",E271/(E271+H271))</f>
        <v/>
      </c>
      <c r="L271" s="64" t="str">
        <f aca="false">IF(OR(K271="",J271=""),"",(J271-K271)*100)</f>
        <v/>
      </c>
      <c r="M271" s="21" t="s">
        <v>685</v>
      </c>
    </row>
    <row r="272" customFormat="false" ht="15" hidden="false" customHeight="false" outlineLevel="0" collapsed="false">
      <c r="A272" s="21" t="s">
        <v>377</v>
      </c>
      <c r="B272" s="21" t="s">
        <v>437</v>
      </c>
      <c r="C272" s="21" t="s">
        <v>440</v>
      </c>
      <c r="D272" s="37" t="n">
        <v>462</v>
      </c>
      <c r="E272" s="37" t="n">
        <v>492</v>
      </c>
      <c r="F272" s="63" t="n">
        <f aca="false">IF(E272="","",D272-E272)</f>
        <v>-30</v>
      </c>
      <c r="G272" s="37" t="n">
        <v>174</v>
      </c>
      <c r="H272" s="37" t="n">
        <v>197</v>
      </c>
      <c r="I272" s="63" t="n">
        <f aca="false">IF(H272="","",G272-H272)</f>
        <v>-23</v>
      </c>
      <c r="J272" s="52" t="n">
        <f aca="false">IF(OR(D272="",D272+G272=0),"",D272/(D272+G272))</f>
        <v>0.726415094339623</v>
      </c>
      <c r="K272" s="52" t="n">
        <f aca="false">IF(E272="","",E272/(E272+H272))</f>
        <v>0.714078374455733</v>
      </c>
      <c r="L272" s="64" t="n">
        <f aca="false">IF(OR(K272="",J272=""),"",(J272-K272)*100)</f>
        <v>1.23367198838896</v>
      </c>
      <c r="M272" s="21"/>
    </row>
    <row r="273" customFormat="false" ht="15" hidden="false" customHeight="false" outlineLevel="0" collapsed="false">
      <c r="A273" s="21" t="s">
        <v>377</v>
      </c>
      <c r="B273" s="21" t="s">
        <v>437</v>
      </c>
      <c r="C273" s="21" t="s">
        <v>441</v>
      </c>
      <c r="D273" s="37" t="n">
        <v>698</v>
      </c>
      <c r="E273" s="37" t="n">
        <v>743</v>
      </c>
      <c r="F273" s="63" t="n">
        <f aca="false">IF(E273="","",D273-E273)</f>
        <v>-45</v>
      </c>
      <c r="G273" s="37" t="n">
        <v>277</v>
      </c>
      <c r="H273" s="37" t="n">
        <v>265</v>
      </c>
      <c r="I273" s="63" t="n">
        <f aca="false">IF(H273="","",G273-H273)</f>
        <v>12</v>
      </c>
      <c r="J273" s="52" t="n">
        <f aca="false">IF(OR(D273="",D273+G273=0),"",D273/(D273+G273))</f>
        <v>0.715897435897436</v>
      </c>
      <c r="K273" s="52" t="n">
        <f aca="false">IF(E273="","",E273/(E273+H273))</f>
        <v>0.737103174603175</v>
      </c>
      <c r="L273" s="64" t="n">
        <f aca="false">IF(OR(K273="",J273=""),"",(J273-K273)*100)</f>
        <v>-2.12057387057387</v>
      </c>
      <c r="M273" s="21"/>
    </row>
    <row r="274" customFormat="false" ht="15" hidden="false" customHeight="false" outlineLevel="0" collapsed="false">
      <c r="A274" s="21" t="s">
        <v>377</v>
      </c>
      <c r="B274" s="21" t="s">
        <v>437</v>
      </c>
      <c r="C274" s="21" t="s">
        <v>442</v>
      </c>
      <c r="D274" s="37" t="n">
        <v>643</v>
      </c>
      <c r="E274" s="37" t="n">
        <v>1109</v>
      </c>
      <c r="F274" s="63" t="n">
        <f aca="false">IF(E274="","",D274-E274)</f>
        <v>-466</v>
      </c>
      <c r="G274" s="37" t="n">
        <v>180</v>
      </c>
      <c r="H274" s="37" t="n">
        <v>290</v>
      </c>
      <c r="I274" s="63" t="n">
        <f aca="false">IF(H274="","",G274-H274)</f>
        <v>-110</v>
      </c>
      <c r="J274" s="52" t="n">
        <f aca="false">IF(OR(D274="",D274+G274=0),"",D274/(D274+G274))</f>
        <v>0.781287970838396</v>
      </c>
      <c r="K274" s="52" t="n">
        <f aca="false">IF(E274="","",E274/(E274+H274))</f>
        <v>0.792709077912795</v>
      </c>
      <c r="L274" s="64" t="n">
        <f aca="false">IF(OR(K274="",J274=""),"",(J274-K274)*100)</f>
        <v>-1.14211070743988</v>
      </c>
      <c r="M274" s="21"/>
    </row>
    <row r="275" customFormat="false" ht="15" hidden="false" customHeight="false" outlineLevel="0" collapsed="false">
      <c r="A275" s="21" t="s">
        <v>377</v>
      </c>
      <c r="B275" s="21" t="s">
        <v>437</v>
      </c>
      <c r="C275" s="21" t="s">
        <v>443</v>
      </c>
      <c r="D275" s="37" t="n">
        <v>597</v>
      </c>
      <c r="E275" s="37" t="n">
        <v>566</v>
      </c>
      <c r="F275" s="63" t="n">
        <f aca="false">IF(E275="","",D275-E275)</f>
        <v>31</v>
      </c>
      <c r="G275" s="37" t="n">
        <v>250</v>
      </c>
      <c r="H275" s="37" t="n">
        <v>257</v>
      </c>
      <c r="I275" s="63" t="n">
        <f aca="false">IF(H275="","",G275-H275)</f>
        <v>-7</v>
      </c>
      <c r="J275" s="52" t="n">
        <f aca="false">IF(OR(D275="",D275+G275=0),"",D275/(D275+G275))</f>
        <v>0.704840613931523</v>
      </c>
      <c r="K275" s="52" t="n">
        <f aca="false">IF(E275="","",E275/(E275+H275))</f>
        <v>0.687727825030377</v>
      </c>
      <c r="L275" s="64" t="n">
        <f aca="false">IF(OR(K275="",J275=""),"",(J275-K275)*100)</f>
        <v>1.71127889011463</v>
      </c>
      <c r="M275" s="21"/>
    </row>
    <row r="276" customFormat="false" ht="15" hidden="false" customHeight="false" outlineLevel="0" collapsed="false">
      <c r="A276" s="21" t="s">
        <v>377</v>
      </c>
      <c r="B276" s="21" t="s">
        <v>437</v>
      </c>
      <c r="C276" s="21" t="s">
        <v>444</v>
      </c>
      <c r="D276" s="37" t="n">
        <v>522</v>
      </c>
      <c r="E276" s="37" t="n">
        <v>517</v>
      </c>
      <c r="F276" s="63" t="n">
        <f aca="false">IF(E276="","",D276-E276)</f>
        <v>5</v>
      </c>
      <c r="G276" s="37" t="n">
        <v>256</v>
      </c>
      <c r="H276" s="37" t="n">
        <v>265</v>
      </c>
      <c r="I276" s="63" t="n">
        <f aca="false">IF(H276="","",G276-H276)</f>
        <v>-9</v>
      </c>
      <c r="J276" s="52" t="n">
        <f aca="false">IF(OR(D276="",D276+G276=0),"",D276/(D276+G276))</f>
        <v>0.670951156812339</v>
      </c>
      <c r="K276" s="52" t="n">
        <f aca="false">IF(E276="","",E276/(E276+H276))</f>
        <v>0.661125319693095</v>
      </c>
      <c r="L276" s="64" t="n">
        <f aca="false">IF(OR(K276="",J276=""),"",(J276-K276)*100)</f>
        <v>0.982583711924467</v>
      </c>
      <c r="M276" s="21"/>
    </row>
    <row r="277" customFormat="false" ht="15" hidden="false" customHeight="false" outlineLevel="0" collapsed="false">
      <c r="A277" s="21" t="s">
        <v>377</v>
      </c>
      <c r="B277" s="21" t="s">
        <v>437</v>
      </c>
      <c r="C277" s="21" t="s">
        <v>445</v>
      </c>
      <c r="D277" s="37" t="n">
        <v>211</v>
      </c>
      <c r="E277" s="37" t="n">
        <v>233</v>
      </c>
      <c r="F277" s="63" t="n">
        <f aca="false">IF(E277="","",D277-E277)</f>
        <v>-22</v>
      </c>
      <c r="G277" s="37" t="n">
        <v>91</v>
      </c>
      <c r="H277" s="37" t="n">
        <v>84</v>
      </c>
      <c r="I277" s="63" t="n">
        <f aca="false">IF(H277="","",G277-H277)</f>
        <v>7</v>
      </c>
      <c r="J277" s="52" t="n">
        <f aca="false">IF(OR(D277="",D277+G277=0),"",D277/(D277+G277))</f>
        <v>0.698675496688742</v>
      </c>
      <c r="K277" s="52" t="n">
        <f aca="false">IF(E277="","",E277/(E277+H277))</f>
        <v>0.735015772870662</v>
      </c>
      <c r="L277" s="64" t="n">
        <f aca="false">IF(OR(K277="",J277=""),"",(J277-K277)*100)</f>
        <v>-3.63402761819207</v>
      </c>
      <c r="M277" s="21"/>
    </row>
    <row r="278" customFormat="false" ht="15" hidden="false" customHeight="false" outlineLevel="0" collapsed="false">
      <c r="A278" s="21" t="s">
        <v>377</v>
      </c>
      <c r="B278" s="21" t="s">
        <v>437</v>
      </c>
      <c r="C278" s="21" t="s">
        <v>446</v>
      </c>
      <c r="D278" s="37" t="n">
        <v>363</v>
      </c>
      <c r="E278" s="37" t="n">
        <v>391</v>
      </c>
      <c r="F278" s="63" t="n">
        <f aca="false">IF(E278="","",D278-E278)</f>
        <v>-28</v>
      </c>
      <c r="G278" s="37" t="n">
        <v>133</v>
      </c>
      <c r="H278" s="37" t="n">
        <v>126</v>
      </c>
      <c r="I278" s="63" t="n">
        <f aca="false">IF(H278="","",G278-H278)</f>
        <v>7</v>
      </c>
      <c r="J278" s="52" t="n">
        <f aca="false">IF(OR(D278="",D278+G278=0),"",D278/(D278+G278))</f>
        <v>0.731854838709677</v>
      </c>
      <c r="K278" s="52" t="n">
        <f aca="false">IF(E278="","",E278/(E278+H278))</f>
        <v>0.756286266924565</v>
      </c>
      <c r="L278" s="64" t="n">
        <f aca="false">IF(OR(K278="",J278=""),"",(J278-K278)*100)</f>
        <v>-2.44314282148874</v>
      </c>
      <c r="M278" s="21"/>
    </row>
    <row r="279" customFormat="false" ht="15" hidden="false" customHeight="false" outlineLevel="0" collapsed="false">
      <c r="A279" s="21" t="s">
        <v>377</v>
      </c>
      <c r="B279" s="21" t="s">
        <v>437</v>
      </c>
      <c r="C279" s="21" t="s">
        <v>447</v>
      </c>
      <c r="D279" s="37" t="n">
        <v>415</v>
      </c>
      <c r="E279" s="37" t="n">
        <v>381</v>
      </c>
      <c r="F279" s="63" t="n">
        <f aca="false">IF(E279="","",D279-E279)</f>
        <v>34</v>
      </c>
      <c r="G279" s="37" t="n">
        <v>157</v>
      </c>
      <c r="H279" s="37" t="n">
        <v>184</v>
      </c>
      <c r="I279" s="63" t="n">
        <f aca="false">IF(H279="","",G279-H279)</f>
        <v>-27</v>
      </c>
      <c r="J279" s="52" t="n">
        <f aca="false">IF(OR(D279="",D279+G279=0),"",D279/(D279+G279))</f>
        <v>0.725524475524476</v>
      </c>
      <c r="K279" s="52" t="n">
        <f aca="false">IF(E279="","",E279/(E279+H279))</f>
        <v>0.674336283185841</v>
      </c>
      <c r="L279" s="64" t="n">
        <f aca="false">IF(OR(K279="",J279=""),"",(J279-K279)*100)</f>
        <v>5.11881923386348</v>
      </c>
      <c r="M279" s="21"/>
    </row>
    <row r="280" customFormat="false" ht="15" hidden="false" customHeight="false" outlineLevel="0" collapsed="false">
      <c r="A280" s="21" t="s">
        <v>377</v>
      </c>
      <c r="B280" s="21" t="s">
        <v>437</v>
      </c>
      <c r="C280" s="21" t="s">
        <v>448</v>
      </c>
      <c r="D280" s="37" t="n">
        <v>704</v>
      </c>
      <c r="E280" s="37"/>
      <c r="F280" s="63" t="str">
        <f aca="false">IF(E280="","",D280-E280)</f>
        <v/>
      </c>
      <c r="G280" s="37" t="n">
        <v>412</v>
      </c>
      <c r="H280" s="37"/>
      <c r="I280" s="63" t="str">
        <f aca="false">IF(H280="","",G280-H280)</f>
        <v/>
      </c>
      <c r="J280" s="52" t="n">
        <f aca="false">IF(OR(D280="",D280+G280=0),"",D280/(D280+G280))</f>
        <v>0.630824372759857</v>
      </c>
      <c r="K280" s="52" t="str">
        <f aca="false">IF(E280="","",E280/(E280+H280))</f>
        <v/>
      </c>
      <c r="L280" s="64" t="str">
        <f aca="false">IF(OR(K280="",J280=""),"",(J280-K280)*100)</f>
        <v/>
      </c>
      <c r="M280" s="21" t="s">
        <v>685</v>
      </c>
    </row>
    <row r="281" customFormat="false" ht="15" hidden="false" customHeight="false" outlineLevel="0" collapsed="false">
      <c r="A281" s="21" t="s">
        <v>377</v>
      </c>
      <c r="B281" s="21" t="s">
        <v>437</v>
      </c>
      <c r="C281" s="21" t="s">
        <v>449</v>
      </c>
      <c r="D281" s="37" t="n">
        <v>950</v>
      </c>
      <c r="E281" s="37" t="n">
        <v>912</v>
      </c>
      <c r="F281" s="63" t="n">
        <f aca="false">IF(E281="","",D281-E281)</f>
        <v>38</v>
      </c>
      <c r="G281" s="37" t="n">
        <v>436</v>
      </c>
      <c r="H281" s="37" t="n">
        <v>445</v>
      </c>
      <c r="I281" s="63" t="n">
        <f aca="false">IF(H281="","",G281-H281)</f>
        <v>-9</v>
      </c>
      <c r="J281" s="52" t="n">
        <f aca="false">IF(OR(D281="",D281+G281=0),"",D281/(D281+G281))</f>
        <v>0.685425685425685</v>
      </c>
      <c r="K281" s="52" t="n">
        <f aca="false">IF(E281="","",E281/(E281+H281))</f>
        <v>0.672070744288873</v>
      </c>
      <c r="L281" s="64" t="n">
        <f aca="false">IF(OR(K281="",J281=""),"",(J281-K281)*100)</f>
        <v>1.33549411368129</v>
      </c>
      <c r="M281" s="21"/>
    </row>
    <row r="282" customFormat="false" ht="15" hidden="false" customHeight="false" outlineLevel="0" collapsed="false">
      <c r="A282" s="21" t="s">
        <v>377</v>
      </c>
      <c r="B282" s="21" t="s">
        <v>450</v>
      </c>
      <c r="C282" s="21" t="s">
        <v>451</v>
      </c>
      <c r="D282" s="37" t="n">
        <v>1400</v>
      </c>
      <c r="E282" s="37"/>
      <c r="F282" s="63" t="str">
        <f aca="false">IF(E282="","",D282-E282)</f>
        <v/>
      </c>
      <c r="G282" s="37" t="n">
        <v>1405</v>
      </c>
      <c r="H282" s="37"/>
      <c r="I282" s="63" t="str">
        <f aca="false">IF(H282="","",G282-H282)</f>
        <v/>
      </c>
      <c r="J282" s="52" t="n">
        <f aca="false">IF(OR(D282="",D282+G282=0),"",D282/(D282+G282))</f>
        <v>0.499108734402852</v>
      </c>
      <c r="K282" s="52" t="str">
        <f aca="false">IF(E282="","",E282/(E282+H282))</f>
        <v/>
      </c>
      <c r="L282" s="64" t="str">
        <f aca="false">IF(OR(K282="",J282=""),"",(J282-K282)*100)</f>
        <v/>
      </c>
      <c r="M282" s="21" t="s">
        <v>685</v>
      </c>
    </row>
    <row r="283" customFormat="false" ht="15" hidden="false" customHeight="false" outlineLevel="0" collapsed="false">
      <c r="A283" s="21" t="s">
        <v>377</v>
      </c>
      <c r="B283" s="21" t="s">
        <v>450</v>
      </c>
      <c r="C283" s="21" t="s">
        <v>452</v>
      </c>
      <c r="D283" s="37" t="n">
        <v>636</v>
      </c>
      <c r="E283" s="37"/>
      <c r="F283" s="63" t="str">
        <f aca="false">IF(E283="","",D283-E283)</f>
        <v/>
      </c>
      <c r="G283" s="37" t="n">
        <v>656</v>
      </c>
      <c r="H283" s="37"/>
      <c r="I283" s="63" t="str">
        <f aca="false">IF(H283="","",G283-H283)</f>
        <v/>
      </c>
      <c r="J283" s="52" t="n">
        <f aca="false">IF(OR(D283="",D283+G283=0),"",D283/(D283+G283))</f>
        <v>0.492260061919505</v>
      </c>
      <c r="K283" s="52" t="str">
        <f aca="false">IF(E283="","",E283/(E283+H283))</f>
        <v/>
      </c>
      <c r="L283" s="64" t="str">
        <f aca="false">IF(OR(K283="",J283=""),"",(J283-K283)*100)</f>
        <v/>
      </c>
      <c r="M283" s="21" t="s">
        <v>685</v>
      </c>
    </row>
    <row r="284" customFormat="false" ht="15" hidden="false" customHeight="false" outlineLevel="0" collapsed="false">
      <c r="A284" s="21" t="s">
        <v>377</v>
      </c>
      <c r="B284" s="21" t="s">
        <v>450</v>
      </c>
      <c r="C284" s="21" t="s">
        <v>453</v>
      </c>
      <c r="D284" s="37" t="n">
        <v>807</v>
      </c>
      <c r="E284" s="37"/>
      <c r="F284" s="63" t="str">
        <f aca="false">IF(E284="","",D284-E284)</f>
        <v/>
      </c>
      <c r="G284" s="37" t="n">
        <v>746</v>
      </c>
      <c r="H284" s="37"/>
      <c r="I284" s="63" t="str">
        <f aca="false">IF(H284="","",G284-H284)</f>
        <v/>
      </c>
      <c r="J284" s="52" t="n">
        <f aca="false">IF(OR(D284="",D284+G284=0),"",D284/(D284+G284))</f>
        <v>0.519639407598197</v>
      </c>
      <c r="K284" s="52" t="str">
        <f aca="false">IF(E284="","",E284/(E284+H284))</f>
        <v/>
      </c>
      <c r="L284" s="64" t="str">
        <f aca="false">IF(OR(K284="",J284=""),"",(J284-K284)*100)</f>
        <v/>
      </c>
      <c r="M284" s="21" t="s">
        <v>685</v>
      </c>
    </row>
    <row r="285" customFormat="false" ht="15" hidden="false" customHeight="false" outlineLevel="0" collapsed="false">
      <c r="A285" s="21" t="s">
        <v>377</v>
      </c>
      <c r="B285" s="21" t="s">
        <v>450</v>
      </c>
      <c r="C285" s="21" t="s">
        <v>454</v>
      </c>
      <c r="D285" s="37" t="n">
        <v>726</v>
      </c>
      <c r="E285" s="37"/>
      <c r="F285" s="63" t="str">
        <f aca="false">IF(E285="","",D285-E285)</f>
        <v/>
      </c>
      <c r="G285" s="37" t="n">
        <v>706</v>
      </c>
      <c r="H285" s="37"/>
      <c r="I285" s="63" t="str">
        <f aca="false">IF(H285="","",G285-H285)</f>
        <v/>
      </c>
      <c r="J285" s="52" t="n">
        <f aca="false">IF(OR(D285="",D285+G285=0),"",D285/(D285+G285))</f>
        <v>0.506983240223464</v>
      </c>
      <c r="K285" s="52" t="str">
        <f aca="false">IF(E285="","",E285/(E285+H285))</f>
        <v/>
      </c>
      <c r="L285" s="64" t="str">
        <f aca="false">IF(OR(K285="",J285=""),"",(J285-K285)*100)</f>
        <v/>
      </c>
      <c r="M285" s="21" t="s">
        <v>685</v>
      </c>
    </row>
    <row r="286" customFormat="false" ht="15" hidden="false" customHeight="false" outlineLevel="0" collapsed="false">
      <c r="A286" s="21" t="s">
        <v>377</v>
      </c>
      <c r="B286" s="21" t="s">
        <v>450</v>
      </c>
      <c r="C286" s="21" t="s">
        <v>455</v>
      </c>
      <c r="D286" s="37" t="n">
        <v>968</v>
      </c>
      <c r="E286" s="37" t="n">
        <v>975</v>
      </c>
      <c r="F286" s="63" t="n">
        <f aca="false">IF(E286="","",D286-E286)</f>
        <v>-7</v>
      </c>
      <c r="G286" s="37" t="n">
        <v>889</v>
      </c>
      <c r="H286" s="37" t="n">
        <v>935</v>
      </c>
      <c r="I286" s="63" t="n">
        <f aca="false">IF(H286="","",G286-H286)</f>
        <v>-46</v>
      </c>
      <c r="J286" s="52" t="n">
        <f aca="false">IF(OR(D286="",D286+G286=0),"",D286/(D286+G286))</f>
        <v>0.521270866989768</v>
      </c>
      <c r="K286" s="52" t="n">
        <f aca="false">IF(E286="","",E286/(E286+H286))</f>
        <v>0.510471204188482</v>
      </c>
      <c r="L286" s="64" t="n">
        <f aca="false">IF(OR(K286="",J286=""),"",(J286-K286)*100)</f>
        <v>1.07996628012867</v>
      </c>
      <c r="M286" s="21"/>
    </row>
    <row r="287" customFormat="false" ht="15" hidden="false" customHeight="false" outlineLevel="0" collapsed="false">
      <c r="A287" s="21" t="s">
        <v>377</v>
      </c>
      <c r="B287" s="21" t="s">
        <v>450</v>
      </c>
      <c r="C287" s="21" t="s">
        <v>456</v>
      </c>
      <c r="D287" s="37" t="n">
        <v>778</v>
      </c>
      <c r="E287" s="37"/>
      <c r="F287" s="63" t="str">
        <f aca="false">IF(E287="","",D287-E287)</f>
        <v/>
      </c>
      <c r="G287" s="37" t="n">
        <v>792</v>
      </c>
      <c r="H287" s="37"/>
      <c r="I287" s="63" t="str">
        <f aca="false">IF(H287="","",G287-H287)</f>
        <v/>
      </c>
      <c r="J287" s="52" t="n">
        <f aca="false">IF(OR(D287="",D287+G287=0),"",D287/(D287+G287))</f>
        <v>0.495541401273885</v>
      </c>
      <c r="K287" s="52" t="str">
        <f aca="false">IF(E287="","",E287/(E287+H287))</f>
        <v/>
      </c>
      <c r="L287" s="64" t="str">
        <f aca="false">IF(OR(K287="",J287=""),"",(J287-K287)*100)</f>
        <v/>
      </c>
      <c r="M287" s="21" t="s">
        <v>685</v>
      </c>
    </row>
    <row r="288" customFormat="false" ht="15" hidden="false" customHeight="false" outlineLevel="0" collapsed="false">
      <c r="A288" s="21" t="s">
        <v>377</v>
      </c>
      <c r="B288" s="21" t="s">
        <v>450</v>
      </c>
      <c r="C288" s="21" t="s">
        <v>457</v>
      </c>
      <c r="D288" s="37" t="n">
        <v>663</v>
      </c>
      <c r="E288" s="37"/>
      <c r="F288" s="63" t="str">
        <f aca="false">IF(E288="","",D288-E288)</f>
        <v/>
      </c>
      <c r="G288" s="37" t="n">
        <v>746</v>
      </c>
      <c r="H288" s="37"/>
      <c r="I288" s="63" t="str">
        <f aca="false">IF(H288="","",G288-H288)</f>
        <v/>
      </c>
      <c r="J288" s="52" t="n">
        <f aca="false">IF(OR(D288="",D288+G288=0),"",D288/(D288+G288))</f>
        <v>0.470546486870121</v>
      </c>
      <c r="K288" s="52" t="str">
        <f aca="false">IF(E288="","",E288/(E288+H288))</f>
        <v/>
      </c>
      <c r="L288" s="64" t="str">
        <f aca="false">IF(OR(K288="",J288=""),"",(J288-K288)*100)</f>
        <v/>
      </c>
      <c r="M288" s="21" t="s">
        <v>685</v>
      </c>
    </row>
    <row r="289" customFormat="false" ht="15" hidden="false" customHeight="false" outlineLevel="0" collapsed="false">
      <c r="A289" s="21" t="s">
        <v>377</v>
      </c>
      <c r="B289" s="21" t="s">
        <v>458</v>
      </c>
      <c r="C289" s="21" t="s">
        <v>458</v>
      </c>
      <c r="D289" s="37" t="n">
        <v>741</v>
      </c>
      <c r="E289" s="37" t="n">
        <v>714</v>
      </c>
      <c r="F289" s="63" t="n">
        <f aca="false">IF(E289="","",D289-E289)</f>
        <v>27</v>
      </c>
      <c r="G289" s="37" t="n">
        <v>524</v>
      </c>
      <c r="H289" s="37" t="n">
        <v>484</v>
      </c>
      <c r="I289" s="63" t="n">
        <f aca="false">IF(H289="","",G289-H289)</f>
        <v>40</v>
      </c>
      <c r="J289" s="52" t="n">
        <f aca="false">IF(OR(D289="",D289+G289=0),"",D289/(D289+G289))</f>
        <v>0.585770750988142</v>
      </c>
      <c r="K289" s="52" t="n">
        <f aca="false">IF(E289="","",E289/(E289+H289))</f>
        <v>0.595993322203673</v>
      </c>
      <c r="L289" s="64" t="n">
        <f aca="false">IF(OR(K289="",J289=""),"",(J289-K289)*100)</f>
        <v>-1.02225712155305</v>
      </c>
      <c r="M289" s="21"/>
    </row>
    <row r="290" customFormat="false" ht="15" hidden="false" customHeight="false" outlineLevel="0" collapsed="false">
      <c r="A290" s="21" t="s">
        <v>377</v>
      </c>
      <c r="B290" s="21" t="s">
        <v>459</v>
      </c>
      <c r="C290" s="21" t="s">
        <v>459</v>
      </c>
      <c r="D290" s="37" t="n">
        <v>99</v>
      </c>
      <c r="E290" s="37" t="n">
        <v>109</v>
      </c>
      <c r="F290" s="63" t="n">
        <f aca="false">IF(E290="","",D290-E290)</f>
        <v>-10</v>
      </c>
      <c r="G290" s="37" t="n">
        <v>106</v>
      </c>
      <c r="H290" s="37" t="n">
        <v>97</v>
      </c>
      <c r="I290" s="63" t="n">
        <f aca="false">IF(H290="","",G290-H290)</f>
        <v>9</v>
      </c>
      <c r="J290" s="52" t="n">
        <f aca="false">IF(OR(D290="",D290+G290=0),"",D290/(D290+G290))</f>
        <v>0.482926829268293</v>
      </c>
      <c r="K290" s="52" t="n">
        <f aca="false">IF(E290="","",E290/(E290+H290))</f>
        <v>0.529126213592233</v>
      </c>
      <c r="L290" s="64" t="n">
        <f aca="false">IF(OR(K290="",J290=""),"",(J290-K290)*100)</f>
        <v>-4.61993843239403</v>
      </c>
      <c r="M290" s="21"/>
    </row>
    <row r="291" customFormat="false" ht="15" hidden="false" customHeight="false" outlineLevel="0" collapsed="false">
      <c r="A291" s="21" t="s">
        <v>377</v>
      </c>
      <c r="B291" s="21" t="s">
        <v>284</v>
      </c>
      <c r="C291" s="21" t="s">
        <v>460</v>
      </c>
      <c r="D291" s="37" t="n">
        <v>926</v>
      </c>
      <c r="E291" s="37" t="n">
        <v>955</v>
      </c>
      <c r="F291" s="63" t="n">
        <f aca="false">IF(E291="","",D291-E291)</f>
        <v>-29</v>
      </c>
      <c r="G291" s="37" t="n">
        <v>714</v>
      </c>
      <c r="H291" s="37" t="n">
        <v>692</v>
      </c>
      <c r="I291" s="63" t="n">
        <f aca="false">IF(H291="","",G291-H291)</f>
        <v>22</v>
      </c>
      <c r="J291" s="52" t="n">
        <f aca="false">IF(OR(D291="",D291+G291=0),"",D291/(D291+G291))</f>
        <v>0.564634146341463</v>
      </c>
      <c r="K291" s="52" t="n">
        <f aca="false">IF(E291="","",E291/(E291+H291))</f>
        <v>0.579842137219186</v>
      </c>
      <c r="L291" s="64" t="n">
        <f aca="false">IF(OR(K291="",J291=""),"",(J291-K291)*100)</f>
        <v>-1.52079908777231</v>
      </c>
      <c r="M291" s="21"/>
    </row>
    <row r="292" customFormat="false" ht="15" hidden="false" customHeight="false" outlineLevel="0" collapsed="false">
      <c r="A292" s="21" t="s">
        <v>377</v>
      </c>
      <c r="B292" s="21" t="s">
        <v>284</v>
      </c>
      <c r="C292" s="21" t="s">
        <v>461</v>
      </c>
      <c r="D292" s="37" t="n">
        <v>861</v>
      </c>
      <c r="E292" s="37" t="n">
        <v>910</v>
      </c>
      <c r="F292" s="63" t="n">
        <f aca="false">IF(E292="","",D292-E292)</f>
        <v>-49</v>
      </c>
      <c r="G292" s="37" t="n">
        <v>763</v>
      </c>
      <c r="H292" s="37" t="n">
        <v>742</v>
      </c>
      <c r="I292" s="63" t="n">
        <f aca="false">IF(H292="","",G292-H292)</f>
        <v>21</v>
      </c>
      <c r="J292" s="52" t="n">
        <f aca="false">IF(OR(D292="",D292+G292=0),"",D292/(D292+G292))</f>
        <v>0.530172413793103</v>
      </c>
      <c r="K292" s="52" t="n">
        <f aca="false">IF(E292="","",E292/(E292+H292))</f>
        <v>0.550847457627119</v>
      </c>
      <c r="L292" s="64" t="n">
        <f aca="false">IF(OR(K292="",J292=""),"",(J292-K292)*100)</f>
        <v>-2.06750438340152</v>
      </c>
      <c r="M292" s="21"/>
    </row>
    <row r="293" customFormat="false" ht="15" hidden="false" customHeight="false" outlineLevel="0" collapsed="false">
      <c r="A293" s="21" t="s">
        <v>377</v>
      </c>
      <c r="B293" s="21" t="s">
        <v>284</v>
      </c>
      <c r="C293" s="21" t="s">
        <v>462</v>
      </c>
      <c r="D293" s="37" t="n">
        <v>435</v>
      </c>
      <c r="E293" s="37" t="n">
        <v>446</v>
      </c>
      <c r="F293" s="63" t="n">
        <f aca="false">IF(E293="","",D293-E293)</f>
        <v>-11</v>
      </c>
      <c r="G293" s="37" t="n">
        <v>420</v>
      </c>
      <c r="H293" s="37" t="n">
        <v>410</v>
      </c>
      <c r="I293" s="63" t="n">
        <f aca="false">IF(H293="","",G293-H293)</f>
        <v>10</v>
      </c>
      <c r="J293" s="52" t="n">
        <f aca="false">IF(OR(D293="",D293+G293=0),"",D293/(D293+G293))</f>
        <v>0.508771929824561</v>
      </c>
      <c r="K293" s="52" t="n">
        <f aca="false">IF(E293="","",E293/(E293+H293))</f>
        <v>0.521028037383178</v>
      </c>
      <c r="L293" s="64" t="n">
        <f aca="false">IF(OR(K293="",J293=""),"",(J293-K293)*100)</f>
        <v>-1.22561075586162</v>
      </c>
      <c r="M293" s="21"/>
    </row>
    <row r="294" customFormat="false" ht="15" hidden="false" customHeight="false" outlineLevel="0" collapsed="false">
      <c r="A294" s="21" t="s">
        <v>377</v>
      </c>
      <c r="B294" s="21" t="s">
        <v>284</v>
      </c>
      <c r="C294" s="21" t="s">
        <v>463</v>
      </c>
      <c r="D294" s="37" t="n">
        <v>735</v>
      </c>
      <c r="E294" s="37" t="n">
        <v>744</v>
      </c>
      <c r="F294" s="63" t="n">
        <f aca="false">IF(E294="","",D294-E294)</f>
        <v>-9</v>
      </c>
      <c r="G294" s="37" t="n">
        <v>702</v>
      </c>
      <c r="H294" s="37" t="n">
        <v>678</v>
      </c>
      <c r="I294" s="63" t="n">
        <f aca="false">IF(H294="","",G294-H294)</f>
        <v>24</v>
      </c>
      <c r="J294" s="52" t="n">
        <f aca="false">IF(OR(D294="",D294+G294=0),"",D294/(D294+G294))</f>
        <v>0.511482254697286</v>
      </c>
      <c r="K294" s="52" t="n">
        <f aca="false">IF(E294="","",E294/(E294+H294))</f>
        <v>0.523206751054852</v>
      </c>
      <c r="L294" s="64" t="n">
        <f aca="false">IF(OR(K294="",J294=""),"",(J294-K294)*100)</f>
        <v>-1.17244963575663</v>
      </c>
      <c r="M294" s="21"/>
    </row>
    <row r="295" customFormat="false" ht="15" hidden="false" customHeight="false" outlineLevel="0" collapsed="false">
      <c r="A295" s="21" t="s">
        <v>377</v>
      </c>
      <c r="B295" s="21" t="s">
        <v>284</v>
      </c>
      <c r="C295" s="21" t="s">
        <v>464</v>
      </c>
      <c r="D295" s="37" t="n">
        <v>779</v>
      </c>
      <c r="E295" s="37" t="n">
        <v>775</v>
      </c>
      <c r="F295" s="63" t="n">
        <f aca="false">IF(E295="","",D295-E295)</f>
        <v>4</v>
      </c>
      <c r="G295" s="37" t="n">
        <v>638</v>
      </c>
      <c r="H295" s="37" t="n">
        <v>645</v>
      </c>
      <c r="I295" s="63" t="n">
        <f aca="false">IF(H295="","",G295-H295)</f>
        <v>-7</v>
      </c>
      <c r="J295" s="52" t="n">
        <f aca="false">IF(OR(D295="",D295+G295=0),"",D295/(D295+G295))</f>
        <v>0.549752999294284</v>
      </c>
      <c r="K295" s="52" t="n">
        <f aca="false">IF(E295="","",E295/(E295+H295))</f>
        <v>0.545774647887324</v>
      </c>
      <c r="L295" s="64" t="n">
        <f aca="false">IF(OR(K295="",J295=""),"",(J295-K295)*100)</f>
        <v>0.397835140695968</v>
      </c>
      <c r="M295" s="21"/>
    </row>
    <row r="296" customFormat="false" ht="15" hidden="false" customHeight="false" outlineLevel="0" collapsed="false">
      <c r="A296" s="21" t="s">
        <v>377</v>
      </c>
      <c r="B296" s="21" t="s">
        <v>284</v>
      </c>
      <c r="C296" s="21" t="s">
        <v>465</v>
      </c>
      <c r="D296" s="37" t="n">
        <v>506</v>
      </c>
      <c r="E296" s="37" t="n">
        <v>511</v>
      </c>
      <c r="F296" s="63" t="n">
        <f aca="false">IF(E296="","",D296-E296)</f>
        <v>-5</v>
      </c>
      <c r="G296" s="37" t="n">
        <v>471</v>
      </c>
      <c r="H296" s="37" t="n">
        <v>453</v>
      </c>
      <c r="I296" s="63" t="n">
        <f aca="false">IF(H296="","",G296-H296)</f>
        <v>18</v>
      </c>
      <c r="J296" s="52" t="n">
        <f aca="false">IF(OR(D296="",D296+G296=0),"",D296/(D296+G296))</f>
        <v>0.517911975435005</v>
      </c>
      <c r="K296" s="52" t="n">
        <f aca="false">IF(E296="","",E296/(E296+H296))</f>
        <v>0.530082987551867</v>
      </c>
      <c r="L296" s="64" t="n">
        <f aca="false">IF(OR(K296="",J296=""),"",(J296-K296)*100)</f>
        <v>-1.21710121168621</v>
      </c>
      <c r="M296" s="21"/>
    </row>
    <row r="297" customFormat="false" ht="15" hidden="false" customHeight="false" outlineLevel="0" collapsed="false">
      <c r="A297" s="21" t="s">
        <v>377</v>
      </c>
      <c r="B297" s="21" t="s">
        <v>466</v>
      </c>
      <c r="C297" s="21" t="s">
        <v>467</v>
      </c>
      <c r="D297" s="37" t="n">
        <v>573</v>
      </c>
      <c r="E297" s="37" t="n">
        <v>553</v>
      </c>
      <c r="F297" s="63" t="n">
        <f aca="false">IF(E297="","",D297-E297)</f>
        <v>20</v>
      </c>
      <c r="G297" s="37" t="n">
        <v>619</v>
      </c>
      <c r="H297" s="37" t="n">
        <v>581</v>
      </c>
      <c r="I297" s="63" t="n">
        <f aca="false">IF(H297="","",G297-H297)</f>
        <v>38</v>
      </c>
      <c r="J297" s="52" t="n">
        <f aca="false">IF(OR(D297="",D297+G297=0),"",D297/(D297+G297))</f>
        <v>0.480704697986577</v>
      </c>
      <c r="K297" s="52" t="n">
        <f aca="false">IF(E297="","",E297/(E297+H297))</f>
        <v>0.487654320987654</v>
      </c>
      <c r="L297" s="64" t="n">
        <f aca="false">IF(OR(K297="",J297=""),"",(J297-K297)*100)</f>
        <v>-0.694962300107715</v>
      </c>
      <c r="M297" s="21"/>
    </row>
    <row r="298" customFormat="false" ht="15" hidden="false" customHeight="false" outlineLevel="0" collapsed="false">
      <c r="A298" s="21" t="s">
        <v>377</v>
      </c>
      <c r="B298" s="21" t="s">
        <v>466</v>
      </c>
      <c r="C298" s="21" t="s">
        <v>468</v>
      </c>
      <c r="D298" s="37" t="n">
        <v>459</v>
      </c>
      <c r="E298" s="37" t="n">
        <v>473</v>
      </c>
      <c r="F298" s="63" t="n">
        <f aca="false">IF(E298="","",D298-E298)</f>
        <v>-14</v>
      </c>
      <c r="G298" s="37" t="n">
        <v>436</v>
      </c>
      <c r="H298" s="37" t="n">
        <v>465</v>
      </c>
      <c r="I298" s="63" t="n">
        <f aca="false">IF(H298="","",G298-H298)</f>
        <v>-29</v>
      </c>
      <c r="J298" s="52" t="n">
        <f aca="false">IF(OR(D298="",D298+G298=0),"",D298/(D298+G298))</f>
        <v>0.512849162011173</v>
      </c>
      <c r="K298" s="52" t="n">
        <f aca="false">IF(E298="","",E298/(E298+H298))</f>
        <v>0.504264392324094</v>
      </c>
      <c r="L298" s="64" t="n">
        <f aca="false">IF(OR(K298="",J298=""),"",(J298-K298)*100)</f>
        <v>0.858476968707933</v>
      </c>
      <c r="M298" s="21"/>
    </row>
    <row r="299" customFormat="false" ht="15" hidden="false" customHeight="false" outlineLevel="0" collapsed="false">
      <c r="A299" s="21" t="s">
        <v>377</v>
      </c>
      <c r="B299" s="21" t="s">
        <v>466</v>
      </c>
      <c r="C299" s="21" t="s">
        <v>469</v>
      </c>
      <c r="D299" s="37" t="n">
        <v>680</v>
      </c>
      <c r="E299" s="37" t="n">
        <v>700</v>
      </c>
      <c r="F299" s="63" t="n">
        <f aca="false">IF(E299="","",D299-E299)</f>
        <v>-20</v>
      </c>
      <c r="G299" s="37" t="n">
        <v>592</v>
      </c>
      <c r="H299" s="37" t="n">
        <v>639</v>
      </c>
      <c r="I299" s="63" t="n">
        <f aca="false">IF(H299="","",G299-H299)</f>
        <v>-47</v>
      </c>
      <c r="J299" s="52" t="n">
        <f aca="false">IF(OR(D299="",D299+G299=0),"",D299/(D299+G299))</f>
        <v>0.534591194968554</v>
      </c>
      <c r="K299" s="52" t="n">
        <f aca="false">IF(E299="","",E299/(E299+H299))</f>
        <v>0.522778192681105</v>
      </c>
      <c r="L299" s="64" t="n">
        <f aca="false">IF(OR(K299="",J299=""),"",(J299-K299)*100)</f>
        <v>1.18130022874482</v>
      </c>
      <c r="M299" s="21"/>
    </row>
    <row r="300" customFormat="false" ht="15" hidden="false" customHeight="false" outlineLevel="0" collapsed="false">
      <c r="A300" s="21" t="s">
        <v>377</v>
      </c>
      <c r="B300" s="21" t="s">
        <v>470</v>
      </c>
      <c r="C300" s="21" t="s">
        <v>471</v>
      </c>
      <c r="D300" s="37" t="n">
        <v>547</v>
      </c>
      <c r="E300" s="37" t="n">
        <v>546</v>
      </c>
      <c r="F300" s="63" t="n">
        <f aca="false">IF(E300="","",D300-E300)</f>
        <v>1</v>
      </c>
      <c r="G300" s="37" t="n">
        <v>1111</v>
      </c>
      <c r="H300" s="37" t="n">
        <v>1089</v>
      </c>
      <c r="I300" s="63" t="n">
        <f aca="false">IF(H300="","",G300-H300)</f>
        <v>22</v>
      </c>
      <c r="J300" s="52" t="n">
        <f aca="false">IF(OR(D300="",D300+G300=0),"",D300/(D300+G300))</f>
        <v>0.329915560916767</v>
      </c>
      <c r="K300" s="52" t="n">
        <f aca="false">IF(E300="","",E300/(E300+H300))</f>
        <v>0.33394495412844</v>
      </c>
      <c r="L300" s="64" t="n">
        <f aca="false">IF(OR(K300="",J300=""),"",(J300-K300)*100)</f>
        <v>-0.402939321167317</v>
      </c>
      <c r="M300" s="21"/>
    </row>
    <row r="301" customFormat="false" ht="15" hidden="false" customHeight="false" outlineLevel="0" collapsed="false">
      <c r="A301" s="21" t="s">
        <v>377</v>
      </c>
      <c r="B301" s="21" t="s">
        <v>470</v>
      </c>
      <c r="C301" s="21" t="s">
        <v>472</v>
      </c>
      <c r="D301" s="37" t="n">
        <v>624</v>
      </c>
      <c r="E301" s="37" t="n">
        <v>636</v>
      </c>
      <c r="F301" s="63" t="n">
        <f aca="false">IF(E301="","",D301-E301)</f>
        <v>-12</v>
      </c>
      <c r="G301" s="37" t="n">
        <v>1226</v>
      </c>
      <c r="H301" s="37" t="n">
        <v>1262</v>
      </c>
      <c r="I301" s="63" t="n">
        <f aca="false">IF(H301="","",G301-H301)</f>
        <v>-36</v>
      </c>
      <c r="J301" s="52" t="n">
        <f aca="false">IF(OR(D301="",D301+G301=0),"",D301/(D301+G301))</f>
        <v>0.337297297297297</v>
      </c>
      <c r="K301" s="52" t="n">
        <f aca="false">IF(E301="","",E301/(E301+H301))</f>
        <v>0.33508956796628</v>
      </c>
      <c r="L301" s="64" t="n">
        <f aca="false">IF(OR(K301="",J301=""),"",(J301-K301)*100)</f>
        <v>0.220772933101698</v>
      </c>
      <c r="M301" s="21"/>
    </row>
    <row r="302" customFormat="false" ht="15" hidden="false" customHeight="false" outlineLevel="0" collapsed="false">
      <c r="A302" s="21" t="s">
        <v>377</v>
      </c>
      <c r="B302" s="21" t="s">
        <v>470</v>
      </c>
      <c r="C302" s="21" t="s">
        <v>473</v>
      </c>
      <c r="D302" s="37" t="n">
        <v>206</v>
      </c>
      <c r="E302" s="37" t="n">
        <v>224</v>
      </c>
      <c r="F302" s="63" t="n">
        <f aca="false">IF(E302="","",D302-E302)</f>
        <v>-18</v>
      </c>
      <c r="G302" s="37" t="n">
        <v>511</v>
      </c>
      <c r="H302" s="37" t="n">
        <v>495</v>
      </c>
      <c r="I302" s="63" t="n">
        <f aca="false">IF(H302="","",G302-H302)</f>
        <v>16</v>
      </c>
      <c r="J302" s="52" t="n">
        <f aca="false">IF(OR(D302="",D302+G302=0),"",D302/(D302+G302))</f>
        <v>0.287308228730823</v>
      </c>
      <c r="K302" s="52" t="n">
        <f aca="false">IF(E302="","",E302/(E302+H302))</f>
        <v>0.311543810848401</v>
      </c>
      <c r="L302" s="64" t="n">
        <f aca="false">IF(OR(K302="",J302=""),"",(J302-K302)*100)</f>
        <v>-2.42355821175777</v>
      </c>
      <c r="M302" s="21"/>
    </row>
    <row r="303" customFormat="false" ht="15" hidden="false" customHeight="false" outlineLevel="0" collapsed="false">
      <c r="A303" s="21" t="s">
        <v>377</v>
      </c>
      <c r="B303" s="21" t="s">
        <v>470</v>
      </c>
      <c r="C303" s="21" t="s">
        <v>474</v>
      </c>
      <c r="D303" s="37" t="n">
        <v>483</v>
      </c>
      <c r="E303" s="37" t="n">
        <v>478</v>
      </c>
      <c r="F303" s="63" t="n">
        <f aca="false">IF(E303="","",D303-E303)</f>
        <v>5</v>
      </c>
      <c r="G303" s="37" t="n">
        <v>943</v>
      </c>
      <c r="H303" s="37" t="n">
        <v>948</v>
      </c>
      <c r="I303" s="63" t="n">
        <f aca="false">IF(H303="","",G303-H303)</f>
        <v>-5</v>
      </c>
      <c r="J303" s="52" t="n">
        <f aca="false">IF(OR(D303="",D303+G303=0),"",D303/(D303+G303))</f>
        <v>0.338709677419355</v>
      </c>
      <c r="K303" s="52" t="n">
        <f aca="false">IF(E303="","",E303/(E303+H303))</f>
        <v>0.335203366058906</v>
      </c>
      <c r="L303" s="64" t="n">
        <f aca="false">IF(OR(K303="",J303=""),"",(J303-K303)*100)</f>
        <v>0.350631136044877</v>
      </c>
      <c r="M303" s="21"/>
    </row>
    <row r="304" customFormat="false" ht="15" hidden="false" customHeight="false" outlineLevel="0" collapsed="false">
      <c r="A304" s="21" t="s">
        <v>377</v>
      </c>
      <c r="B304" s="21" t="s">
        <v>470</v>
      </c>
      <c r="C304" s="21" t="s">
        <v>475</v>
      </c>
      <c r="D304" s="37" t="n">
        <v>328</v>
      </c>
      <c r="E304" s="37" t="n">
        <v>360</v>
      </c>
      <c r="F304" s="63" t="n">
        <f aca="false">IF(E304="","",D304-E304)</f>
        <v>-32</v>
      </c>
      <c r="G304" s="37" t="n">
        <v>670</v>
      </c>
      <c r="H304" s="37" t="n">
        <v>645</v>
      </c>
      <c r="I304" s="63" t="n">
        <f aca="false">IF(H304="","",G304-H304)</f>
        <v>25</v>
      </c>
      <c r="J304" s="52" t="n">
        <f aca="false">IF(OR(D304="",D304+G304=0),"",D304/(D304+G304))</f>
        <v>0.328657314629259</v>
      </c>
      <c r="K304" s="52" t="n">
        <f aca="false">IF(E304="","",E304/(E304+H304))</f>
        <v>0.358208955223881</v>
      </c>
      <c r="L304" s="64" t="n">
        <f aca="false">IF(OR(K304="",J304=""),"",(J304-K304)*100)</f>
        <v>-2.95516405946221</v>
      </c>
      <c r="M304" s="21"/>
    </row>
    <row r="305" customFormat="false" ht="15" hidden="false" customHeight="false" outlineLevel="0" collapsed="false">
      <c r="A305" s="21" t="s">
        <v>377</v>
      </c>
      <c r="B305" s="21" t="s">
        <v>476</v>
      </c>
      <c r="C305" s="21" t="s">
        <v>477</v>
      </c>
      <c r="D305" s="37" t="n">
        <v>225</v>
      </c>
      <c r="E305" s="37" t="n">
        <v>264</v>
      </c>
      <c r="F305" s="63" t="n">
        <f aca="false">IF(E305="","",D305-E305)</f>
        <v>-39</v>
      </c>
      <c r="G305" s="37" t="n">
        <v>396</v>
      </c>
      <c r="H305" s="37" t="n">
        <v>439</v>
      </c>
      <c r="I305" s="63" t="n">
        <f aca="false">IF(H305="","",G305-H305)</f>
        <v>-43</v>
      </c>
      <c r="J305" s="52" t="n">
        <f aca="false">IF(OR(D305="",D305+G305=0),"",D305/(D305+G305))</f>
        <v>0.36231884057971</v>
      </c>
      <c r="K305" s="52" t="n">
        <f aca="false">IF(E305="","",E305/(E305+H305))</f>
        <v>0.375533428165007</v>
      </c>
      <c r="L305" s="64" t="n">
        <f aca="false">IF(OR(K305="",J305=""),"",(J305-K305)*100)</f>
        <v>-1.3214587585297</v>
      </c>
      <c r="M305" s="21"/>
    </row>
    <row r="306" customFormat="false" ht="15" hidden="false" customHeight="false" outlineLevel="0" collapsed="false">
      <c r="A306" s="21" t="s">
        <v>377</v>
      </c>
      <c r="B306" s="21" t="s">
        <v>476</v>
      </c>
      <c r="C306" s="21" t="s">
        <v>478</v>
      </c>
      <c r="D306" s="37" t="n">
        <v>360</v>
      </c>
      <c r="E306" s="37" t="n">
        <v>361</v>
      </c>
      <c r="F306" s="63" t="n">
        <f aca="false">IF(E306="","",D306-E306)</f>
        <v>-1</v>
      </c>
      <c r="G306" s="37" t="n">
        <v>746</v>
      </c>
      <c r="H306" s="37" t="n">
        <v>775</v>
      </c>
      <c r="I306" s="63" t="n">
        <f aca="false">IF(H306="","",G306-H306)</f>
        <v>-29</v>
      </c>
      <c r="J306" s="52" t="n">
        <f aca="false">IF(OR(D306="",D306+G306=0),"",D306/(D306+G306))</f>
        <v>0.325497287522604</v>
      </c>
      <c r="K306" s="52" t="n">
        <f aca="false">IF(E306="","",E306/(E306+H306))</f>
        <v>0.317781690140845</v>
      </c>
      <c r="L306" s="64" t="n">
        <f aca="false">IF(OR(K306="",J306=""),"",(J306-K306)*100)</f>
        <v>0.771559738175892</v>
      </c>
      <c r="M306" s="21"/>
    </row>
    <row r="307" customFormat="false" ht="15" hidden="false" customHeight="false" outlineLevel="0" collapsed="false">
      <c r="A307" s="21" t="s">
        <v>377</v>
      </c>
      <c r="B307" s="21" t="s">
        <v>479</v>
      </c>
      <c r="C307" s="21" t="s">
        <v>480</v>
      </c>
      <c r="D307" s="37" t="n">
        <v>256</v>
      </c>
      <c r="E307" s="37"/>
      <c r="F307" s="63" t="str">
        <f aca="false">IF(E307="","",D307-E307)</f>
        <v/>
      </c>
      <c r="G307" s="37" t="n">
        <v>358</v>
      </c>
      <c r="H307" s="37"/>
      <c r="I307" s="63" t="str">
        <f aca="false">IF(H307="","",G307-H307)</f>
        <v/>
      </c>
      <c r="J307" s="52" t="n">
        <f aca="false">IF(OR(D307="",D307+G307=0),"",D307/(D307+G307))</f>
        <v>0.416938110749186</v>
      </c>
      <c r="K307" s="52" t="str">
        <f aca="false">IF(E307="","",E307/(E307+H307))</f>
        <v/>
      </c>
      <c r="L307" s="64" t="str">
        <f aca="false">IF(OR(K307="",J307=""),"",(J307-K307)*100)</f>
        <v/>
      </c>
      <c r="M307" s="21" t="s">
        <v>685</v>
      </c>
    </row>
    <row r="308" customFormat="false" ht="15" hidden="false" customHeight="false" outlineLevel="0" collapsed="false">
      <c r="A308" s="21" t="s">
        <v>377</v>
      </c>
      <c r="B308" s="21" t="s">
        <v>479</v>
      </c>
      <c r="C308" s="21" t="s">
        <v>481</v>
      </c>
      <c r="D308" s="37" t="n">
        <v>642</v>
      </c>
      <c r="E308" s="37"/>
      <c r="F308" s="63" t="str">
        <f aca="false">IF(E308="","",D308-E308)</f>
        <v/>
      </c>
      <c r="G308" s="37" t="n">
        <v>705</v>
      </c>
      <c r="H308" s="37"/>
      <c r="I308" s="63" t="str">
        <f aca="false">IF(H308="","",G308-H308)</f>
        <v/>
      </c>
      <c r="J308" s="52" t="n">
        <f aca="false">IF(OR(D308="",D308+G308=0),"",D308/(D308+G308))</f>
        <v>0.476614699331849</v>
      </c>
      <c r="K308" s="52" t="str">
        <f aca="false">IF(E308="","",E308/(E308+H308))</f>
        <v/>
      </c>
      <c r="L308" s="64" t="str">
        <f aca="false">IF(OR(K308="",J308=""),"",(J308-K308)*100)</f>
        <v/>
      </c>
      <c r="M308" s="21" t="s">
        <v>685</v>
      </c>
    </row>
    <row r="309" customFormat="false" ht="15" hidden="false" customHeight="false" outlineLevel="0" collapsed="false">
      <c r="A309" s="21" t="s">
        <v>377</v>
      </c>
      <c r="B309" s="21" t="s">
        <v>479</v>
      </c>
      <c r="C309" s="21" t="s">
        <v>482</v>
      </c>
      <c r="D309" s="37" t="n">
        <v>602</v>
      </c>
      <c r="E309" s="37" t="n">
        <v>606</v>
      </c>
      <c r="F309" s="63" t="n">
        <f aca="false">IF(E309="","",D309-E309)</f>
        <v>-4</v>
      </c>
      <c r="G309" s="37" t="n">
        <v>812</v>
      </c>
      <c r="H309" s="37" t="n">
        <v>825</v>
      </c>
      <c r="I309" s="63" t="n">
        <f aca="false">IF(H309="","",G309-H309)</f>
        <v>-13</v>
      </c>
      <c r="J309" s="52" t="n">
        <f aca="false">IF(OR(D309="",D309+G309=0),"",D309/(D309+G309))</f>
        <v>0.425742574257426</v>
      </c>
      <c r="K309" s="52" t="n">
        <f aca="false">IF(E309="","",E309/(E309+H309))</f>
        <v>0.423480083857442</v>
      </c>
      <c r="L309" s="64" t="n">
        <f aca="false">IF(OR(K309="",J309=""),"",(J309-K309)*100)</f>
        <v>0.226249039998339</v>
      </c>
      <c r="M309" s="21"/>
    </row>
    <row r="310" customFormat="false" ht="15" hidden="false" customHeight="false" outlineLevel="0" collapsed="false">
      <c r="A310" s="21" t="s">
        <v>377</v>
      </c>
      <c r="B310" s="21" t="s">
        <v>479</v>
      </c>
      <c r="C310" s="21" t="s">
        <v>483</v>
      </c>
      <c r="D310" s="37" t="n">
        <v>607</v>
      </c>
      <c r="E310" s="37"/>
      <c r="F310" s="63" t="str">
        <f aca="false">IF(E310="","",D310-E310)</f>
        <v/>
      </c>
      <c r="G310" s="37" t="n">
        <v>752</v>
      </c>
      <c r="H310" s="37"/>
      <c r="I310" s="63" t="str">
        <f aca="false">IF(H310="","",G310-H310)</f>
        <v/>
      </c>
      <c r="J310" s="52" t="n">
        <f aca="false">IF(OR(D310="",D310+G310=0),"",D310/(D310+G310))</f>
        <v>0.446651949963208</v>
      </c>
      <c r="K310" s="52" t="str">
        <f aca="false">IF(E310="","",E310/(E310+H310))</f>
        <v/>
      </c>
      <c r="L310" s="64" t="str">
        <f aca="false">IF(OR(K310="",J310=""),"",(J310-K310)*100)</f>
        <v/>
      </c>
      <c r="M310" s="21" t="s">
        <v>685</v>
      </c>
    </row>
    <row r="311" customFormat="false" ht="15" hidden="false" customHeight="false" outlineLevel="0" collapsed="false">
      <c r="A311" s="21" t="s">
        <v>377</v>
      </c>
      <c r="B311" s="21" t="s">
        <v>484</v>
      </c>
      <c r="C311" s="21" t="s">
        <v>485</v>
      </c>
      <c r="D311" s="37" t="n">
        <v>563</v>
      </c>
      <c r="E311" s="37" t="n">
        <v>585</v>
      </c>
      <c r="F311" s="63" t="n">
        <f aca="false">IF(E311="","",D311-E311)</f>
        <v>-22</v>
      </c>
      <c r="G311" s="37" t="n">
        <v>543</v>
      </c>
      <c r="H311" s="37" t="n">
        <v>527</v>
      </c>
      <c r="I311" s="63" t="n">
        <f aca="false">IF(H311="","",G311-H311)</f>
        <v>16</v>
      </c>
      <c r="J311" s="52" t="n">
        <f aca="false">IF(OR(D311="",D311+G311=0),"",D311/(D311+G311))</f>
        <v>0.509041591320072</v>
      </c>
      <c r="K311" s="52" t="n">
        <f aca="false">IF(E311="","",E311/(E311+H311))</f>
        <v>0.526079136690647</v>
      </c>
      <c r="L311" s="64" t="n">
        <f aca="false">IF(OR(K311="",J311=""),"",(J311-K311)*100)</f>
        <v>-1.70375453705751</v>
      </c>
      <c r="M311" s="21"/>
    </row>
    <row r="312" customFormat="false" ht="15" hidden="false" customHeight="false" outlineLevel="0" collapsed="false">
      <c r="A312" s="21" t="s">
        <v>377</v>
      </c>
      <c r="B312" s="21" t="s">
        <v>484</v>
      </c>
      <c r="C312" s="21" t="s">
        <v>486</v>
      </c>
      <c r="D312" s="37" t="n">
        <v>673</v>
      </c>
      <c r="E312" s="37" t="n">
        <v>639</v>
      </c>
      <c r="F312" s="63" t="n">
        <f aca="false">IF(E312="","",D312-E312)</f>
        <v>34</v>
      </c>
      <c r="G312" s="37" t="n">
        <v>891</v>
      </c>
      <c r="H312" s="37" t="n">
        <v>886</v>
      </c>
      <c r="I312" s="63" t="n">
        <f aca="false">IF(H312="","",G312-H312)</f>
        <v>5</v>
      </c>
      <c r="J312" s="52" t="n">
        <f aca="false">IF(OR(D312="",D312+G312=0),"",D312/(D312+G312))</f>
        <v>0.430306905370844</v>
      </c>
      <c r="K312" s="52" t="n">
        <f aca="false">IF(E312="","",E312/(E312+H312))</f>
        <v>0.419016393442623</v>
      </c>
      <c r="L312" s="64" t="n">
        <f aca="false">IF(OR(K312="",J312=""),"",(J312-K312)*100)</f>
        <v>1.12905119282211</v>
      </c>
      <c r="M312" s="21"/>
    </row>
    <row r="313" customFormat="false" ht="15" hidden="false" customHeight="false" outlineLevel="0" collapsed="false">
      <c r="A313" s="21" t="s">
        <v>377</v>
      </c>
      <c r="B313" s="21" t="s">
        <v>484</v>
      </c>
      <c r="C313" s="21" t="s">
        <v>487</v>
      </c>
      <c r="D313" s="37" t="n">
        <v>399</v>
      </c>
      <c r="E313" s="37"/>
      <c r="F313" s="63" t="str">
        <f aca="false">IF(E313="","",D313-E313)</f>
        <v/>
      </c>
      <c r="G313" s="37" t="n">
        <v>577</v>
      </c>
      <c r="H313" s="37"/>
      <c r="I313" s="63" t="str">
        <f aca="false">IF(H313="","",G313-H313)</f>
        <v/>
      </c>
      <c r="J313" s="52" t="n">
        <f aca="false">IF(OR(D313="",D313+G313=0),"",D313/(D313+G313))</f>
        <v>0.408811475409836</v>
      </c>
      <c r="K313" s="52" t="str">
        <f aca="false">IF(E313="","",E313/(E313+H313))</f>
        <v/>
      </c>
      <c r="L313" s="64" t="str">
        <f aca="false">IF(OR(K313="",J313=""),"",(J313-K313)*100)</f>
        <v/>
      </c>
      <c r="M313" s="21" t="s">
        <v>685</v>
      </c>
    </row>
    <row r="314" customFormat="false" ht="15" hidden="false" customHeight="false" outlineLevel="0" collapsed="false">
      <c r="A314" s="21" t="s">
        <v>377</v>
      </c>
      <c r="B314" s="21" t="s">
        <v>484</v>
      </c>
      <c r="C314" s="21" t="s">
        <v>488</v>
      </c>
      <c r="D314" s="37" t="n">
        <v>471</v>
      </c>
      <c r="E314" s="37" t="n">
        <v>496</v>
      </c>
      <c r="F314" s="63" t="n">
        <f aca="false">IF(E314="","",D314-E314)</f>
        <v>-25</v>
      </c>
      <c r="G314" s="37" t="n">
        <v>460</v>
      </c>
      <c r="H314" s="37" t="n">
        <v>458</v>
      </c>
      <c r="I314" s="63" t="n">
        <f aca="false">IF(H314="","",G314-H314)</f>
        <v>2</v>
      </c>
      <c r="J314" s="52" t="n">
        <f aca="false">IF(OR(D314="",D314+G314=0),"",D314/(D314+G314))</f>
        <v>0.505907626208378</v>
      </c>
      <c r="K314" s="52" t="n">
        <f aca="false">IF(E314="","",E314/(E314+H314))</f>
        <v>0.519916142557652</v>
      </c>
      <c r="L314" s="64" t="n">
        <f aca="false">IF(OR(K314="",J314=""),"",(J314-K314)*100)</f>
        <v>-1.40085163492739</v>
      </c>
      <c r="M314" s="21"/>
    </row>
    <row r="315" customFormat="false" ht="15" hidden="false" customHeight="false" outlineLevel="0" collapsed="false">
      <c r="A315" s="21" t="s">
        <v>377</v>
      </c>
      <c r="B315" s="21" t="s">
        <v>484</v>
      </c>
      <c r="C315" s="21" t="s">
        <v>489</v>
      </c>
      <c r="D315" s="37" t="n">
        <v>405</v>
      </c>
      <c r="E315" s="37" t="n">
        <v>423</v>
      </c>
      <c r="F315" s="63" t="n">
        <f aca="false">IF(E315="","",D315-E315)</f>
        <v>-18</v>
      </c>
      <c r="G315" s="37" t="n">
        <v>571</v>
      </c>
      <c r="H315" s="37" t="n">
        <v>592</v>
      </c>
      <c r="I315" s="63" t="n">
        <f aca="false">IF(H315="","",G315-H315)</f>
        <v>-21</v>
      </c>
      <c r="J315" s="52" t="n">
        <f aca="false">IF(OR(D315="",D315+G315=0),"",D315/(D315+G315))</f>
        <v>0.414959016393443</v>
      </c>
      <c r="K315" s="52" t="n">
        <f aca="false">IF(E315="","",E315/(E315+H315))</f>
        <v>0.416748768472906</v>
      </c>
      <c r="L315" s="64" t="n">
        <f aca="false">IF(OR(K315="",J315=""),"",(J315-K315)*100)</f>
        <v>-0.17897520794638</v>
      </c>
      <c r="M315" s="21"/>
    </row>
    <row r="316" customFormat="false" ht="15" hidden="false" customHeight="false" outlineLevel="0" collapsed="false">
      <c r="A316" s="21" t="s">
        <v>377</v>
      </c>
      <c r="B316" s="21" t="s">
        <v>484</v>
      </c>
      <c r="C316" s="21" t="s">
        <v>490</v>
      </c>
      <c r="D316" s="37" t="n">
        <v>763</v>
      </c>
      <c r="E316" s="37"/>
      <c r="F316" s="63" t="str">
        <f aca="false">IF(E316="","",D316-E316)</f>
        <v/>
      </c>
      <c r="G316" s="37" t="n">
        <v>893</v>
      </c>
      <c r="H316" s="37"/>
      <c r="I316" s="63" t="str">
        <f aca="false">IF(H316="","",G316-H316)</f>
        <v/>
      </c>
      <c r="J316" s="52" t="n">
        <f aca="false">IF(OR(D316="",D316+G316=0),"",D316/(D316+G316))</f>
        <v>0.460748792270531</v>
      </c>
      <c r="K316" s="52" t="str">
        <f aca="false">IF(E316="","",E316/(E316+H316))</f>
        <v/>
      </c>
      <c r="L316" s="64" t="str">
        <f aca="false">IF(OR(K316="",J316=""),"",(J316-K316)*100)</f>
        <v/>
      </c>
      <c r="M316" s="21" t="s">
        <v>685</v>
      </c>
    </row>
    <row r="317" customFormat="false" ht="15" hidden="false" customHeight="false" outlineLevel="0" collapsed="false">
      <c r="A317" s="21" t="s">
        <v>377</v>
      </c>
      <c r="B317" s="21" t="s">
        <v>491</v>
      </c>
      <c r="C317" s="21" t="s">
        <v>492</v>
      </c>
      <c r="D317" s="37" t="n">
        <v>374</v>
      </c>
      <c r="E317" s="37" t="n">
        <v>409</v>
      </c>
      <c r="F317" s="63" t="n">
        <f aca="false">IF(E317="","",D317-E317)</f>
        <v>-35</v>
      </c>
      <c r="G317" s="37" t="n">
        <v>787</v>
      </c>
      <c r="H317" s="37" t="n">
        <v>764</v>
      </c>
      <c r="I317" s="63" t="n">
        <f aca="false">IF(H317="","",G317-H317)</f>
        <v>23</v>
      </c>
      <c r="J317" s="52" t="n">
        <f aca="false">IF(OR(D317="",D317+G317=0),"",D317/(D317+G317))</f>
        <v>0.32213608957795</v>
      </c>
      <c r="K317" s="52" t="n">
        <f aca="false">IF(E317="","",E317/(E317+H317))</f>
        <v>0.348678601875533</v>
      </c>
      <c r="L317" s="64" t="n">
        <f aca="false">IF(OR(K317="",J317=""),"",(J317-K317)*100)</f>
        <v>-2.65425122975828</v>
      </c>
      <c r="M317" s="21"/>
    </row>
    <row r="318" customFormat="false" ht="15" hidden="false" customHeight="false" outlineLevel="0" collapsed="false">
      <c r="A318" s="21" t="s">
        <v>377</v>
      </c>
      <c r="B318" s="21" t="s">
        <v>491</v>
      </c>
      <c r="C318" s="21" t="s">
        <v>493</v>
      </c>
      <c r="D318" s="37" t="n">
        <v>766</v>
      </c>
      <c r="E318" s="37" t="n">
        <v>805</v>
      </c>
      <c r="F318" s="63" t="n">
        <f aca="false">IF(E318="","",D318-E318)</f>
        <v>-39</v>
      </c>
      <c r="G318" s="37" t="n">
        <v>1576</v>
      </c>
      <c r="H318" s="37" t="n">
        <v>1577</v>
      </c>
      <c r="I318" s="63" t="n">
        <f aca="false">IF(H318="","",G318-H318)</f>
        <v>-1</v>
      </c>
      <c r="J318" s="52" t="n">
        <f aca="false">IF(OR(D318="",D318+G318=0),"",D318/(D318+G318))</f>
        <v>0.327070879590094</v>
      </c>
      <c r="K318" s="52" t="n">
        <f aca="false">IF(E318="","",E318/(E318+H318))</f>
        <v>0.337951301427372</v>
      </c>
      <c r="L318" s="64" t="n">
        <f aca="false">IF(OR(K318="",J318=""),"",(J318-K318)*100)</f>
        <v>-1.0880421837278</v>
      </c>
      <c r="M318" s="21"/>
    </row>
    <row r="319" customFormat="false" ht="15" hidden="false" customHeight="false" outlineLevel="0" collapsed="false">
      <c r="A319" s="21" t="s">
        <v>377</v>
      </c>
      <c r="B319" s="21" t="s">
        <v>491</v>
      </c>
      <c r="C319" s="21" t="s">
        <v>494</v>
      </c>
      <c r="D319" s="37" t="n">
        <v>522</v>
      </c>
      <c r="E319" s="37" t="n">
        <v>547</v>
      </c>
      <c r="F319" s="63" t="n">
        <f aca="false">IF(E319="","",D319-E319)</f>
        <v>-25</v>
      </c>
      <c r="G319" s="37" t="n">
        <v>1159</v>
      </c>
      <c r="H319" s="37" t="n">
        <v>1179</v>
      </c>
      <c r="I319" s="63" t="n">
        <f aca="false">IF(H319="","",G319-H319)</f>
        <v>-20</v>
      </c>
      <c r="J319" s="52" t="n">
        <f aca="false">IF(OR(D319="",D319+G319=0),"",D319/(D319+G319))</f>
        <v>0.310529446757882</v>
      </c>
      <c r="K319" s="52" t="n">
        <f aca="false">IF(E319="","",E319/(E319+H319))</f>
        <v>0.316917728852839</v>
      </c>
      <c r="L319" s="64" t="n">
        <f aca="false">IF(OR(K319="",J319=""),"",(J319-K319)*100)</f>
        <v>-0.638828209495673</v>
      </c>
      <c r="M319" s="21"/>
    </row>
    <row r="320" customFormat="false" ht="15" hidden="false" customHeight="false" outlineLevel="0" collapsed="false">
      <c r="A320" s="21" t="s">
        <v>377</v>
      </c>
      <c r="B320" s="21" t="s">
        <v>491</v>
      </c>
      <c r="C320" s="21" t="s">
        <v>495</v>
      </c>
      <c r="D320" s="37" t="n">
        <v>248</v>
      </c>
      <c r="E320" s="37" t="n">
        <v>245</v>
      </c>
      <c r="F320" s="63" t="n">
        <f aca="false">IF(E320="","",D320-E320)</f>
        <v>3</v>
      </c>
      <c r="G320" s="37" t="n">
        <v>514</v>
      </c>
      <c r="H320" s="37" t="n">
        <v>537</v>
      </c>
      <c r="I320" s="63" t="n">
        <f aca="false">IF(H320="","",G320-H320)</f>
        <v>-23</v>
      </c>
      <c r="J320" s="52" t="n">
        <f aca="false">IF(OR(D320="",D320+G320=0),"",D320/(D320+G320))</f>
        <v>0.325459317585302</v>
      </c>
      <c r="K320" s="52" t="n">
        <f aca="false">IF(E320="","",E320/(E320+H320))</f>
        <v>0.313299232736573</v>
      </c>
      <c r="L320" s="64" t="n">
        <f aca="false">IF(OR(K320="",J320=""),"",(J320-K320)*100)</f>
        <v>1.21600848487289</v>
      </c>
      <c r="M320" s="21"/>
    </row>
    <row r="321" customFormat="false" ht="15" hidden="false" customHeight="false" outlineLevel="0" collapsed="false">
      <c r="A321" s="21" t="s">
        <v>377</v>
      </c>
      <c r="B321" s="21" t="s">
        <v>496</v>
      </c>
      <c r="C321" s="21" t="s">
        <v>497</v>
      </c>
      <c r="D321" s="37" t="n">
        <v>572</v>
      </c>
      <c r="E321" s="37" t="n">
        <v>601</v>
      </c>
      <c r="F321" s="63" t="n">
        <f aca="false">IF(E321="","",D321-E321)</f>
        <v>-29</v>
      </c>
      <c r="G321" s="37" t="n">
        <v>607</v>
      </c>
      <c r="H321" s="37" t="n">
        <v>605</v>
      </c>
      <c r="I321" s="63" t="n">
        <f aca="false">IF(H321="","",G321-H321)</f>
        <v>2</v>
      </c>
      <c r="J321" s="52" t="n">
        <f aca="false">IF(OR(D321="",D321+G321=0),"",D321/(D321+G321))</f>
        <v>0.485156912637829</v>
      </c>
      <c r="K321" s="52" t="n">
        <f aca="false">IF(E321="","",E321/(E321+H321))</f>
        <v>0.498341625207297</v>
      </c>
      <c r="L321" s="64" t="n">
        <f aca="false">IF(OR(K321="",J321=""),"",(J321-K321)*100)</f>
        <v>-1.31847125694682</v>
      </c>
      <c r="M321" s="21"/>
    </row>
    <row r="322" customFormat="false" ht="15" hidden="false" customHeight="false" outlineLevel="0" collapsed="false">
      <c r="A322" s="21" t="s">
        <v>377</v>
      </c>
      <c r="B322" s="21" t="s">
        <v>496</v>
      </c>
      <c r="C322" s="21" t="s">
        <v>498</v>
      </c>
      <c r="D322" s="37" t="n">
        <v>514</v>
      </c>
      <c r="E322" s="37" t="n">
        <v>523</v>
      </c>
      <c r="F322" s="63" t="n">
        <f aca="false">IF(E322="","",D322-E322)</f>
        <v>-9</v>
      </c>
      <c r="G322" s="37" t="n">
        <v>491</v>
      </c>
      <c r="H322" s="37" t="n">
        <v>542</v>
      </c>
      <c r="I322" s="63" t="n">
        <f aca="false">IF(H322="","",G322-H322)</f>
        <v>-51</v>
      </c>
      <c r="J322" s="52" t="n">
        <f aca="false">IF(OR(D322="",D322+G322=0),"",D322/(D322+G322))</f>
        <v>0.511442786069652</v>
      </c>
      <c r="K322" s="52" t="n">
        <f aca="false">IF(E322="","",E322/(E322+H322))</f>
        <v>0.491079812206573</v>
      </c>
      <c r="L322" s="64" t="n">
        <f aca="false">IF(OR(K322="",J322=""),"",(J322-K322)*100)</f>
        <v>2.0362973863079</v>
      </c>
      <c r="M322" s="21"/>
    </row>
    <row r="323" customFormat="false" ht="15" hidden="false" customHeight="false" outlineLevel="0" collapsed="false">
      <c r="A323" s="21" t="s">
        <v>377</v>
      </c>
      <c r="B323" s="21" t="s">
        <v>496</v>
      </c>
      <c r="C323" s="21" t="s">
        <v>499</v>
      </c>
      <c r="D323" s="37" t="n">
        <v>472</v>
      </c>
      <c r="E323" s="37" t="n">
        <v>472</v>
      </c>
      <c r="F323" s="63" t="n">
        <f aca="false">IF(E323="","",D323-E323)</f>
        <v>0</v>
      </c>
      <c r="G323" s="37" t="n">
        <v>510</v>
      </c>
      <c r="H323" s="37" t="n">
        <v>517</v>
      </c>
      <c r="I323" s="63" t="n">
        <f aca="false">IF(H323="","",G323-H323)</f>
        <v>-7</v>
      </c>
      <c r="J323" s="52" t="n">
        <f aca="false">IF(OR(D323="",D323+G323=0),"",D323/(D323+G323))</f>
        <v>0.480651731160896</v>
      </c>
      <c r="K323" s="52" t="n">
        <f aca="false">IF(E323="","",E323/(E323+H323))</f>
        <v>0.477249747219414</v>
      </c>
      <c r="L323" s="64" t="n">
        <f aca="false">IF(OR(K323="",J323=""),"",(J323-K323)*100)</f>
        <v>0.340198394148261</v>
      </c>
      <c r="M323" s="21"/>
    </row>
    <row r="324" customFormat="false" ht="15" hidden="false" customHeight="false" outlineLevel="0" collapsed="false">
      <c r="A324" s="21" t="s">
        <v>377</v>
      </c>
      <c r="B324" s="21" t="s">
        <v>500</v>
      </c>
      <c r="C324" s="21" t="s">
        <v>501</v>
      </c>
      <c r="D324" s="37" t="n">
        <v>237</v>
      </c>
      <c r="E324" s="37" t="n">
        <v>222</v>
      </c>
      <c r="F324" s="63" t="n">
        <f aca="false">IF(E324="","",D324-E324)</f>
        <v>15</v>
      </c>
      <c r="G324" s="37" t="n">
        <v>292</v>
      </c>
      <c r="H324" s="37" t="n">
        <v>276</v>
      </c>
      <c r="I324" s="63" t="n">
        <f aca="false">IF(H324="","",G324-H324)</f>
        <v>16</v>
      </c>
      <c r="J324" s="52" t="n">
        <f aca="false">IF(OR(D324="",D324+G324=0),"",D324/(D324+G324))</f>
        <v>0.448015122873346</v>
      </c>
      <c r="K324" s="52" t="n">
        <f aca="false">IF(E324="","",E324/(E324+H324))</f>
        <v>0.445783132530121</v>
      </c>
      <c r="L324" s="64" t="n">
        <f aca="false">IF(OR(K324="",J324=""),"",(J324-K324)*100)</f>
        <v>0.223199034322547</v>
      </c>
      <c r="M324" s="21"/>
    </row>
    <row r="325" customFormat="false" ht="15" hidden="false" customHeight="false" outlineLevel="0" collapsed="false">
      <c r="A325" s="21" t="s">
        <v>377</v>
      </c>
      <c r="B325" s="21" t="s">
        <v>500</v>
      </c>
      <c r="C325" s="21" t="s">
        <v>502</v>
      </c>
      <c r="D325" s="37" t="n">
        <v>618</v>
      </c>
      <c r="E325" s="37" t="n">
        <v>625</v>
      </c>
      <c r="F325" s="63" t="n">
        <f aca="false">IF(E325="","",D325-E325)</f>
        <v>-7</v>
      </c>
      <c r="G325" s="37" t="n">
        <v>631</v>
      </c>
      <c r="H325" s="37" t="n">
        <v>613</v>
      </c>
      <c r="I325" s="63" t="n">
        <f aca="false">IF(H325="","",G325-H325)</f>
        <v>18</v>
      </c>
      <c r="J325" s="52" t="n">
        <f aca="false">IF(OR(D325="",D325+G325=0),"",D325/(D325+G325))</f>
        <v>0.494795836669335</v>
      </c>
      <c r="K325" s="52" t="n">
        <f aca="false">IF(E325="","",E325/(E325+H325))</f>
        <v>0.504846526655897</v>
      </c>
      <c r="L325" s="64" t="n">
        <f aca="false">IF(OR(K325="",J325=""),"",(J325-K325)*100)</f>
        <v>-1.00506899865611</v>
      </c>
      <c r="M325" s="21"/>
    </row>
    <row r="326" customFormat="false" ht="15" hidden="false" customHeight="false" outlineLevel="0" collapsed="false">
      <c r="A326" s="21" t="s">
        <v>377</v>
      </c>
      <c r="B326" s="21" t="s">
        <v>503</v>
      </c>
      <c r="C326" s="21" t="s">
        <v>504</v>
      </c>
      <c r="D326" s="37" t="n">
        <v>656</v>
      </c>
      <c r="E326" s="37" t="n">
        <v>628</v>
      </c>
      <c r="F326" s="63" t="n">
        <f aca="false">IF(E326="","",D326-E326)</f>
        <v>28</v>
      </c>
      <c r="G326" s="37" t="n">
        <v>742</v>
      </c>
      <c r="H326" s="37" t="n">
        <v>719</v>
      </c>
      <c r="I326" s="63" t="n">
        <f aca="false">IF(H326="","",G326-H326)</f>
        <v>23</v>
      </c>
      <c r="J326" s="52" t="n">
        <f aca="false">IF(OR(D326="",D326+G326=0),"",D326/(D326+G326))</f>
        <v>0.469241773962804</v>
      </c>
      <c r="K326" s="52" t="n">
        <f aca="false">IF(E326="","",E326/(E326+H326))</f>
        <v>0.466221232368226</v>
      </c>
      <c r="L326" s="64" t="n">
        <f aca="false">IF(OR(K326="",J326=""),"",(J326-K326)*100)</f>
        <v>0.302054159457832</v>
      </c>
      <c r="M326" s="21"/>
    </row>
    <row r="327" customFormat="false" ht="15" hidden="false" customHeight="false" outlineLevel="0" collapsed="false">
      <c r="A327" s="21" t="s">
        <v>377</v>
      </c>
      <c r="B327" s="21" t="s">
        <v>503</v>
      </c>
      <c r="C327" s="21" t="s">
        <v>505</v>
      </c>
      <c r="D327" s="37" t="n">
        <v>579</v>
      </c>
      <c r="E327" s="37" t="n">
        <v>588</v>
      </c>
      <c r="F327" s="63" t="n">
        <f aca="false">IF(E327="","",D327-E327)</f>
        <v>-9</v>
      </c>
      <c r="G327" s="37" t="n">
        <v>632</v>
      </c>
      <c r="H327" s="37" t="n">
        <v>628</v>
      </c>
      <c r="I327" s="63" t="n">
        <f aca="false">IF(H327="","",G327-H327)</f>
        <v>4</v>
      </c>
      <c r="J327" s="52" t="n">
        <f aca="false">IF(OR(D327="",D327+G327=0),"",D327/(D327+G327))</f>
        <v>0.478117258464079</v>
      </c>
      <c r="K327" s="52" t="n">
        <f aca="false">IF(E327="","",E327/(E327+H327))</f>
        <v>0.483552631578947</v>
      </c>
      <c r="L327" s="64" t="n">
        <f aca="false">IF(OR(K327="",J327=""),"",(J327-K327)*100)</f>
        <v>-0.543537311486808</v>
      </c>
      <c r="M327" s="21"/>
    </row>
    <row r="328" customFormat="false" ht="15" hidden="false" customHeight="false" outlineLevel="0" collapsed="false">
      <c r="A328" s="21" t="s">
        <v>377</v>
      </c>
      <c r="B328" s="21" t="s">
        <v>503</v>
      </c>
      <c r="C328" s="21" t="s">
        <v>506</v>
      </c>
      <c r="D328" s="37" t="n">
        <v>1201</v>
      </c>
      <c r="E328" s="37" t="n">
        <v>1120</v>
      </c>
      <c r="F328" s="63" t="n">
        <f aca="false">IF(E328="","",D328-E328)</f>
        <v>81</v>
      </c>
      <c r="G328" s="37" t="n">
        <v>1336</v>
      </c>
      <c r="H328" s="37" t="n">
        <v>1352</v>
      </c>
      <c r="I328" s="63" t="n">
        <f aca="false">IF(H328="","",G328-H328)</f>
        <v>-16</v>
      </c>
      <c r="J328" s="52" t="n">
        <f aca="false">IF(OR(D328="",D328+G328=0),"",D328/(D328+G328))</f>
        <v>0.473393772171857</v>
      </c>
      <c r="K328" s="52" t="n">
        <f aca="false">IF(E328="","",E328/(E328+H328))</f>
        <v>0.453074433656958</v>
      </c>
      <c r="L328" s="64" t="n">
        <f aca="false">IF(OR(K328="",J328=""),"",(J328-K328)*100)</f>
        <v>2.03193385148986</v>
      </c>
      <c r="M328" s="21"/>
    </row>
    <row r="329" customFormat="false" ht="15" hidden="false" customHeight="false" outlineLevel="0" collapsed="false">
      <c r="A329" s="21" t="s">
        <v>377</v>
      </c>
      <c r="B329" s="21" t="s">
        <v>503</v>
      </c>
      <c r="C329" s="21" t="s">
        <v>507</v>
      </c>
      <c r="D329" s="37" t="n">
        <v>260</v>
      </c>
      <c r="E329" s="37" t="n">
        <v>237</v>
      </c>
      <c r="F329" s="63" t="n">
        <f aca="false">IF(E329="","",D329-E329)</f>
        <v>23</v>
      </c>
      <c r="G329" s="37" t="n">
        <v>307</v>
      </c>
      <c r="H329" s="37" t="n">
        <v>324</v>
      </c>
      <c r="I329" s="63" t="n">
        <f aca="false">IF(H329="","",G329-H329)</f>
        <v>-17</v>
      </c>
      <c r="J329" s="52" t="n">
        <f aca="false">IF(OR(D329="",D329+G329=0),"",D329/(D329+G329))</f>
        <v>0.458553791887125</v>
      </c>
      <c r="K329" s="52" t="n">
        <f aca="false">IF(E329="","",E329/(E329+H329))</f>
        <v>0.422459893048128</v>
      </c>
      <c r="L329" s="64" t="n">
        <f aca="false">IF(OR(K329="",J329=""),"",(J329-K329)*100)</f>
        <v>3.60938988389968</v>
      </c>
      <c r="M329" s="21"/>
    </row>
    <row r="330" customFormat="false" ht="15" hidden="false" customHeight="false" outlineLevel="0" collapsed="false">
      <c r="A330" s="21" t="s">
        <v>377</v>
      </c>
      <c r="B330" s="21" t="s">
        <v>508</v>
      </c>
      <c r="C330" s="21" t="s">
        <v>509</v>
      </c>
      <c r="D330" s="37" t="n">
        <v>650</v>
      </c>
      <c r="E330" s="37" t="n">
        <v>600</v>
      </c>
      <c r="F330" s="63" t="n">
        <f aca="false">IF(E330="","",D330-E330)</f>
        <v>50</v>
      </c>
      <c r="G330" s="37" t="n">
        <v>675</v>
      </c>
      <c r="H330" s="37" t="n">
        <v>681</v>
      </c>
      <c r="I330" s="63" t="n">
        <f aca="false">IF(H330="","",G330-H330)</f>
        <v>-6</v>
      </c>
      <c r="J330" s="52" t="n">
        <f aca="false">IF(OR(D330="",D330+G330=0),"",D330/(D330+G330))</f>
        <v>0.490566037735849</v>
      </c>
      <c r="K330" s="52" t="n">
        <f aca="false">IF(E330="","",E330/(E330+H330))</f>
        <v>0.468384074941452</v>
      </c>
      <c r="L330" s="64" t="n">
        <f aca="false">IF(OR(K330="",J330=""),"",(J330-K330)*100)</f>
        <v>2.21819627943971</v>
      </c>
      <c r="M330" s="21"/>
    </row>
    <row r="331" customFormat="false" ht="15" hidden="false" customHeight="false" outlineLevel="0" collapsed="false">
      <c r="A331" s="21" t="s">
        <v>377</v>
      </c>
      <c r="B331" s="21" t="s">
        <v>508</v>
      </c>
      <c r="C331" s="21" t="s">
        <v>510</v>
      </c>
      <c r="D331" s="37" t="n">
        <v>516</v>
      </c>
      <c r="E331" s="37"/>
      <c r="F331" s="63" t="str">
        <f aca="false">IF(E331="","",D331-E331)</f>
        <v/>
      </c>
      <c r="G331" s="37" t="n">
        <v>489</v>
      </c>
      <c r="H331" s="37"/>
      <c r="I331" s="63" t="str">
        <f aca="false">IF(H331="","",G331-H331)</f>
        <v/>
      </c>
      <c r="J331" s="52" t="n">
        <f aca="false">IF(OR(D331="",D331+G331=0),"",D331/(D331+G331))</f>
        <v>0.513432835820896</v>
      </c>
      <c r="K331" s="52" t="str">
        <f aca="false">IF(E331="","",E331/(E331+H331))</f>
        <v/>
      </c>
      <c r="L331" s="64" t="str">
        <f aca="false">IF(OR(K331="",J331=""),"",(J331-K331)*100)</f>
        <v/>
      </c>
      <c r="M331" s="21" t="s">
        <v>685</v>
      </c>
    </row>
    <row r="332" customFormat="false" ht="15" hidden="false" customHeight="false" outlineLevel="0" collapsed="false">
      <c r="A332" s="21" t="s">
        <v>377</v>
      </c>
      <c r="B332" s="21" t="s">
        <v>508</v>
      </c>
      <c r="C332" s="21" t="s">
        <v>511</v>
      </c>
      <c r="D332" s="37" t="n">
        <v>757</v>
      </c>
      <c r="E332" s="37"/>
      <c r="F332" s="63" t="str">
        <f aca="false">IF(E332="","",D332-E332)</f>
        <v/>
      </c>
      <c r="G332" s="37" t="n">
        <v>784</v>
      </c>
      <c r="H332" s="37"/>
      <c r="I332" s="63" t="str">
        <f aca="false">IF(H332="","",G332-H332)</f>
        <v/>
      </c>
      <c r="J332" s="52" t="n">
        <f aca="false">IF(OR(D332="",D332+G332=0),"",D332/(D332+G332))</f>
        <v>0.491239454899416</v>
      </c>
      <c r="K332" s="52" t="str">
        <f aca="false">IF(E332="","",E332/(E332+H332))</f>
        <v/>
      </c>
      <c r="L332" s="64" t="str">
        <f aca="false">IF(OR(K332="",J332=""),"",(J332-K332)*100)</f>
        <v/>
      </c>
      <c r="M332" s="21" t="s">
        <v>685</v>
      </c>
    </row>
    <row r="333" customFormat="false" ht="15" hidden="false" customHeight="false" outlineLevel="0" collapsed="false">
      <c r="A333" s="21" t="s">
        <v>377</v>
      </c>
      <c r="B333" s="21" t="s">
        <v>508</v>
      </c>
      <c r="C333" s="21" t="s">
        <v>512</v>
      </c>
      <c r="D333" s="37" t="n">
        <v>850</v>
      </c>
      <c r="E333" s="37" t="n">
        <v>824</v>
      </c>
      <c r="F333" s="63" t="n">
        <f aca="false">IF(E333="","",D333-E333)</f>
        <v>26</v>
      </c>
      <c r="G333" s="37" t="n">
        <v>797</v>
      </c>
      <c r="H333" s="37" t="n">
        <v>795</v>
      </c>
      <c r="I333" s="63" t="n">
        <f aca="false">IF(H333="","",G333-H333)</f>
        <v>2</v>
      </c>
      <c r="J333" s="52" t="n">
        <f aca="false">IF(OR(D333="",D333+G333=0),"",D333/(D333+G333))</f>
        <v>0.516089860352155</v>
      </c>
      <c r="K333" s="52" t="n">
        <f aca="false">IF(E333="","",E333/(E333+H333))</f>
        <v>0.508956145768993</v>
      </c>
      <c r="L333" s="64" t="n">
        <f aca="false">IF(OR(K333="",J333=""),"",(J333-K333)*100)</f>
        <v>0.713371458316225</v>
      </c>
      <c r="M333" s="21"/>
    </row>
    <row r="334" customFormat="false" ht="15" hidden="false" customHeight="false" outlineLevel="0" collapsed="false">
      <c r="A334" s="21" t="s">
        <v>377</v>
      </c>
      <c r="B334" s="21" t="s">
        <v>508</v>
      </c>
      <c r="C334" s="21" t="s">
        <v>513</v>
      </c>
      <c r="D334" s="37" t="n">
        <v>1206</v>
      </c>
      <c r="E334" s="37" t="n">
        <v>1193</v>
      </c>
      <c r="F334" s="63" t="n">
        <f aca="false">IF(E334="","",D334-E334)</f>
        <v>13</v>
      </c>
      <c r="G334" s="37" t="n">
        <v>1279</v>
      </c>
      <c r="H334" s="37" t="n">
        <v>1334</v>
      </c>
      <c r="I334" s="63" t="n">
        <f aca="false">IF(H334="","",G334-H334)</f>
        <v>-55</v>
      </c>
      <c r="J334" s="52" t="n">
        <f aca="false">IF(OR(D334="",D334+G334=0),"",D334/(D334+G334))</f>
        <v>0.485311871227364</v>
      </c>
      <c r="K334" s="52" t="n">
        <f aca="false">IF(E334="","",E334/(E334+H334))</f>
        <v>0.47210130589632</v>
      </c>
      <c r="L334" s="64" t="n">
        <f aca="false">IF(OR(K334="",J334=""),"",(J334-K334)*100)</f>
        <v>1.32105653310444</v>
      </c>
      <c r="M334" s="21"/>
    </row>
    <row r="335" customFormat="false" ht="15" hidden="false" customHeight="false" outlineLevel="0" collapsed="false">
      <c r="A335" s="21" t="s">
        <v>377</v>
      </c>
      <c r="B335" s="21" t="s">
        <v>508</v>
      </c>
      <c r="C335" s="21" t="s">
        <v>514</v>
      </c>
      <c r="D335" s="37" t="n">
        <v>749</v>
      </c>
      <c r="E335" s="37" t="n">
        <v>755</v>
      </c>
      <c r="F335" s="63" t="n">
        <f aca="false">IF(E335="","",D335-E335)</f>
        <v>-6</v>
      </c>
      <c r="G335" s="37" t="n">
        <v>806</v>
      </c>
      <c r="H335" s="37" t="n">
        <v>789</v>
      </c>
      <c r="I335" s="63" t="n">
        <f aca="false">IF(H335="","",G335-H335)</f>
        <v>17</v>
      </c>
      <c r="J335" s="52" t="n">
        <f aca="false">IF(OR(D335="",D335+G335=0),"",D335/(D335+G335))</f>
        <v>0.481672025723473</v>
      </c>
      <c r="K335" s="52" t="n">
        <f aca="false">IF(E335="","",E335/(E335+H335))</f>
        <v>0.4889896373057</v>
      </c>
      <c r="L335" s="64" t="n">
        <f aca="false">IF(OR(K335="",J335=""),"",(J335-K335)*100)</f>
        <v>-0.731761158222682</v>
      </c>
      <c r="M335" s="21"/>
    </row>
    <row r="336" customFormat="false" ht="15" hidden="false" customHeight="false" outlineLevel="0" collapsed="false">
      <c r="A336" s="21" t="s">
        <v>377</v>
      </c>
      <c r="B336" s="21" t="s">
        <v>508</v>
      </c>
      <c r="C336" s="21" t="s">
        <v>515</v>
      </c>
      <c r="D336" s="37" t="n">
        <v>776</v>
      </c>
      <c r="E336" s="37"/>
      <c r="F336" s="63" t="str">
        <f aca="false">IF(E336="","",D336-E336)</f>
        <v/>
      </c>
      <c r="G336" s="37" t="n">
        <v>674</v>
      </c>
      <c r="H336" s="37"/>
      <c r="I336" s="63" t="str">
        <f aca="false">IF(H336="","",G336-H336)</f>
        <v/>
      </c>
      <c r="J336" s="52" t="n">
        <f aca="false">IF(OR(D336="",D336+G336=0),"",D336/(D336+G336))</f>
        <v>0.535172413793103</v>
      </c>
      <c r="K336" s="52" t="str">
        <f aca="false">IF(E336="","",E336/(E336+H336))</f>
        <v/>
      </c>
      <c r="L336" s="64" t="str">
        <f aca="false">IF(OR(K336="",J336=""),"",(J336-K336)*100)</f>
        <v/>
      </c>
      <c r="M336" s="21" t="s">
        <v>685</v>
      </c>
    </row>
    <row r="337" customFormat="false" ht="15" hidden="false" customHeight="false" outlineLevel="0" collapsed="false">
      <c r="A337" s="21" t="s">
        <v>377</v>
      </c>
      <c r="B337" s="21" t="s">
        <v>508</v>
      </c>
      <c r="C337" s="21" t="s">
        <v>516</v>
      </c>
      <c r="D337" s="37" t="n">
        <v>701</v>
      </c>
      <c r="E337" s="37"/>
      <c r="F337" s="63" t="str">
        <f aca="false">IF(E337="","",D337-E337)</f>
        <v/>
      </c>
      <c r="G337" s="37" t="n">
        <v>776</v>
      </c>
      <c r="H337" s="37"/>
      <c r="I337" s="63" t="str">
        <f aca="false">IF(H337="","",G337-H337)</f>
        <v/>
      </c>
      <c r="J337" s="52" t="n">
        <f aca="false">IF(OR(D337="",D337+G337=0),"",D337/(D337+G337))</f>
        <v>0.474610697359513</v>
      </c>
      <c r="K337" s="52" t="str">
        <f aca="false">IF(E337="","",E337/(E337+H337))</f>
        <v/>
      </c>
      <c r="L337" s="64" t="str">
        <f aca="false">IF(OR(K337="",J337=""),"",(J337-K337)*100)</f>
        <v/>
      </c>
      <c r="M337" s="21" t="s">
        <v>685</v>
      </c>
    </row>
    <row r="338" customFormat="false" ht="15" hidden="false" customHeight="false" outlineLevel="0" collapsed="false">
      <c r="A338" s="21" t="s">
        <v>377</v>
      </c>
      <c r="B338" s="21" t="s">
        <v>508</v>
      </c>
      <c r="C338" s="21" t="s">
        <v>517</v>
      </c>
      <c r="D338" s="37" t="n">
        <v>750</v>
      </c>
      <c r="E338" s="37"/>
      <c r="F338" s="63" t="str">
        <f aca="false">IF(E338="","",D338-E338)</f>
        <v/>
      </c>
      <c r="G338" s="37" t="n">
        <v>886</v>
      </c>
      <c r="H338" s="37"/>
      <c r="I338" s="63" t="str">
        <f aca="false">IF(H338="","",G338-H338)</f>
        <v/>
      </c>
      <c r="J338" s="52" t="n">
        <f aca="false">IF(OR(D338="",D338+G338=0),"",D338/(D338+G338))</f>
        <v>0.458435207823961</v>
      </c>
      <c r="K338" s="52" t="str">
        <f aca="false">IF(E338="","",E338/(E338+H338))</f>
        <v/>
      </c>
      <c r="L338" s="64" t="str">
        <f aca="false">IF(OR(K338="",J338=""),"",(J338-K338)*100)</f>
        <v/>
      </c>
      <c r="M338" s="21" t="s">
        <v>685</v>
      </c>
    </row>
    <row r="339" customFormat="false" ht="15" hidden="false" customHeight="false" outlineLevel="0" collapsed="false">
      <c r="A339" s="21" t="s">
        <v>377</v>
      </c>
      <c r="B339" s="21" t="s">
        <v>518</v>
      </c>
      <c r="C339" s="21" t="s">
        <v>519</v>
      </c>
      <c r="D339" s="37" t="n">
        <v>105</v>
      </c>
      <c r="E339" s="37" t="n">
        <v>112</v>
      </c>
      <c r="F339" s="63" t="n">
        <f aca="false">IF(E339="","",D339-E339)</f>
        <v>-7</v>
      </c>
      <c r="G339" s="37" t="n">
        <v>191</v>
      </c>
      <c r="H339" s="37" t="n">
        <v>199</v>
      </c>
      <c r="I339" s="63" t="n">
        <f aca="false">IF(H339="","",G339-H339)</f>
        <v>-8</v>
      </c>
      <c r="J339" s="52" t="n">
        <f aca="false">IF(OR(D339="",D339+G339=0),"",D339/(D339+G339))</f>
        <v>0.35472972972973</v>
      </c>
      <c r="K339" s="52" t="n">
        <f aca="false">IF(E339="","",E339/(E339+H339))</f>
        <v>0.360128617363344</v>
      </c>
      <c r="L339" s="64" t="n">
        <f aca="false">IF(OR(K339="",J339=""),"",(J339-K339)*100)</f>
        <v>-0.539888763361435</v>
      </c>
      <c r="M339" s="21"/>
    </row>
    <row r="340" customFormat="false" ht="15" hidden="false" customHeight="false" outlineLevel="0" collapsed="false">
      <c r="A340" s="21" t="s">
        <v>377</v>
      </c>
      <c r="B340" s="21" t="s">
        <v>518</v>
      </c>
      <c r="C340" s="21" t="s">
        <v>520</v>
      </c>
      <c r="D340" s="37" t="n">
        <v>240</v>
      </c>
      <c r="E340" s="37" t="n">
        <v>259</v>
      </c>
      <c r="F340" s="63" t="n">
        <f aca="false">IF(E340="","",D340-E340)</f>
        <v>-19</v>
      </c>
      <c r="G340" s="37" t="n">
        <v>473</v>
      </c>
      <c r="H340" s="37" t="n">
        <v>480</v>
      </c>
      <c r="I340" s="63" t="n">
        <f aca="false">IF(H340="","",G340-H340)</f>
        <v>-7</v>
      </c>
      <c r="J340" s="52" t="n">
        <f aca="false">IF(OR(D340="",D340+G340=0),"",D340/(D340+G340))</f>
        <v>0.336605890603086</v>
      </c>
      <c r="K340" s="52" t="n">
        <f aca="false">IF(E340="","",E340/(E340+H340))</f>
        <v>0.350473612990528</v>
      </c>
      <c r="L340" s="64" t="n">
        <f aca="false">IF(OR(K340="",J340=""),"",(J340-K340)*100)</f>
        <v>-1.38677223874422</v>
      </c>
      <c r="M340" s="21"/>
    </row>
    <row r="341" customFormat="false" ht="15" hidden="false" customHeight="false" outlineLevel="0" collapsed="false">
      <c r="A341" s="21" t="s">
        <v>377</v>
      </c>
      <c r="B341" s="21" t="s">
        <v>518</v>
      </c>
      <c r="C341" s="21" t="s">
        <v>521</v>
      </c>
      <c r="D341" s="37" t="n">
        <v>198</v>
      </c>
      <c r="E341" s="37" t="n">
        <v>204</v>
      </c>
      <c r="F341" s="63" t="n">
        <f aca="false">IF(E341="","",D341-E341)</f>
        <v>-6</v>
      </c>
      <c r="G341" s="37" t="n">
        <v>298</v>
      </c>
      <c r="H341" s="37" t="n">
        <v>301</v>
      </c>
      <c r="I341" s="63" t="n">
        <f aca="false">IF(H341="","",G341-H341)</f>
        <v>-3</v>
      </c>
      <c r="J341" s="52" t="n">
        <f aca="false">IF(OR(D341="",D341+G341=0),"",D341/(D341+G341))</f>
        <v>0.399193548387097</v>
      </c>
      <c r="K341" s="52" t="n">
        <f aca="false">IF(E341="","",E341/(E341+H341))</f>
        <v>0.403960396039604</v>
      </c>
      <c r="L341" s="64" t="n">
        <f aca="false">IF(OR(K341="",J341=""),"",(J341-K341)*100)</f>
        <v>-0.476684765250723</v>
      </c>
      <c r="M341" s="21"/>
    </row>
    <row r="342" customFormat="false" ht="15" hidden="false" customHeight="false" outlineLevel="0" collapsed="false">
      <c r="A342" s="21" t="s">
        <v>377</v>
      </c>
      <c r="B342" s="21" t="s">
        <v>518</v>
      </c>
      <c r="C342" s="21" t="s">
        <v>522</v>
      </c>
      <c r="D342" s="37" t="n">
        <v>139</v>
      </c>
      <c r="E342" s="37" t="n">
        <v>128</v>
      </c>
      <c r="F342" s="63" t="n">
        <f aca="false">IF(E342="","",D342-E342)</f>
        <v>11</v>
      </c>
      <c r="G342" s="37" t="n">
        <v>197</v>
      </c>
      <c r="H342" s="37" t="n">
        <v>200</v>
      </c>
      <c r="I342" s="63" t="n">
        <f aca="false">IF(H342="","",G342-H342)</f>
        <v>-3</v>
      </c>
      <c r="J342" s="52" t="n">
        <f aca="false">IF(OR(D342="",D342+G342=0),"",D342/(D342+G342))</f>
        <v>0.413690476190476</v>
      </c>
      <c r="K342" s="52" t="n">
        <f aca="false">IF(E342="","",E342/(E342+H342))</f>
        <v>0.390243902439024</v>
      </c>
      <c r="L342" s="64" t="n">
        <f aca="false">IF(OR(K342="",J342=""),"",(J342-K342)*100)</f>
        <v>2.34465737514518</v>
      </c>
      <c r="M342" s="21"/>
    </row>
    <row r="343" customFormat="false" ht="15" hidden="false" customHeight="false" outlineLevel="0" collapsed="false">
      <c r="A343" s="21" t="s">
        <v>377</v>
      </c>
      <c r="B343" s="21" t="s">
        <v>523</v>
      </c>
      <c r="C343" s="21" t="s">
        <v>524</v>
      </c>
      <c r="D343" s="37" t="n">
        <v>385</v>
      </c>
      <c r="E343" s="37" t="n">
        <v>412</v>
      </c>
      <c r="F343" s="63" t="n">
        <f aca="false">IF(E343="","",D343-E343)</f>
        <v>-27</v>
      </c>
      <c r="G343" s="37" t="n">
        <v>807</v>
      </c>
      <c r="H343" s="37" t="n">
        <v>767</v>
      </c>
      <c r="I343" s="63" t="n">
        <f aca="false">IF(H343="","",G343-H343)</f>
        <v>40</v>
      </c>
      <c r="J343" s="52" t="n">
        <f aca="false">IF(OR(D343="",D343+G343=0),"",D343/(D343+G343))</f>
        <v>0.322986577181208</v>
      </c>
      <c r="K343" s="52" t="n">
        <f aca="false">IF(E343="","",E343/(E343+H343))</f>
        <v>0.349448685326548</v>
      </c>
      <c r="L343" s="64" t="n">
        <f aca="false">IF(OR(K343="",J343=""),"",(J343-K343)*100)</f>
        <v>-2.64621081453399</v>
      </c>
      <c r="M343" s="21"/>
    </row>
    <row r="344" customFormat="false" ht="15" hidden="false" customHeight="false" outlineLevel="0" collapsed="false">
      <c r="A344" s="21" t="s">
        <v>377</v>
      </c>
      <c r="B344" s="21" t="s">
        <v>523</v>
      </c>
      <c r="C344" s="21" t="s">
        <v>525</v>
      </c>
      <c r="D344" s="37" t="n">
        <v>324</v>
      </c>
      <c r="E344" s="37" t="n">
        <v>361</v>
      </c>
      <c r="F344" s="63" t="n">
        <f aca="false">IF(E344="","",D344-E344)</f>
        <v>-37</v>
      </c>
      <c r="G344" s="37" t="n">
        <v>662</v>
      </c>
      <c r="H344" s="37" t="n">
        <v>633</v>
      </c>
      <c r="I344" s="63" t="n">
        <f aca="false">IF(H344="","",G344-H344)</f>
        <v>29</v>
      </c>
      <c r="J344" s="52" t="n">
        <f aca="false">IF(OR(D344="",D344+G344=0),"",D344/(D344+G344))</f>
        <v>0.328600405679513</v>
      </c>
      <c r="K344" s="52" t="n">
        <f aca="false">IF(E344="","",E344/(E344+H344))</f>
        <v>0.36317907444668</v>
      </c>
      <c r="L344" s="64" t="n">
        <f aca="false">IF(OR(K344="",J344=""),"",(J344-K344)*100)</f>
        <v>-3.45786687671669</v>
      </c>
      <c r="M344" s="21"/>
    </row>
    <row r="345" customFormat="false" ht="15" hidden="false" customHeight="false" outlineLevel="0" collapsed="false">
      <c r="A345" s="21" t="s">
        <v>377</v>
      </c>
      <c r="B345" s="21" t="s">
        <v>523</v>
      </c>
      <c r="C345" s="21" t="s">
        <v>526</v>
      </c>
      <c r="D345" s="37" t="n">
        <v>280</v>
      </c>
      <c r="E345" s="37" t="n">
        <v>286</v>
      </c>
      <c r="F345" s="63" t="n">
        <f aca="false">IF(E345="","",D345-E345)</f>
        <v>-6</v>
      </c>
      <c r="G345" s="37" t="n">
        <v>596</v>
      </c>
      <c r="H345" s="37" t="n">
        <v>553</v>
      </c>
      <c r="I345" s="63" t="n">
        <f aca="false">IF(H345="","",G345-H345)</f>
        <v>43</v>
      </c>
      <c r="J345" s="52" t="n">
        <f aca="false">IF(OR(D345="",D345+G345=0),"",D345/(D345+G345))</f>
        <v>0.319634703196347</v>
      </c>
      <c r="K345" s="52" t="n">
        <f aca="false">IF(E345="","",E345/(E345+H345))</f>
        <v>0.34088200238379</v>
      </c>
      <c r="L345" s="64" t="n">
        <f aca="false">IF(OR(K345="",J345=""),"",(J345-K345)*100)</f>
        <v>-2.12472991874432</v>
      </c>
      <c r="M345" s="21"/>
    </row>
    <row r="346" customFormat="false" ht="15" hidden="false" customHeight="false" outlineLevel="0" collapsed="false">
      <c r="A346" s="21" t="s">
        <v>377</v>
      </c>
      <c r="B346" s="21" t="s">
        <v>523</v>
      </c>
      <c r="C346" s="21" t="s">
        <v>527</v>
      </c>
      <c r="D346" s="37" t="n">
        <v>286</v>
      </c>
      <c r="E346" s="37" t="n">
        <v>302</v>
      </c>
      <c r="F346" s="63" t="n">
        <f aca="false">IF(E346="","",D346-E346)</f>
        <v>-16</v>
      </c>
      <c r="G346" s="37" t="n">
        <v>610</v>
      </c>
      <c r="H346" s="37" t="n">
        <v>608</v>
      </c>
      <c r="I346" s="63" t="n">
        <f aca="false">IF(H346="","",G346-H346)</f>
        <v>2</v>
      </c>
      <c r="J346" s="52" t="n">
        <f aca="false">IF(OR(D346="",D346+G346=0),"",D346/(D346+G346))</f>
        <v>0.319196428571429</v>
      </c>
      <c r="K346" s="52" t="n">
        <f aca="false">IF(E346="","",E346/(E346+H346))</f>
        <v>0.331868131868132</v>
      </c>
      <c r="L346" s="64" t="n">
        <f aca="false">IF(OR(K346="",J346=""),"",(J346-K346)*100)</f>
        <v>-1.26717032967033</v>
      </c>
      <c r="M346" s="21"/>
    </row>
    <row r="347" customFormat="false" ht="15" hidden="false" customHeight="false" outlineLevel="0" collapsed="false">
      <c r="A347" s="21" t="s">
        <v>377</v>
      </c>
      <c r="B347" s="21" t="s">
        <v>528</v>
      </c>
      <c r="C347" s="21" t="s">
        <v>529</v>
      </c>
      <c r="D347" s="37" t="n">
        <v>75</v>
      </c>
      <c r="E347" s="37" t="n">
        <v>92</v>
      </c>
      <c r="F347" s="63" t="n">
        <f aca="false">IF(E347="","",D347-E347)</f>
        <v>-17</v>
      </c>
      <c r="G347" s="37" t="n">
        <v>174</v>
      </c>
      <c r="H347" s="37" t="n">
        <v>167</v>
      </c>
      <c r="I347" s="63" t="n">
        <f aca="false">IF(H347="","",G347-H347)</f>
        <v>7</v>
      </c>
      <c r="J347" s="52" t="n">
        <f aca="false">IF(OR(D347="",D347+G347=0),"",D347/(D347+G347))</f>
        <v>0.301204819277108</v>
      </c>
      <c r="K347" s="52" t="n">
        <f aca="false">IF(E347="","",E347/(E347+H347))</f>
        <v>0.355212355212355</v>
      </c>
      <c r="L347" s="64" t="n">
        <f aca="false">IF(OR(K347="",J347=""),"",(J347-K347)*100)</f>
        <v>-5.40075359352468</v>
      </c>
      <c r="M347" s="21"/>
    </row>
    <row r="348" customFormat="false" ht="15" hidden="false" customHeight="false" outlineLevel="0" collapsed="false">
      <c r="A348" s="21" t="s">
        <v>377</v>
      </c>
      <c r="B348" s="21" t="s">
        <v>530</v>
      </c>
      <c r="C348" s="21" t="s">
        <v>531</v>
      </c>
      <c r="D348" s="37" t="n">
        <v>350</v>
      </c>
      <c r="E348" s="37" t="n">
        <v>335</v>
      </c>
      <c r="F348" s="63" t="n">
        <f aca="false">IF(E348="","",D348-E348)</f>
        <v>15</v>
      </c>
      <c r="G348" s="37" t="n">
        <v>582</v>
      </c>
      <c r="H348" s="37" t="n">
        <v>581</v>
      </c>
      <c r="I348" s="63" t="n">
        <f aca="false">IF(H348="","",G348-H348)</f>
        <v>1</v>
      </c>
      <c r="J348" s="52" t="n">
        <f aca="false">IF(OR(D348="",D348+G348=0),"",D348/(D348+G348))</f>
        <v>0.375536480686695</v>
      </c>
      <c r="K348" s="52" t="n">
        <f aca="false">IF(E348="","",E348/(E348+H348))</f>
        <v>0.365720524017467</v>
      </c>
      <c r="L348" s="64" t="n">
        <f aca="false">IF(OR(K348="",J348=""),"",(J348-K348)*100)</f>
        <v>0.981595666922802</v>
      </c>
      <c r="M348" s="21"/>
    </row>
    <row r="349" customFormat="false" ht="15" hidden="false" customHeight="false" outlineLevel="0" collapsed="false">
      <c r="A349" s="21" t="s">
        <v>377</v>
      </c>
      <c r="B349" s="21" t="s">
        <v>532</v>
      </c>
      <c r="C349" s="21" t="s">
        <v>533</v>
      </c>
      <c r="D349" s="37" t="n">
        <v>207</v>
      </c>
      <c r="E349" s="37" t="n">
        <v>210</v>
      </c>
      <c r="F349" s="63" t="n">
        <f aca="false">IF(E349="","",D349-E349)</f>
        <v>-3</v>
      </c>
      <c r="G349" s="37" t="n">
        <v>307</v>
      </c>
      <c r="H349" s="37" t="n">
        <v>309</v>
      </c>
      <c r="I349" s="63" t="n">
        <f aca="false">IF(H349="","",G349-H349)</f>
        <v>-2</v>
      </c>
      <c r="J349" s="52" t="n">
        <f aca="false">IF(OR(D349="",D349+G349=0),"",D349/(D349+G349))</f>
        <v>0.40272373540856</v>
      </c>
      <c r="K349" s="52" t="n">
        <f aca="false">IF(E349="","",E349/(E349+H349))</f>
        <v>0.404624277456647</v>
      </c>
      <c r="L349" s="64" t="n">
        <f aca="false">IF(OR(K349="",J349=""),"",(J349-K349)*100)</f>
        <v>-0.19005420480871</v>
      </c>
      <c r="M349" s="21"/>
    </row>
    <row r="350" customFormat="false" ht="15" hidden="false" customHeight="false" outlineLevel="0" collapsed="false">
      <c r="A350" s="21" t="s">
        <v>377</v>
      </c>
      <c r="B350" s="21" t="s">
        <v>534</v>
      </c>
      <c r="C350" s="21" t="s">
        <v>535</v>
      </c>
      <c r="D350" s="37" t="n">
        <v>333</v>
      </c>
      <c r="E350" s="37" t="n">
        <v>331</v>
      </c>
      <c r="F350" s="63" t="n">
        <f aca="false">IF(E350="","",D350-E350)</f>
        <v>2</v>
      </c>
      <c r="G350" s="37" t="n">
        <v>439</v>
      </c>
      <c r="H350" s="37" t="n">
        <v>458</v>
      </c>
      <c r="I350" s="63" t="n">
        <f aca="false">IF(H350="","",G350-H350)</f>
        <v>-19</v>
      </c>
      <c r="J350" s="52" t="n">
        <f aca="false">IF(OR(D350="",D350+G350=0),"",D350/(D350+G350))</f>
        <v>0.431347150259067</v>
      </c>
      <c r="K350" s="52" t="n">
        <f aca="false">IF(E350="","",E350/(E350+H350))</f>
        <v>0.419518377693283</v>
      </c>
      <c r="L350" s="64" t="n">
        <f aca="false">IF(OR(K350="",J350=""),"",(J350-K350)*100)</f>
        <v>1.18287725657847</v>
      </c>
      <c r="M350" s="21"/>
    </row>
    <row r="351" customFormat="false" ht="15" hidden="false" customHeight="false" outlineLevel="0" collapsed="false">
      <c r="A351" s="21" t="s">
        <v>377</v>
      </c>
      <c r="B351" s="21" t="s">
        <v>536</v>
      </c>
      <c r="C351" s="21" t="s">
        <v>537</v>
      </c>
      <c r="D351" s="37" t="n">
        <v>290</v>
      </c>
      <c r="E351" s="37" t="n">
        <v>307</v>
      </c>
      <c r="F351" s="63" t="n">
        <f aca="false">IF(E351="","",D351-E351)</f>
        <v>-17</v>
      </c>
      <c r="G351" s="37" t="n">
        <v>749</v>
      </c>
      <c r="H351" s="37" t="n">
        <v>746</v>
      </c>
      <c r="I351" s="63" t="n">
        <f aca="false">IF(H351="","",G351-H351)</f>
        <v>3</v>
      </c>
      <c r="J351" s="52" t="n">
        <f aca="false">IF(OR(D351="",D351+G351=0),"",D351/(D351+G351))</f>
        <v>0.279114533205005</v>
      </c>
      <c r="K351" s="52" t="n">
        <f aca="false">IF(E351="","",E351/(E351+H351))</f>
        <v>0.291547958214625</v>
      </c>
      <c r="L351" s="64" t="n">
        <f aca="false">IF(OR(K351="",J351=""),"",(J351-K351)*100)</f>
        <v>-1.24334250096201</v>
      </c>
      <c r="M351" s="21"/>
    </row>
    <row r="352" customFormat="false" ht="15" hidden="false" customHeight="false" outlineLevel="0" collapsed="false">
      <c r="A352" s="21" t="s">
        <v>377</v>
      </c>
      <c r="B352" s="21" t="s">
        <v>536</v>
      </c>
      <c r="C352" s="21" t="s">
        <v>538</v>
      </c>
      <c r="D352" s="37" t="n">
        <v>222</v>
      </c>
      <c r="E352" s="37" t="n">
        <v>232</v>
      </c>
      <c r="F352" s="63" t="n">
        <f aca="false">IF(E352="","",D352-E352)</f>
        <v>-10</v>
      </c>
      <c r="G352" s="37" t="n">
        <v>495</v>
      </c>
      <c r="H352" s="37" t="n">
        <v>487</v>
      </c>
      <c r="I352" s="63" t="n">
        <f aca="false">IF(H352="","",G352-H352)</f>
        <v>8</v>
      </c>
      <c r="J352" s="52" t="n">
        <f aca="false">IF(OR(D352="",D352+G352=0),"",D352/(D352+G352))</f>
        <v>0.309623430962343</v>
      </c>
      <c r="K352" s="52" t="n">
        <f aca="false">IF(E352="","",E352/(E352+H352))</f>
        <v>0.322670375521558</v>
      </c>
      <c r="L352" s="64" t="n">
        <f aca="false">IF(OR(K352="",J352=""),"",(J352-K352)*100)</f>
        <v>-1.30469445592146</v>
      </c>
      <c r="M352" s="21"/>
    </row>
    <row r="353" customFormat="false" ht="15" hidden="false" customHeight="false" outlineLevel="0" collapsed="false">
      <c r="A353" s="21" t="s">
        <v>377</v>
      </c>
      <c r="B353" s="21" t="s">
        <v>536</v>
      </c>
      <c r="C353" s="21" t="s">
        <v>539</v>
      </c>
      <c r="D353" s="37" t="n">
        <v>178</v>
      </c>
      <c r="E353" s="37" t="n">
        <v>178</v>
      </c>
      <c r="F353" s="63" t="n">
        <f aca="false">IF(E353="","",D353-E353)</f>
        <v>0</v>
      </c>
      <c r="G353" s="37" t="n">
        <v>440</v>
      </c>
      <c r="H353" s="37" t="n">
        <v>480</v>
      </c>
      <c r="I353" s="63" t="n">
        <f aca="false">IF(H353="","",G353-H353)</f>
        <v>-40</v>
      </c>
      <c r="J353" s="52" t="n">
        <f aca="false">IF(OR(D353="",D353+G353=0),"",D353/(D353+G353))</f>
        <v>0.288025889967638</v>
      </c>
      <c r="K353" s="52" t="n">
        <f aca="false">IF(E353="","",E353/(E353+H353))</f>
        <v>0.270516717325228</v>
      </c>
      <c r="L353" s="64" t="n">
        <f aca="false">IF(OR(K353="",J353=""),"",(J353-K353)*100)</f>
        <v>1.75091726424096</v>
      </c>
      <c r="M353" s="21"/>
    </row>
    <row r="354" customFormat="false" ht="15" hidden="false" customHeight="false" outlineLevel="0" collapsed="false">
      <c r="A354" s="21" t="s">
        <v>377</v>
      </c>
      <c r="B354" s="21" t="s">
        <v>536</v>
      </c>
      <c r="C354" s="21" t="s">
        <v>540</v>
      </c>
      <c r="D354" s="37" t="n">
        <v>181</v>
      </c>
      <c r="E354" s="37" t="n">
        <v>180</v>
      </c>
      <c r="F354" s="63" t="n">
        <f aca="false">IF(E354="","",D354-E354)</f>
        <v>1</v>
      </c>
      <c r="G354" s="37" t="n">
        <v>419</v>
      </c>
      <c r="H354" s="37" t="n">
        <v>430</v>
      </c>
      <c r="I354" s="63" t="n">
        <f aca="false">IF(H354="","",G354-H354)</f>
        <v>-11</v>
      </c>
      <c r="J354" s="52" t="n">
        <f aca="false">IF(OR(D354="",D354+G354=0),"",D354/(D354+G354))</f>
        <v>0.301666666666667</v>
      </c>
      <c r="K354" s="52" t="n">
        <f aca="false">IF(E354="","",E354/(E354+H354))</f>
        <v>0.295081967213115</v>
      </c>
      <c r="L354" s="64" t="n">
        <f aca="false">IF(OR(K354="",J354=""),"",(J354-K354)*100)</f>
        <v>0.658469945355195</v>
      </c>
      <c r="M354" s="21"/>
    </row>
    <row r="355" customFormat="false" ht="15" hidden="false" customHeight="false" outlineLevel="0" collapsed="false">
      <c r="A355" s="21" t="s">
        <v>377</v>
      </c>
      <c r="B355" s="21" t="s">
        <v>536</v>
      </c>
      <c r="C355" s="21" t="s">
        <v>541</v>
      </c>
      <c r="D355" s="37" t="n">
        <v>306</v>
      </c>
      <c r="E355" s="37" t="n">
        <v>345</v>
      </c>
      <c r="F355" s="63" t="n">
        <f aca="false">IF(E355="","",D355-E355)</f>
        <v>-39</v>
      </c>
      <c r="G355" s="37" t="n">
        <v>582</v>
      </c>
      <c r="H355" s="37" t="n">
        <v>573</v>
      </c>
      <c r="I355" s="63" t="n">
        <f aca="false">IF(H355="","",G355-H355)</f>
        <v>9</v>
      </c>
      <c r="J355" s="52" t="n">
        <f aca="false">IF(OR(D355="",D355+G355=0),"",D355/(D355+G355))</f>
        <v>0.344594594594595</v>
      </c>
      <c r="K355" s="52" t="n">
        <f aca="false">IF(E355="","",E355/(E355+H355))</f>
        <v>0.375816993464052</v>
      </c>
      <c r="L355" s="64" t="n">
        <f aca="false">IF(OR(K355="",J355=""),"",(J355-K355)*100)</f>
        <v>-3.12223988694577</v>
      </c>
      <c r="M355" s="21"/>
    </row>
    <row r="356" customFormat="false" ht="15" hidden="false" customHeight="false" outlineLevel="0" collapsed="false">
      <c r="A356" s="21" t="s">
        <v>377</v>
      </c>
      <c r="B356" s="21" t="s">
        <v>542</v>
      </c>
      <c r="C356" s="21" t="s">
        <v>543</v>
      </c>
      <c r="D356" s="37" t="n">
        <v>1095</v>
      </c>
      <c r="E356" s="37" t="n">
        <v>1084</v>
      </c>
      <c r="F356" s="63" t="n">
        <f aca="false">IF(E356="","",D356-E356)</f>
        <v>11</v>
      </c>
      <c r="G356" s="37" t="n">
        <v>1140</v>
      </c>
      <c r="H356" s="37" t="n">
        <v>1187</v>
      </c>
      <c r="I356" s="63" t="n">
        <f aca="false">IF(H356="","",G356-H356)</f>
        <v>-47</v>
      </c>
      <c r="J356" s="52" t="n">
        <f aca="false">IF(OR(D356="",D356+G356=0),"",D356/(D356+G356))</f>
        <v>0.48993288590604</v>
      </c>
      <c r="K356" s="52" t="n">
        <f aca="false">IF(E356="","",E356/(E356+H356))</f>
        <v>0.477322765301629</v>
      </c>
      <c r="L356" s="64" t="n">
        <f aca="false">IF(OR(K356="",J356=""),"",(J356-K356)*100)</f>
        <v>1.2610120604411</v>
      </c>
      <c r="M356" s="21"/>
    </row>
    <row r="357" customFormat="false" ht="15" hidden="false" customHeight="false" outlineLevel="0" collapsed="false">
      <c r="A357" s="21" t="s">
        <v>377</v>
      </c>
      <c r="B357" s="21" t="s">
        <v>542</v>
      </c>
      <c r="C357" s="21" t="s">
        <v>544</v>
      </c>
      <c r="D357" s="37" t="n">
        <v>356</v>
      </c>
      <c r="E357" s="37"/>
      <c r="F357" s="63" t="str">
        <f aca="false">IF(E357="","",D357-E357)</f>
        <v/>
      </c>
      <c r="G357" s="37" t="n">
        <v>375</v>
      </c>
      <c r="H357" s="37"/>
      <c r="I357" s="63" t="str">
        <f aca="false">IF(H357="","",G357-H357)</f>
        <v/>
      </c>
      <c r="J357" s="52" t="n">
        <f aca="false">IF(OR(D357="",D357+G357=0),"",D357/(D357+G357))</f>
        <v>0.487004103967168</v>
      </c>
      <c r="K357" s="52" t="str">
        <f aca="false">IF(E357="","",E357/(E357+H357))</f>
        <v/>
      </c>
      <c r="L357" s="64" t="str">
        <f aca="false">IF(OR(K357="",J357=""),"",(J357-K357)*100)</f>
        <v/>
      </c>
      <c r="M357" s="21" t="s">
        <v>685</v>
      </c>
    </row>
    <row r="358" customFormat="false" ht="15" hidden="false" customHeight="false" outlineLevel="0" collapsed="false">
      <c r="A358" s="21" t="s">
        <v>377</v>
      </c>
      <c r="B358" s="21" t="s">
        <v>542</v>
      </c>
      <c r="C358" s="21" t="s">
        <v>545</v>
      </c>
      <c r="D358" s="37" t="n">
        <v>861</v>
      </c>
      <c r="E358" s="37" t="n">
        <v>880</v>
      </c>
      <c r="F358" s="63" t="n">
        <f aca="false">IF(E358="","",D358-E358)</f>
        <v>-19</v>
      </c>
      <c r="G358" s="37" t="n">
        <v>973</v>
      </c>
      <c r="H358" s="37" t="n">
        <v>960</v>
      </c>
      <c r="I358" s="63" t="n">
        <f aca="false">IF(H358="","",G358-H358)</f>
        <v>13</v>
      </c>
      <c r="J358" s="52" t="n">
        <f aca="false">IF(OR(D358="",D358+G358=0),"",D358/(D358+G358))</f>
        <v>0.469465648854962</v>
      </c>
      <c r="K358" s="52" t="n">
        <f aca="false">IF(E358="","",E358/(E358+H358))</f>
        <v>0.478260869565217</v>
      </c>
      <c r="L358" s="64" t="n">
        <f aca="false">IF(OR(K358="",J358=""),"",(J358-K358)*100)</f>
        <v>-0.879522071025557</v>
      </c>
      <c r="M358" s="21"/>
    </row>
    <row r="359" customFormat="false" ht="15" hidden="false" customHeight="false" outlineLevel="0" collapsed="false">
      <c r="A359" s="21" t="s">
        <v>377</v>
      </c>
      <c r="B359" s="21" t="s">
        <v>542</v>
      </c>
      <c r="C359" s="21" t="s">
        <v>546</v>
      </c>
      <c r="D359" s="37" t="n">
        <v>276</v>
      </c>
      <c r="E359" s="37"/>
      <c r="F359" s="63" t="str">
        <f aca="false">IF(E359="","",D359-E359)</f>
        <v/>
      </c>
      <c r="G359" s="37" t="n">
        <v>281</v>
      </c>
      <c r="H359" s="37"/>
      <c r="I359" s="63" t="str">
        <f aca="false">IF(H359="","",G359-H359)</f>
        <v/>
      </c>
      <c r="J359" s="52" t="n">
        <f aca="false">IF(OR(D359="",D359+G359=0),"",D359/(D359+G359))</f>
        <v>0.495511669658887</v>
      </c>
      <c r="K359" s="52" t="str">
        <f aca="false">IF(E359="","",E359/(E359+H359))</f>
        <v/>
      </c>
      <c r="L359" s="64" t="str">
        <f aca="false">IF(OR(K359="",J359=""),"",(J359-K359)*100)</f>
        <v/>
      </c>
      <c r="M359" s="21" t="s">
        <v>685</v>
      </c>
    </row>
    <row r="360" customFormat="false" ht="15" hidden="false" customHeight="false" outlineLevel="0" collapsed="false">
      <c r="A360" s="21" t="s">
        <v>377</v>
      </c>
      <c r="B360" s="21" t="s">
        <v>547</v>
      </c>
      <c r="C360" s="21" t="s">
        <v>548</v>
      </c>
      <c r="D360" s="37" t="n">
        <v>417</v>
      </c>
      <c r="E360" s="37" t="n">
        <v>416</v>
      </c>
      <c r="F360" s="63" t="n">
        <f aca="false">IF(E360="","",D360-E360)</f>
        <v>1</v>
      </c>
      <c r="G360" s="37" t="n">
        <v>644</v>
      </c>
      <c r="H360" s="37" t="n">
        <v>658</v>
      </c>
      <c r="I360" s="63" t="n">
        <f aca="false">IF(H360="","",G360-H360)</f>
        <v>-14</v>
      </c>
      <c r="J360" s="52" t="n">
        <f aca="false">IF(OR(D360="",D360+G360=0),"",D360/(D360+G360))</f>
        <v>0.393025447690858</v>
      </c>
      <c r="K360" s="52" t="n">
        <f aca="false">IF(E360="","",E360/(E360+H360))</f>
        <v>0.387337057728119</v>
      </c>
      <c r="L360" s="64" t="n">
        <f aca="false">IF(OR(K360="",J360=""),"",(J360-K360)*100)</f>
        <v>0.568838996273852</v>
      </c>
      <c r="M360" s="21"/>
    </row>
    <row r="361" customFormat="false" ht="15" hidden="false" customHeight="false" outlineLevel="0" collapsed="false">
      <c r="A361" s="21" t="s">
        <v>377</v>
      </c>
      <c r="B361" s="21" t="s">
        <v>352</v>
      </c>
      <c r="C361" s="21" t="s">
        <v>549</v>
      </c>
      <c r="D361" s="37" t="n">
        <v>532</v>
      </c>
      <c r="E361" s="37" t="n">
        <v>541</v>
      </c>
      <c r="F361" s="63" t="n">
        <f aca="false">IF(E361="","",D361-E361)</f>
        <v>-9</v>
      </c>
      <c r="G361" s="37" t="n">
        <v>1094</v>
      </c>
      <c r="H361" s="37" t="n">
        <v>1106</v>
      </c>
      <c r="I361" s="63" t="n">
        <f aca="false">IF(H361="","",G361-H361)</f>
        <v>-12</v>
      </c>
      <c r="J361" s="52" t="n">
        <f aca="false">IF(OR(D361="",D361+G361=0),"",D361/(D361+G361))</f>
        <v>0.327183271832718</v>
      </c>
      <c r="K361" s="52" t="n">
        <f aca="false">IF(E361="","",E361/(E361+H361))</f>
        <v>0.328476017000607</v>
      </c>
      <c r="L361" s="64" t="n">
        <f aca="false">IF(OR(K361="",J361=""),"",(J361-K361)*100)</f>
        <v>-0.129274516788885</v>
      </c>
      <c r="M361" s="21"/>
    </row>
    <row r="362" customFormat="false" ht="15" hidden="false" customHeight="false" outlineLevel="0" collapsed="false">
      <c r="A362" s="21" t="s">
        <v>377</v>
      </c>
      <c r="B362" s="21" t="s">
        <v>352</v>
      </c>
      <c r="C362" s="21" t="s">
        <v>550</v>
      </c>
      <c r="D362" s="37" t="n">
        <v>1008</v>
      </c>
      <c r="E362" s="37" t="n">
        <v>500</v>
      </c>
      <c r="F362" s="63" t="n">
        <f aca="false">IF(E362="","",D362-E362)</f>
        <v>508</v>
      </c>
      <c r="G362" s="37" t="n">
        <v>1915</v>
      </c>
      <c r="H362" s="37" t="n">
        <v>982</v>
      </c>
      <c r="I362" s="63" t="n">
        <f aca="false">IF(H362="","",G362-H362)</f>
        <v>933</v>
      </c>
      <c r="J362" s="52" t="n">
        <f aca="false">IF(OR(D362="",D362+G362=0),"",D362/(D362+G362))</f>
        <v>0.344851180294218</v>
      </c>
      <c r="K362" s="52" t="n">
        <f aca="false">IF(E362="","",E362/(E362+H362))</f>
        <v>0.337381916329285</v>
      </c>
      <c r="L362" s="64" t="n">
        <f aca="false">IF(OR(K362="",J362=""),"",(J362-K362)*100)</f>
        <v>0.746926396493353</v>
      </c>
      <c r="M362" s="21"/>
    </row>
    <row r="363" customFormat="false" ht="15" hidden="false" customHeight="false" outlineLevel="0" collapsed="false">
      <c r="A363" s="21" t="s">
        <v>377</v>
      </c>
      <c r="B363" s="21" t="s">
        <v>552</v>
      </c>
      <c r="C363" s="21" t="s">
        <v>552</v>
      </c>
      <c r="D363" s="37" t="n">
        <v>278</v>
      </c>
      <c r="E363" s="37" t="n">
        <v>281</v>
      </c>
      <c r="F363" s="63" t="n">
        <f aca="false">IF(E363="","",D363-E363)</f>
        <v>-3</v>
      </c>
      <c r="G363" s="37" t="n">
        <v>329</v>
      </c>
      <c r="H363" s="37" t="n">
        <v>310</v>
      </c>
      <c r="I363" s="63" t="n">
        <f aca="false">IF(H363="","",G363-H363)</f>
        <v>19</v>
      </c>
      <c r="J363" s="52" t="n">
        <f aca="false">IF(OR(D363="",D363+G363=0),"",D363/(D363+G363))</f>
        <v>0.457990115321252</v>
      </c>
      <c r="K363" s="52" t="n">
        <f aca="false">IF(E363="","",E363/(E363+H363))</f>
        <v>0.475465313028765</v>
      </c>
      <c r="L363" s="64" t="n">
        <f aca="false">IF(OR(K363="",J363=""),"",(J363-K363)*100)</f>
        <v>-1.74751977075128</v>
      </c>
      <c r="M363" s="21"/>
    </row>
    <row r="364" customFormat="false" ht="15" hidden="false" customHeight="false" outlineLevel="0" collapsed="false">
      <c r="A364" s="21" t="s">
        <v>377</v>
      </c>
      <c r="B364" s="21" t="s">
        <v>553</v>
      </c>
      <c r="C364" s="21" t="s">
        <v>554</v>
      </c>
      <c r="D364" s="37" t="n">
        <v>505</v>
      </c>
      <c r="E364" s="37" t="n">
        <v>514</v>
      </c>
      <c r="F364" s="63" t="n">
        <f aca="false">IF(E364="","",D364-E364)</f>
        <v>-9</v>
      </c>
      <c r="G364" s="37" t="n">
        <v>693</v>
      </c>
      <c r="H364" s="37" t="n">
        <v>713</v>
      </c>
      <c r="I364" s="63" t="n">
        <f aca="false">IF(H364="","",G364-H364)</f>
        <v>-20</v>
      </c>
      <c r="J364" s="52" t="n">
        <f aca="false">IF(OR(D364="",D364+G364=0),"",D364/(D364+G364))</f>
        <v>0.421535893155259</v>
      </c>
      <c r="K364" s="52" t="n">
        <f aca="false">IF(E364="","",E364/(E364+H364))</f>
        <v>0.418907905460473</v>
      </c>
      <c r="L364" s="64" t="n">
        <f aca="false">IF(OR(K364="",J364=""),"",(J364-K364)*100)</f>
        <v>0.262798769478606</v>
      </c>
      <c r="M364" s="21"/>
    </row>
    <row r="365" customFormat="false" ht="15" hidden="false" customHeight="false" outlineLevel="0" collapsed="false">
      <c r="A365" s="21" t="s">
        <v>377</v>
      </c>
      <c r="B365" s="21" t="s">
        <v>553</v>
      </c>
      <c r="C365" s="21" t="s">
        <v>555</v>
      </c>
      <c r="D365" s="37" t="n">
        <v>413</v>
      </c>
      <c r="E365" s="37" t="n">
        <v>425</v>
      </c>
      <c r="F365" s="63" t="n">
        <f aca="false">IF(E365="","",D365-E365)</f>
        <v>-12</v>
      </c>
      <c r="G365" s="37" t="n">
        <v>672</v>
      </c>
      <c r="H365" s="37" t="n">
        <v>656</v>
      </c>
      <c r="I365" s="63" t="n">
        <f aca="false">IF(H365="","",G365-H365)</f>
        <v>16</v>
      </c>
      <c r="J365" s="52" t="n">
        <f aca="false">IF(OR(D365="",D365+G365=0),"",D365/(D365+G365))</f>
        <v>0.380645161290323</v>
      </c>
      <c r="K365" s="52" t="n">
        <f aca="false">IF(E365="","",E365/(E365+H365))</f>
        <v>0.393154486586494</v>
      </c>
      <c r="L365" s="64" t="n">
        <f aca="false">IF(OR(K365="",J365=""),"",(J365-K365)*100)</f>
        <v>-1.25093252961714</v>
      </c>
      <c r="M365" s="21"/>
    </row>
    <row r="366" customFormat="false" ht="15" hidden="false" customHeight="false" outlineLevel="0" collapsed="false">
      <c r="A366" s="21" t="s">
        <v>377</v>
      </c>
      <c r="B366" s="21" t="s">
        <v>553</v>
      </c>
      <c r="C366" s="21" t="s">
        <v>556</v>
      </c>
      <c r="D366" s="37" t="n">
        <v>580</v>
      </c>
      <c r="E366" s="37" t="n">
        <v>624</v>
      </c>
      <c r="F366" s="63" t="n">
        <f aca="false">IF(E366="","",D366-E366)</f>
        <v>-44</v>
      </c>
      <c r="G366" s="37" t="n">
        <v>640</v>
      </c>
      <c r="H366" s="37" t="n">
        <v>618</v>
      </c>
      <c r="I366" s="63" t="n">
        <f aca="false">IF(H366="","",G366-H366)</f>
        <v>22</v>
      </c>
      <c r="J366" s="52" t="n">
        <f aca="false">IF(OR(D366="",D366+G366=0),"",D366/(D366+G366))</f>
        <v>0.475409836065574</v>
      </c>
      <c r="K366" s="52" t="n">
        <f aca="false">IF(E366="","",E366/(E366+H366))</f>
        <v>0.502415458937198</v>
      </c>
      <c r="L366" s="64" t="n">
        <f aca="false">IF(OR(K366="",J366=""),"",(J366-K366)*100)</f>
        <v>-2.70056228716243</v>
      </c>
      <c r="M366" s="21"/>
    </row>
    <row r="367" customFormat="false" ht="15" hidden="false" customHeight="false" outlineLevel="0" collapsed="false">
      <c r="A367" s="21" t="s">
        <v>377</v>
      </c>
      <c r="B367" s="21" t="s">
        <v>553</v>
      </c>
      <c r="C367" s="21" t="s">
        <v>557</v>
      </c>
      <c r="D367" s="37" t="n">
        <v>296</v>
      </c>
      <c r="E367" s="37" t="n">
        <v>284</v>
      </c>
      <c r="F367" s="63" t="n">
        <f aca="false">IF(E367="","",D367-E367)</f>
        <v>12</v>
      </c>
      <c r="G367" s="37" t="n">
        <v>399</v>
      </c>
      <c r="H367" s="37" t="n">
        <v>414</v>
      </c>
      <c r="I367" s="63" t="n">
        <f aca="false">IF(H367="","",G367-H367)</f>
        <v>-15</v>
      </c>
      <c r="J367" s="52" t="n">
        <f aca="false">IF(OR(D367="",D367+G367=0),"",D367/(D367+G367))</f>
        <v>0.42589928057554</v>
      </c>
      <c r="K367" s="52" t="n">
        <f aca="false">IF(E367="","",E367/(E367+H367))</f>
        <v>0.406876790830946</v>
      </c>
      <c r="L367" s="64" t="n">
        <f aca="false">IF(OR(K367="",J367=""),"",(J367-K367)*100)</f>
        <v>1.9022489744594</v>
      </c>
      <c r="M367" s="21"/>
    </row>
    <row r="368" customFormat="false" ht="15" hidden="false" customHeight="false" outlineLevel="0" collapsed="false">
      <c r="A368" s="21" t="s">
        <v>377</v>
      </c>
      <c r="B368" s="21" t="s">
        <v>558</v>
      </c>
      <c r="C368" s="21" t="s">
        <v>559</v>
      </c>
      <c r="D368" s="37" t="n">
        <v>639</v>
      </c>
      <c r="E368" s="37" t="n">
        <v>648</v>
      </c>
      <c r="F368" s="63" t="n">
        <f aca="false">IF(E368="","",D368-E368)</f>
        <v>-9</v>
      </c>
      <c r="G368" s="37" t="n">
        <v>443</v>
      </c>
      <c r="H368" s="37" t="n">
        <v>462</v>
      </c>
      <c r="I368" s="63" t="n">
        <f aca="false">IF(H368="","",G368-H368)</f>
        <v>-19</v>
      </c>
      <c r="J368" s="52" t="n">
        <f aca="false">IF(OR(D368="",D368+G368=0),"",D368/(D368+G368))</f>
        <v>0.590573012939002</v>
      </c>
      <c r="K368" s="52" t="n">
        <f aca="false">IF(E368="","",E368/(E368+H368))</f>
        <v>0.583783783783784</v>
      </c>
      <c r="L368" s="64" t="n">
        <f aca="false">IF(OR(K368="",J368=""),"",(J368-K368)*100)</f>
        <v>0.678922915521807</v>
      </c>
      <c r="M368" s="21"/>
    </row>
    <row r="369" customFormat="false" ht="15" hidden="false" customHeight="false" outlineLevel="0" collapsed="false">
      <c r="A369" s="21" t="s">
        <v>377</v>
      </c>
      <c r="B369" s="21" t="s">
        <v>558</v>
      </c>
      <c r="C369" s="21" t="s">
        <v>560</v>
      </c>
      <c r="D369" s="37" t="n">
        <v>493</v>
      </c>
      <c r="E369" s="37" t="n">
        <v>491</v>
      </c>
      <c r="F369" s="63" t="n">
        <f aca="false">IF(E369="","",D369-E369)</f>
        <v>2</v>
      </c>
      <c r="G369" s="37" t="n">
        <v>390</v>
      </c>
      <c r="H369" s="37" t="n">
        <v>402</v>
      </c>
      <c r="I369" s="63" t="n">
        <f aca="false">IF(H369="","",G369-H369)</f>
        <v>-12</v>
      </c>
      <c r="J369" s="52" t="n">
        <f aca="false">IF(OR(D369="",D369+G369=0),"",D369/(D369+G369))</f>
        <v>0.55832389580974</v>
      </c>
      <c r="K369" s="52" t="n">
        <f aca="false">IF(E369="","",E369/(E369+H369))</f>
        <v>0.5498320268757</v>
      </c>
      <c r="L369" s="64" t="n">
        <f aca="false">IF(OR(K369="",J369=""),"",(J369-K369)*100)</f>
        <v>0.849186893403964</v>
      </c>
      <c r="M369" s="21"/>
    </row>
    <row r="370" customFormat="false" ht="15" hidden="false" customHeight="false" outlineLevel="0" collapsed="false">
      <c r="A370" s="21" t="s">
        <v>377</v>
      </c>
      <c r="B370" s="21" t="s">
        <v>558</v>
      </c>
      <c r="C370" s="21" t="s">
        <v>561</v>
      </c>
      <c r="D370" s="37" t="n">
        <v>777</v>
      </c>
      <c r="E370" s="37" t="n">
        <v>758</v>
      </c>
      <c r="F370" s="63" t="n">
        <f aca="false">IF(E370="","",D370-E370)</f>
        <v>19</v>
      </c>
      <c r="G370" s="37" t="n">
        <v>663</v>
      </c>
      <c r="H370" s="37" t="n">
        <v>674</v>
      </c>
      <c r="I370" s="63" t="n">
        <f aca="false">IF(H370="","",G370-H370)</f>
        <v>-11</v>
      </c>
      <c r="J370" s="52" t="n">
        <f aca="false">IF(OR(D370="",D370+G370=0),"",D370/(D370+G370))</f>
        <v>0.539583333333333</v>
      </c>
      <c r="K370" s="52" t="n">
        <f aca="false">IF(E370="","",E370/(E370+H370))</f>
        <v>0.529329608938548</v>
      </c>
      <c r="L370" s="64" t="n">
        <f aca="false">IF(OR(K370="",J370=""),"",(J370-K370)*100)</f>
        <v>1.02537243947858</v>
      </c>
      <c r="M370" s="21"/>
    </row>
    <row r="371" customFormat="false" ht="15" hidden="false" customHeight="false" outlineLevel="0" collapsed="false">
      <c r="A371" s="21" t="s">
        <v>377</v>
      </c>
      <c r="B371" s="21" t="s">
        <v>562</v>
      </c>
      <c r="C371" s="21" t="s">
        <v>562</v>
      </c>
      <c r="D371" s="37" t="n">
        <v>647</v>
      </c>
      <c r="E371" s="37" t="n">
        <v>634</v>
      </c>
      <c r="F371" s="63" t="n">
        <f aca="false">IF(E371="","",D371-E371)</f>
        <v>13</v>
      </c>
      <c r="G371" s="37" t="n">
        <v>879</v>
      </c>
      <c r="H371" s="37" t="n">
        <v>856</v>
      </c>
      <c r="I371" s="63" t="n">
        <f aca="false">IF(H371="","",G371-H371)</f>
        <v>23</v>
      </c>
      <c r="J371" s="52" t="n">
        <f aca="false">IF(OR(D371="",D371+G371=0),"",D371/(D371+G371))</f>
        <v>0.423984272608126</v>
      </c>
      <c r="K371" s="52" t="n">
        <f aca="false">IF(E371="","",E371/(E371+H371))</f>
        <v>0.425503355704698</v>
      </c>
      <c r="L371" s="64" t="n">
        <f aca="false">IF(OR(K371="",J371=""),"",(J371-K371)*100)</f>
        <v>-0.151908309657217</v>
      </c>
      <c r="M371" s="21"/>
    </row>
    <row r="373" customFormat="false" ht="15" hidden="false" customHeight="false" outlineLevel="0" collapsed="false">
      <c r="A373" s="28" t="s">
        <v>686</v>
      </c>
      <c r="B373" s="65"/>
      <c r="C373" s="65"/>
      <c r="D373" s="66" t="n">
        <f aca="false">SUMIF(E2:E371,"&lt;&gt;",D2:D371)</f>
        <v>183446</v>
      </c>
      <c r="E373" s="66" t="n">
        <f aca="false">SUM(E2:E371)</f>
        <v>183378</v>
      </c>
      <c r="F373" s="67" t="n">
        <f aca="false">D373-E373</f>
        <v>68</v>
      </c>
      <c r="G373" s="66" t="n">
        <f aca="false">SUMIF(H2:H371,"&lt;&gt;",G2:G371)</f>
        <v>190300</v>
      </c>
      <c r="H373" s="66" t="n">
        <f aca="false">SUM(H2:H371)</f>
        <v>189309</v>
      </c>
      <c r="I373" s="67" t="n">
        <f aca="false">G373-H373</f>
        <v>991</v>
      </c>
      <c r="J373" s="68" t="n">
        <f aca="false">D373/(D373+G373)</f>
        <v>0.490830671097483</v>
      </c>
      <c r="K373" s="68" t="n">
        <f aca="false">E373/(E373+H373)</f>
        <v>0.492042920735094</v>
      </c>
      <c r="L373" s="69" t="n">
        <f aca="false">(J373-K373)*100</f>
        <v>-0.121224963761074</v>
      </c>
    </row>
    <row r="374" customFormat="false" ht="15" hidden="false" customHeight="false" outlineLevel="0" collapsed="false">
      <c r="A374" s="28" t="s">
        <v>687</v>
      </c>
      <c r="B374" s="65"/>
      <c r="C374" s="65"/>
      <c r="D374" s="66" t="n">
        <f aca="false">SUM(D2:D371)</f>
        <v>199990</v>
      </c>
      <c r="E374" s="66"/>
      <c r="F374" s="67"/>
      <c r="G374" s="66" t="n">
        <f aca="false">SUM(G2:G371)</f>
        <v>206634</v>
      </c>
      <c r="H374" s="66"/>
      <c r="I374" s="67"/>
      <c r="J374" s="68" t="n">
        <f aca="false">D374/(D374+G374)</f>
        <v>0.491830290391123</v>
      </c>
      <c r="K374" s="68"/>
      <c r="L374" s="69"/>
    </row>
    <row r="376" customFormat="false" ht="15" hidden="false" customHeight="false" outlineLevel="0" collapsed="false">
      <c r="A376" s="2" t="s">
        <v>688</v>
      </c>
      <c r="F376" s="70" t="n">
        <f aca="false">(SUMIF(F2:F371,"&gt;0")-SUMIF(F2:F371,"&lt;0"))/COUNT(F2:F371)</f>
        <v>26.7953216374269</v>
      </c>
    </row>
    <row r="377" customFormat="false" ht="15" hidden="false" customHeight="false" outlineLevel="0" collapsed="false">
      <c r="A377" s="2" t="s">
        <v>689</v>
      </c>
      <c r="F377" s="70" t="n">
        <f aca="false">(SUMIF(I2:I371,"&gt;0")-SUMIF(I2:I371,"&lt;0"))/COUNT(I2:I371)</f>
        <v>25.4883040935673</v>
      </c>
    </row>
    <row r="378" customFormat="false" ht="15" hidden="false" customHeight="false" outlineLevel="0" collapsed="false">
      <c r="A378" s="2" t="s">
        <v>690</v>
      </c>
      <c r="F378" s="71" t="n">
        <f aca="false">(SUMIF(L2:L371,"&gt;0")-SUMIF(L2:L371,"&lt;0"))/COUNT(L2:L371)</f>
        <v>1.62699087435977</v>
      </c>
    </row>
    <row r="379" customFormat="false" ht="15" hidden="false" customHeight="false" outlineLevel="0" collapsed="false">
      <c r="A379" s="5" t="s">
        <v>691</v>
      </c>
      <c r="F379" s="72" t="n">
        <f aca="false">SQRT(SUMSQ(L2:L371)/COUNT(L2:L371))</f>
        <v>2.22299444247898</v>
      </c>
    </row>
    <row r="380" customFormat="false" ht="15" hidden="false" customHeight="false" outlineLevel="0" collapsed="false">
      <c r="A380" s="5" t="s">
        <v>692</v>
      </c>
      <c r="F380" s="73" t="n">
        <f aca="false">L373</f>
        <v>-0.121224963761074</v>
      </c>
    </row>
    <row r="381" customFormat="false" ht="15" hidden="false" customHeight="false" outlineLevel="0" collapsed="false">
      <c r="A381" s="5" t="s">
        <v>693</v>
      </c>
      <c r="F381" s="72" t="n">
        <f aca="false">SQRT((SUMSQ(L2:L371)-2*L373*SUM(L2:L371)+COUNT(L2:L371)*L373^2)/COUNT(L2:L371))</f>
        <v>2.23802454930018</v>
      </c>
    </row>
    <row r="382" customFormat="false" ht="15" hidden="false" customHeight="false" outlineLevel="0" collapsed="false">
      <c r="A382" s="2" t="s">
        <v>694</v>
      </c>
      <c r="F382" s="74" t="n">
        <f aca="false">(D373+G373)/(E373+H373)-1</f>
        <v>0.00284152653567205</v>
      </c>
    </row>
    <row r="383" customFormat="false" ht="15" hidden="false" customHeight="false" outlineLevel="0" collapsed="false">
      <c r="A383" s="2" t="s">
        <v>695</v>
      </c>
      <c r="F383" s="75" t="n">
        <f aca="false">COUNTIFS(L2:L371,"&gt;=-3",L2:L371,"&lt;=3")/COUNT(L2:L371)</f>
        <v>0.850877192982456</v>
      </c>
    </row>
    <row r="384" customFormat="false" ht="15" hidden="false" customHeight="false" outlineLevel="0" collapsed="false">
      <c r="A384" s="2" t="s">
        <v>696</v>
      </c>
      <c r="F384" s="76" t="n">
        <f aca="false">COUNT(E2:E371)</f>
        <v>342</v>
      </c>
    </row>
    <row r="385" customFormat="false" ht="15" hidden="false" customHeight="false" outlineLevel="0" collapsed="false">
      <c r="A385" s="2" t="s">
        <v>697</v>
      </c>
      <c r="F385" s="76" t="n">
        <f aca="false">COUNTA(A2:A371)</f>
        <v>370</v>
      </c>
    </row>
    <row r="387" customFormat="false" ht="15" hidden="false" customHeight="false" outlineLevel="0" collapsed="false">
      <c r="M387" s="5" t="s">
        <v>103</v>
      </c>
    </row>
    <row r="388" customFormat="false" ht="28.35" hidden="false" customHeight="false" outlineLevel="0" collapsed="false">
      <c r="M388" s="62" t="s">
        <v>698</v>
      </c>
    </row>
    <row r="389" customFormat="false" ht="28.35" hidden="false" customHeight="false" outlineLevel="0" collapsed="false">
      <c r="M389" s="62" t="s">
        <v>699</v>
      </c>
    </row>
    <row r="390" customFormat="false" ht="55.2" hidden="false" customHeight="false" outlineLevel="0" collapsed="false">
      <c r="M390" s="62" t="s">
        <v>707</v>
      </c>
    </row>
    <row r="391" customFormat="false" ht="55.2" hidden="false" customHeight="false" outlineLevel="0" collapsed="false">
      <c r="M391" s="62" t="s">
        <v>701</v>
      </c>
    </row>
    <row r="392" customFormat="false" ht="68.65" hidden="false" customHeight="false" outlineLevel="0" collapsed="false">
      <c r="M392" s="62" t="s">
        <v>702</v>
      </c>
    </row>
    <row r="393" customFormat="false" ht="41.75" hidden="false" customHeight="false" outlineLevel="0" collapsed="false">
      <c r="M393" s="62" t="s">
        <v>703</v>
      </c>
    </row>
    <row r="394" customFormat="false" ht="28.35" hidden="false" customHeight="false" outlineLevel="0" collapsed="false">
      <c r="M394" s="62" t="s">
        <v>704</v>
      </c>
    </row>
    <row r="395" customFormat="false" ht="28.35" hidden="false" customHeight="false" outlineLevel="0" collapsed="false">
      <c r="M395" s="62" t="s">
        <v>705</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77" t="s">
        <v>708</v>
      </c>
    </row>
    <row r="2" customFormat="false" ht="41.75" hidden="false" customHeight="false" outlineLevel="0" collapsed="false">
      <c r="A2" s="62" t="s">
        <v>709</v>
      </c>
    </row>
    <row r="3" customFormat="false" ht="28.35" hidden="false" customHeight="false" outlineLevel="0" collapsed="false">
      <c r="A3" s="62" t="s">
        <v>710</v>
      </c>
    </row>
    <row r="4" customFormat="false" ht="28.35" hidden="false" customHeight="false" outlineLevel="0" collapsed="false">
      <c r="A4" s="62" t="s">
        <v>711</v>
      </c>
    </row>
    <row r="5" customFormat="false" ht="15" hidden="false" customHeight="false" outlineLevel="0" collapsed="false">
      <c r="A5" s="62"/>
    </row>
    <row r="6" customFormat="false" ht="15" hidden="false" customHeight="false" outlineLevel="0" collapsed="false">
      <c r="A6" s="77" t="s">
        <v>712</v>
      </c>
    </row>
    <row r="7" customFormat="false" ht="28.35" hidden="false" customHeight="false" outlineLevel="0" collapsed="false">
      <c r="A7" s="62" t="s">
        <v>713</v>
      </c>
    </row>
    <row r="8" customFormat="false" ht="28.35" hidden="false" customHeight="false" outlineLevel="0" collapsed="false">
      <c r="A8" s="62" t="s">
        <v>714</v>
      </c>
    </row>
    <row r="9" customFormat="false" ht="15" hidden="false" customHeight="false" outlineLevel="0" collapsed="false">
      <c r="A9" s="62"/>
    </row>
    <row r="10" customFormat="false" ht="15" hidden="false" customHeight="false" outlineLevel="0" collapsed="false">
      <c r="A10" s="77" t="s">
        <v>715</v>
      </c>
    </row>
    <row r="11" customFormat="false" ht="28.35" hidden="false" customHeight="false" outlineLevel="0" collapsed="false">
      <c r="A11" s="62" t="s">
        <v>716</v>
      </c>
    </row>
    <row r="12" customFormat="false" ht="28.35" hidden="false" customHeight="false" outlineLevel="0" collapsed="false">
      <c r="A12" s="62" t="s">
        <v>717</v>
      </c>
    </row>
    <row r="13" customFormat="false" ht="15" hidden="false" customHeight="false" outlineLevel="0" collapsed="false">
      <c r="A13" s="62"/>
    </row>
    <row r="14" customFormat="false" ht="15" hidden="false" customHeight="false" outlineLevel="0" collapsed="false">
      <c r="A14" s="77" t="s">
        <v>718</v>
      </c>
    </row>
    <row r="15" customFormat="false" ht="28.35" hidden="false" customHeight="false" outlineLevel="0" collapsed="false">
      <c r="A15" s="62" t="s">
        <v>719</v>
      </c>
    </row>
    <row r="16" customFormat="false" ht="28.35" hidden="false" customHeight="false" outlineLevel="0" collapsed="false">
      <c r="A16" s="62" t="s">
        <v>720</v>
      </c>
    </row>
    <row r="17" customFormat="false" ht="15" hidden="false" customHeight="false" outlineLevel="0" collapsed="false">
      <c r="A17" s="62" t="s">
        <v>721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2026-10-05T21:19:45Z</dcterms:created>
  <dc:creator>openpyxl</dc:creator>
  <dc:description/>
  <dc:language>en-US</dc:language>
  <cp:lastModifiedBy/>
  <dcterms:modified xsi:type="dcterms:W3CDTF">2026-10-05T21:19:46Z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